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la\Documents\code\jk3\src\data\"/>
    </mc:Choice>
  </mc:AlternateContent>
  <xr:revisionPtr revIDLastSave="0" documentId="13_ncr:1_{3C668411-220B-4176-88B6-59B5680C3193}" xr6:coauthVersionLast="47" xr6:coauthVersionMax="47" xr10:uidLastSave="{00000000-0000-0000-0000-000000000000}"/>
  <bookViews>
    <workbookView xWindow="-108" yWindow="-108" windowWidth="23256" windowHeight="12456" activeTab="4" xr2:uid="{6540F3E8-6E2B-46EF-8B33-43A96A14636B}"/>
  </bookViews>
  <sheets>
    <sheet name="Sheet1" sheetId="1" r:id="rId1"/>
    <sheet name="Eastman" sheetId="2" r:id="rId2"/>
    <sheet name="mix" sheetId="3" r:id="rId3"/>
    <sheet name="Tapes" sheetId="4" r:id="rId4"/>
    <sheet name="Sheet6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92" i="3" l="1"/>
  <c r="H292" i="3" s="1"/>
  <c r="P290" i="3"/>
  <c r="H290" i="3" s="1"/>
  <c r="P289" i="3"/>
  <c r="H289" i="3" s="1"/>
  <c r="P287" i="3"/>
  <c r="P286" i="3"/>
  <c r="P284" i="3"/>
  <c r="P282" i="3"/>
  <c r="H282" i="3" s="1"/>
  <c r="P280" i="3"/>
  <c r="H280" i="3" s="1"/>
  <c r="P278" i="3"/>
  <c r="H278" i="3" s="1"/>
  <c r="P276" i="3"/>
  <c r="H276" i="3" s="1"/>
  <c r="P274" i="3"/>
  <c r="H274" i="3" s="1"/>
  <c r="P272" i="3"/>
  <c r="H272" i="3" s="1"/>
  <c r="P270" i="3"/>
  <c r="H270" i="3" s="1"/>
  <c r="P268" i="3"/>
  <c r="H268" i="3" s="1"/>
  <c r="P266" i="3"/>
  <c r="H266" i="3" s="1"/>
  <c r="P264" i="3"/>
  <c r="H264" i="3" s="1"/>
  <c r="P262" i="3"/>
  <c r="H262" i="3" s="1"/>
  <c r="P260" i="3"/>
  <c r="H260" i="3" s="1"/>
  <c r="P258" i="3"/>
  <c r="H258" i="3" s="1"/>
  <c r="P256" i="3"/>
  <c r="H256" i="3" s="1"/>
  <c r="P254" i="3"/>
  <c r="H254" i="3" s="1"/>
  <c r="P253" i="3"/>
  <c r="H253" i="3" s="1"/>
  <c r="P252" i="3"/>
  <c r="H252" i="3" s="1"/>
  <c r="P250" i="3"/>
  <c r="H250" i="3" s="1"/>
  <c r="P247" i="3"/>
  <c r="H247" i="3" s="1"/>
  <c r="P245" i="3"/>
  <c r="H245" i="3" s="1"/>
  <c r="P243" i="3"/>
  <c r="H243" i="3" s="1"/>
  <c r="P242" i="3"/>
  <c r="H242" i="3" s="1"/>
  <c r="P233" i="3"/>
  <c r="H233" i="3" s="1"/>
  <c r="P231" i="3"/>
  <c r="H231" i="3" s="1"/>
  <c r="P229" i="3"/>
  <c r="H229" i="3" s="1"/>
  <c r="P228" i="3"/>
  <c r="H228" i="3" s="1"/>
  <c r="P226" i="3"/>
  <c r="H226" i="3" s="1"/>
  <c r="P224" i="3"/>
  <c r="H224" i="3" s="1"/>
  <c r="P222" i="3"/>
  <c r="H222" i="3" s="1"/>
  <c r="P220" i="3"/>
  <c r="H220" i="3" s="1"/>
  <c r="P219" i="3"/>
  <c r="H219" i="3" s="1"/>
  <c r="P214" i="3"/>
  <c r="H214" i="3" s="1"/>
  <c r="P213" i="3"/>
  <c r="H213" i="3" s="1"/>
  <c r="P212" i="3"/>
  <c r="H212" i="3" s="1"/>
  <c r="P211" i="3"/>
  <c r="H211" i="3" s="1"/>
  <c r="P209" i="3"/>
  <c r="H209" i="3" s="1"/>
  <c r="P207" i="3"/>
  <c r="H207" i="3" s="1"/>
  <c r="P205" i="3"/>
  <c r="H205" i="3" s="1"/>
  <c r="P202" i="3"/>
  <c r="P200" i="3"/>
  <c r="H200" i="3" s="1"/>
  <c r="P199" i="3"/>
  <c r="H199" i="3" s="1"/>
  <c r="P197" i="3"/>
  <c r="H197" i="3" s="1"/>
  <c r="P196" i="3"/>
  <c r="P195" i="3"/>
  <c r="P190" i="3"/>
  <c r="P188" i="3"/>
  <c r="H188" i="3" s="1"/>
  <c r="P186" i="3"/>
  <c r="H186" i="3" s="1"/>
  <c r="P184" i="3"/>
  <c r="H184" i="3" s="1"/>
  <c r="P182" i="3"/>
  <c r="H182" i="3" s="1"/>
  <c r="P180" i="3"/>
  <c r="H180" i="3" s="1"/>
  <c r="P178" i="3"/>
  <c r="H178" i="3" s="1"/>
  <c r="P176" i="3"/>
  <c r="H176" i="3" s="1"/>
  <c r="P174" i="3"/>
  <c r="H174" i="3" s="1"/>
  <c r="P172" i="3"/>
  <c r="P170" i="3"/>
  <c r="H170" i="3" s="1"/>
  <c r="P168" i="3"/>
  <c r="H168" i="3" s="1"/>
  <c r="P166" i="3"/>
  <c r="H166" i="3" s="1"/>
  <c r="P165" i="3"/>
  <c r="P164" i="3"/>
  <c r="P162" i="3"/>
  <c r="P161" i="3"/>
  <c r="P160" i="3"/>
  <c r="P158" i="3"/>
  <c r="P156" i="3"/>
  <c r="P155" i="3"/>
  <c r="H155" i="3" s="1"/>
  <c r="P153" i="3"/>
  <c r="H153" i="3" s="1"/>
  <c r="P152" i="3"/>
  <c r="H152" i="3" s="1"/>
  <c r="P151" i="3"/>
  <c r="H151" i="3" s="1"/>
  <c r="P149" i="3"/>
  <c r="H149" i="3" s="1"/>
  <c r="P147" i="3"/>
  <c r="H147" i="3" s="1"/>
  <c r="P145" i="3"/>
  <c r="H145" i="3" s="1"/>
  <c r="P143" i="3"/>
  <c r="H143" i="3" s="1"/>
  <c r="P141" i="3"/>
  <c r="P138" i="3"/>
  <c r="H138" i="3" s="1"/>
  <c r="P136" i="3"/>
  <c r="H136" i="3" s="1"/>
  <c r="P133" i="3"/>
  <c r="H133" i="3" s="1"/>
  <c r="P130" i="3"/>
  <c r="H130" i="3" s="1"/>
  <c r="P128" i="3"/>
  <c r="H128" i="3" s="1"/>
  <c r="P126" i="3"/>
  <c r="H126" i="3" s="1"/>
  <c r="P124" i="3"/>
  <c r="H124" i="3" s="1"/>
  <c r="P122" i="3"/>
  <c r="H122" i="3" s="1"/>
  <c r="P120" i="3"/>
  <c r="H120" i="3" s="1"/>
  <c r="P117" i="3"/>
  <c r="H117" i="3" s="1"/>
  <c r="P113" i="3"/>
  <c r="H113" i="3" s="1"/>
  <c r="P110" i="3"/>
  <c r="P107" i="3"/>
  <c r="H107" i="3" s="1"/>
  <c r="P105" i="3"/>
  <c r="H105" i="3" s="1"/>
  <c r="P104" i="3"/>
  <c r="H104" i="3" s="1"/>
  <c r="P97" i="3"/>
  <c r="H97" i="3" s="1"/>
  <c r="P93" i="3"/>
  <c r="H93" i="3" s="1"/>
  <c r="P90" i="3"/>
  <c r="H90" i="3" s="1"/>
  <c r="P87" i="3"/>
  <c r="H87" i="3" s="1"/>
  <c r="P84" i="3"/>
  <c r="H84" i="3" s="1"/>
  <c r="P82" i="3"/>
  <c r="H82" i="3" s="1"/>
  <c r="P80" i="3"/>
  <c r="H80" i="3" s="1"/>
  <c r="P76" i="3"/>
  <c r="H76" i="3" s="1"/>
  <c r="P74" i="3"/>
  <c r="H74" i="3" s="1"/>
  <c r="P72" i="3"/>
  <c r="H72" i="3" s="1"/>
  <c r="P70" i="3"/>
  <c r="H70" i="3" s="1"/>
  <c r="P68" i="3"/>
  <c r="H68" i="3" s="1"/>
  <c r="P65" i="3"/>
  <c r="P64" i="3"/>
  <c r="P62" i="3"/>
  <c r="H62" i="3" s="1"/>
  <c r="P60" i="3"/>
  <c r="H60" i="3" s="1"/>
  <c r="P58" i="3"/>
  <c r="H58" i="3" s="1"/>
  <c r="P57" i="3"/>
  <c r="H57" i="3" s="1"/>
  <c r="P56" i="3"/>
  <c r="H56" i="3" s="1"/>
  <c r="P54" i="3"/>
  <c r="H54" i="3" s="1"/>
  <c r="P52" i="3"/>
  <c r="H52" i="3" s="1"/>
  <c r="P50" i="3"/>
  <c r="H50" i="3" s="1"/>
  <c r="P48" i="3"/>
  <c r="H48" i="3" s="1"/>
  <c r="P46" i="3"/>
  <c r="P44" i="3"/>
  <c r="P42" i="3"/>
  <c r="H42" i="3" s="1"/>
  <c r="P40" i="3"/>
  <c r="H40" i="3" s="1"/>
  <c r="P38" i="3"/>
  <c r="H38" i="3" s="1"/>
  <c r="P36" i="3"/>
  <c r="H36" i="3" s="1"/>
  <c r="P34" i="3"/>
  <c r="H34" i="3" s="1"/>
  <c r="P32" i="3"/>
  <c r="P30" i="3"/>
  <c r="H30" i="3" s="1"/>
  <c r="P28" i="3"/>
  <c r="P26" i="3"/>
  <c r="H26" i="3" s="1"/>
  <c r="P23" i="3"/>
  <c r="H23" i="3" s="1"/>
  <c r="P21" i="3"/>
  <c r="H21" i="3" s="1"/>
  <c r="P19" i="3"/>
  <c r="H19" i="3" s="1"/>
  <c r="P17" i="3"/>
  <c r="H17" i="3" s="1"/>
  <c r="P15" i="3"/>
  <c r="H15" i="3" s="1"/>
  <c r="P3" i="3"/>
  <c r="H3" i="3" s="1"/>
  <c r="P4" i="3"/>
  <c r="H4" i="3" s="1"/>
  <c r="P5" i="3"/>
  <c r="H5" i="3" s="1"/>
  <c r="P6" i="3"/>
  <c r="H6" i="3" s="1"/>
  <c r="P7" i="3"/>
  <c r="H7" i="3" s="1"/>
  <c r="H172" i="3"/>
  <c r="H287" i="3"/>
  <c r="H32" i="3"/>
  <c r="H64" i="3"/>
  <c r="H65" i="3"/>
  <c r="H286" i="3"/>
  <c r="O58" i="3"/>
  <c r="O2" i="3"/>
  <c r="P2" i="3" s="1"/>
  <c r="H2" i="3" s="1"/>
  <c r="O227" i="3"/>
  <c r="P227" i="3" s="1"/>
  <c r="H227" i="3" s="1"/>
  <c r="O210" i="3"/>
  <c r="P210" i="3" s="1"/>
  <c r="H210" i="3" s="1"/>
  <c r="O218" i="3"/>
  <c r="P218" i="3" s="1"/>
  <c r="H218" i="3" s="1"/>
  <c r="O217" i="3"/>
  <c r="P217" i="3" s="1"/>
  <c r="H217" i="3" s="1"/>
  <c r="O216" i="3"/>
  <c r="P216" i="3" s="1"/>
  <c r="H216" i="3" s="1"/>
  <c r="O215" i="3"/>
  <c r="P215" i="3" s="1"/>
  <c r="H215" i="3" s="1"/>
  <c r="O269" i="3"/>
  <c r="P269" i="3" s="1"/>
  <c r="H269" i="3" s="1"/>
  <c r="O265" i="3"/>
  <c r="P265" i="3" s="1"/>
  <c r="H265" i="3" s="1"/>
  <c r="O275" i="3"/>
  <c r="P275" i="3" s="1"/>
  <c r="H275" i="3" s="1"/>
  <c r="O261" i="3"/>
  <c r="P261" i="3" s="1"/>
  <c r="H261" i="3" s="1"/>
  <c r="O267" i="3"/>
  <c r="P267" i="3" s="1"/>
  <c r="H267" i="3" s="1"/>
  <c r="O263" i="3"/>
  <c r="P263" i="3" s="1"/>
  <c r="H263" i="3" s="1"/>
  <c r="O259" i="3"/>
  <c r="P259" i="3" s="1"/>
  <c r="H259" i="3" s="1"/>
  <c r="O273" i="3"/>
  <c r="P273" i="3" s="1"/>
  <c r="H273" i="3" s="1"/>
  <c r="O271" i="3"/>
  <c r="P271" i="3" s="1"/>
  <c r="H271" i="3" s="1"/>
  <c r="O98" i="3"/>
  <c r="P98" i="3" s="1"/>
  <c r="H98" i="3" s="1"/>
  <c r="O88" i="3"/>
  <c r="P88" i="3" s="1"/>
  <c r="H88" i="3" s="1"/>
  <c r="O118" i="3"/>
  <c r="P118" i="3" s="1"/>
  <c r="H118" i="3" s="1"/>
  <c r="O108" i="3"/>
  <c r="P108" i="3" s="1"/>
  <c r="H108" i="3" s="1"/>
  <c r="O111" i="3"/>
  <c r="P111" i="3" s="1"/>
  <c r="H111" i="3" s="1"/>
  <c r="O121" i="3"/>
  <c r="P121" i="3" s="1"/>
  <c r="H121" i="3" s="1"/>
  <c r="O91" i="3"/>
  <c r="P91" i="3" s="1"/>
  <c r="H91" i="3" s="1"/>
  <c r="O114" i="3"/>
  <c r="P114" i="3" s="1"/>
  <c r="H114" i="3" s="1"/>
  <c r="O105" i="3"/>
  <c r="O94" i="3"/>
  <c r="P94" i="3" s="1"/>
  <c r="H94" i="3" s="1"/>
  <c r="O102" i="3"/>
  <c r="P102" i="3" s="1"/>
  <c r="H102" i="3" s="1"/>
  <c r="O101" i="3"/>
  <c r="P101" i="3" s="1"/>
  <c r="H101" i="3" s="1"/>
  <c r="O100" i="3"/>
  <c r="P100" i="3" s="1"/>
  <c r="H100" i="3" s="1"/>
  <c r="O99" i="3"/>
  <c r="P99" i="3" s="1"/>
  <c r="H99" i="3" s="1"/>
  <c r="O95" i="3"/>
  <c r="P95" i="3" s="1"/>
  <c r="H95" i="3" s="1"/>
  <c r="O115" i="3"/>
  <c r="P115" i="3" s="1"/>
  <c r="H115" i="3" s="1"/>
  <c r="O119" i="3"/>
  <c r="P119" i="3" s="1"/>
  <c r="H119" i="3" s="1"/>
  <c r="O86" i="3"/>
  <c r="P86" i="3" s="1"/>
  <c r="H86" i="3" s="1"/>
  <c r="O116" i="3"/>
  <c r="P116" i="3" s="1"/>
  <c r="H116" i="3" s="1"/>
  <c r="O96" i="3"/>
  <c r="P96" i="3" s="1"/>
  <c r="H96" i="3" s="1"/>
  <c r="O106" i="3"/>
  <c r="P106" i="3" s="1"/>
  <c r="H106" i="3" s="1"/>
  <c r="O109" i="3"/>
  <c r="P109" i="3" s="1"/>
  <c r="H109" i="3" s="1"/>
  <c r="O89" i="3"/>
  <c r="P89" i="3" s="1"/>
  <c r="H89" i="3" s="1"/>
  <c r="O112" i="3"/>
  <c r="P112" i="3" s="1"/>
  <c r="H112" i="3" s="1"/>
  <c r="O103" i="3"/>
  <c r="P103" i="3" s="1"/>
  <c r="H103" i="3" s="1"/>
  <c r="O92" i="3"/>
  <c r="P92" i="3" s="1"/>
  <c r="H92" i="3" s="1"/>
  <c r="O127" i="3"/>
  <c r="P127" i="3" s="1"/>
  <c r="H127" i="3" s="1"/>
  <c r="O148" i="3"/>
  <c r="P148" i="3" s="1"/>
  <c r="H148" i="3" s="1"/>
  <c r="O150" i="3"/>
  <c r="P150" i="3" s="1"/>
  <c r="H150" i="3" s="1"/>
  <c r="O125" i="3"/>
  <c r="P125" i="3" s="1"/>
  <c r="H125" i="3" s="1"/>
  <c r="O123" i="3"/>
  <c r="P123" i="3" s="1"/>
  <c r="H123" i="3" s="1"/>
  <c r="O238" i="3"/>
  <c r="P238" i="3" s="1"/>
  <c r="H238" i="3" s="1"/>
  <c r="O236" i="3"/>
  <c r="P236" i="3" s="1"/>
  <c r="H236" i="3" s="1"/>
  <c r="O242" i="3"/>
  <c r="O240" i="3"/>
  <c r="P240" i="3" s="1"/>
  <c r="H240" i="3" s="1"/>
  <c r="O234" i="3"/>
  <c r="P234" i="3" s="1"/>
  <c r="H234" i="3" s="1"/>
  <c r="O73" i="3"/>
  <c r="P73" i="3" s="1"/>
  <c r="H73" i="3" s="1"/>
  <c r="O31" i="3"/>
  <c r="P31" i="3" s="1"/>
  <c r="H31" i="3" s="1"/>
  <c r="O33" i="3"/>
  <c r="P33" i="3" s="1"/>
  <c r="H33" i="3" s="1"/>
  <c r="O152" i="3"/>
  <c r="O67" i="3"/>
  <c r="P67" i="3" s="1"/>
  <c r="H67" i="3" s="1"/>
  <c r="O66" i="3"/>
  <c r="P66" i="3" s="1"/>
  <c r="H66" i="3" s="1"/>
  <c r="O71" i="3"/>
  <c r="P71" i="3" s="1"/>
  <c r="H71" i="3" s="1"/>
  <c r="O69" i="3"/>
  <c r="P69" i="3" s="1"/>
  <c r="H69" i="3" s="1"/>
  <c r="O232" i="3"/>
  <c r="P232" i="3" s="1"/>
  <c r="H232" i="3" s="1"/>
  <c r="O154" i="3"/>
  <c r="P154" i="3" s="1"/>
  <c r="H154" i="3" s="1"/>
  <c r="O244" i="3"/>
  <c r="P244" i="3" s="1"/>
  <c r="H244" i="3" s="1"/>
  <c r="O246" i="3"/>
  <c r="P246" i="3" s="1"/>
  <c r="H246" i="3" s="1"/>
  <c r="O61" i="3"/>
  <c r="P61" i="3" s="1"/>
  <c r="H61" i="3" s="1"/>
  <c r="O63" i="3"/>
  <c r="P63" i="3" s="1"/>
  <c r="H63" i="3" s="1"/>
  <c r="O35" i="3"/>
  <c r="P35" i="3" s="1"/>
  <c r="H35" i="3" s="1"/>
  <c r="O277" i="3"/>
  <c r="P277" i="3" s="1"/>
  <c r="H277" i="3" s="1"/>
  <c r="O281" i="3"/>
  <c r="P281" i="3" s="1"/>
  <c r="H281" i="3" s="1"/>
  <c r="O185" i="3"/>
  <c r="P185" i="3" s="1"/>
  <c r="H185" i="3" s="1"/>
  <c r="O20" i="3"/>
  <c r="P20" i="3" s="1"/>
  <c r="H20" i="3" s="1"/>
  <c r="O187" i="3"/>
  <c r="P187" i="3" s="1"/>
  <c r="H187" i="3" s="1"/>
  <c r="O129" i="3"/>
  <c r="P129" i="3" s="1"/>
  <c r="H129" i="3" s="1"/>
  <c r="O279" i="3"/>
  <c r="P279" i="3" s="1"/>
  <c r="H279" i="3" s="1"/>
  <c r="O230" i="3"/>
  <c r="P230" i="3" s="1"/>
  <c r="H230" i="3" s="1"/>
  <c r="O171" i="3"/>
  <c r="P171" i="3" s="1"/>
  <c r="H171" i="3" s="1"/>
  <c r="O183" i="3"/>
  <c r="P183" i="3" s="1"/>
  <c r="H183" i="3" s="1"/>
  <c r="O37" i="3"/>
  <c r="P37" i="3" s="1"/>
  <c r="H37" i="3" s="1"/>
  <c r="O177" i="3"/>
  <c r="P177" i="3" s="1"/>
  <c r="H177" i="3" s="1"/>
  <c r="O173" i="3"/>
  <c r="P173" i="3" s="1"/>
  <c r="H173" i="3" s="1"/>
  <c r="O85" i="3"/>
  <c r="P85" i="3" s="1"/>
  <c r="H85" i="3" s="1"/>
  <c r="O225" i="3"/>
  <c r="P225" i="3" s="1"/>
  <c r="H225" i="3" s="1"/>
  <c r="O39" i="3"/>
  <c r="P39" i="3" s="1"/>
  <c r="H39" i="3" s="1"/>
  <c r="O142" i="3"/>
  <c r="P142" i="3" s="1"/>
  <c r="H142" i="3" s="1"/>
  <c r="O146" i="3"/>
  <c r="P146" i="3" s="1"/>
  <c r="H146" i="3" s="1"/>
  <c r="O175" i="3"/>
  <c r="P175" i="3" s="1"/>
  <c r="H175" i="3" s="1"/>
  <c r="O179" i="3"/>
  <c r="P179" i="3" s="1"/>
  <c r="H179" i="3" s="1"/>
  <c r="O181" i="3"/>
  <c r="P181" i="3" s="1"/>
  <c r="H181" i="3" s="1"/>
  <c r="O167" i="3"/>
  <c r="P167" i="3" s="1"/>
  <c r="H167" i="3" s="1"/>
  <c r="O25" i="3"/>
  <c r="P25" i="3" s="1"/>
  <c r="H25" i="3" s="1"/>
  <c r="O53" i="3"/>
  <c r="P53" i="3" s="1"/>
  <c r="H53" i="3" s="1"/>
  <c r="O257" i="3"/>
  <c r="P257" i="3" s="1"/>
  <c r="H257" i="3" s="1"/>
  <c r="O204" i="3"/>
  <c r="P204" i="3" s="1"/>
  <c r="H204" i="3" s="1"/>
  <c r="O255" i="3"/>
  <c r="P255" i="3" s="1"/>
  <c r="H255" i="3" s="1"/>
  <c r="O251" i="3"/>
  <c r="P251" i="3" s="1"/>
  <c r="H251" i="3" s="1"/>
  <c r="O288" i="3"/>
  <c r="P288" i="3" s="1"/>
  <c r="H288" i="3" s="1"/>
  <c r="O208" i="3"/>
  <c r="P208" i="3" s="1"/>
  <c r="H208" i="3" s="1"/>
  <c r="O206" i="3"/>
  <c r="P206" i="3" s="1"/>
  <c r="H206" i="3" s="1"/>
  <c r="O283" i="3"/>
  <c r="P283" i="3" s="1"/>
  <c r="H283" i="3" s="1"/>
  <c r="O290" i="3"/>
  <c r="O140" i="3"/>
  <c r="P140" i="3" s="1"/>
  <c r="H140" i="3" s="1"/>
  <c r="O200" i="3"/>
  <c r="O201" i="3"/>
  <c r="P201" i="3" s="1"/>
  <c r="H201" i="3" s="1"/>
  <c r="O203" i="3"/>
  <c r="P203" i="3" s="1"/>
  <c r="H203" i="3" s="1"/>
  <c r="O18" i="3"/>
  <c r="P18" i="3" s="1"/>
  <c r="H18" i="3" s="1"/>
  <c r="O16" i="3"/>
  <c r="P16" i="3" s="1"/>
  <c r="H16" i="3" s="1"/>
  <c r="O49" i="3"/>
  <c r="P49" i="3" s="1"/>
  <c r="H49" i="3" s="1"/>
  <c r="O47" i="3"/>
  <c r="P47" i="3" s="1"/>
  <c r="H47" i="3" s="1"/>
  <c r="O51" i="3"/>
  <c r="P51" i="3" s="1"/>
  <c r="H51" i="3" s="1"/>
  <c r="O43" i="3"/>
  <c r="P43" i="3" s="1"/>
  <c r="H43" i="3" s="1"/>
  <c r="O41" i="3"/>
  <c r="P41" i="3" s="1"/>
  <c r="H41" i="3" s="1"/>
  <c r="O45" i="3"/>
  <c r="P45" i="3" s="1"/>
  <c r="H45" i="3" s="1"/>
  <c r="O57" i="3"/>
  <c r="O55" i="3"/>
  <c r="P55" i="3" s="1"/>
  <c r="H55" i="3" s="1"/>
  <c r="O139" i="3"/>
  <c r="P139" i="3" s="1"/>
  <c r="H139" i="3" s="1"/>
  <c r="O131" i="3"/>
  <c r="P131" i="3" s="1"/>
  <c r="H131" i="3" s="1"/>
  <c r="O14" i="3"/>
  <c r="P14" i="3" s="1"/>
  <c r="H14" i="3" s="1"/>
  <c r="O81" i="3"/>
  <c r="P81" i="3" s="1"/>
  <c r="H81" i="3" s="1"/>
  <c r="O137" i="3"/>
  <c r="P137" i="3" s="1"/>
  <c r="H137" i="3" s="1"/>
  <c r="O135" i="3"/>
  <c r="P135" i="3" s="1"/>
  <c r="H135" i="3" s="1"/>
  <c r="O193" i="3"/>
  <c r="P193" i="3" s="1"/>
  <c r="H193" i="3" s="1"/>
  <c r="O253" i="3"/>
  <c r="O192" i="3"/>
  <c r="P192" i="3" s="1"/>
  <c r="H192" i="3" s="1"/>
  <c r="O79" i="3"/>
  <c r="P79" i="3" s="1"/>
  <c r="H79" i="3" s="1"/>
  <c r="O10" i="3"/>
  <c r="P10" i="3" s="1"/>
  <c r="H10" i="3" s="1"/>
  <c r="O191" i="3"/>
  <c r="P191" i="3" s="1"/>
  <c r="H191" i="3" s="1"/>
  <c r="O134" i="3"/>
  <c r="P134" i="3" s="1"/>
  <c r="H134" i="3" s="1"/>
  <c r="O189" i="3"/>
  <c r="P189" i="3" s="1"/>
  <c r="H189" i="3" s="1"/>
  <c r="O83" i="3"/>
  <c r="P83" i="3" s="1"/>
  <c r="H83" i="3" s="1"/>
  <c r="O12" i="3"/>
  <c r="P12" i="3" s="1"/>
  <c r="H12" i="3" s="1"/>
  <c r="O78" i="3"/>
  <c r="P78" i="3" s="1"/>
  <c r="H78" i="3" s="1"/>
  <c r="O9" i="3"/>
  <c r="P9" i="3" s="1"/>
  <c r="H9" i="3" s="1"/>
  <c r="O194" i="3"/>
  <c r="P194" i="3" s="1"/>
  <c r="H194" i="3" s="1"/>
  <c r="O29" i="3"/>
  <c r="P29" i="3" s="1"/>
  <c r="H29" i="3" s="1"/>
  <c r="O27" i="3"/>
  <c r="P27" i="3" s="1"/>
  <c r="H27" i="3" s="1"/>
  <c r="O248" i="3"/>
  <c r="P248" i="3" s="1"/>
  <c r="H248" i="3" s="1"/>
  <c r="O197" i="3"/>
  <c r="O75" i="3"/>
  <c r="P75" i="3" s="1"/>
  <c r="H75" i="3" s="1"/>
  <c r="O59" i="3"/>
  <c r="P59" i="3" s="1"/>
  <c r="H59" i="3" s="1"/>
  <c r="O22" i="3"/>
  <c r="P22" i="3" s="1"/>
  <c r="H22" i="3" s="1"/>
  <c r="O132" i="3"/>
  <c r="P132" i="3" s="1"/>
  <c r="H132" i="3" s="1"/>
  <c r="O77" i="3"/>
  <c r="P77" i="3" s="1"/>
  <c r="H77" i="3" s="1"/>
  <c r="O8" i="3"/>
  <c r="P8" i="3" s="1"/>
  <c r="H8" i="3" s="1"/>
  <c r="O24" i="3"/>
  <c r="P24" i="3" s="1"/>
  <c r="H24" i="3" s="1"/>
  <c r="O144" i="3"/>
  <c r="P144" i="3" s="1"/>
  <c r="H144" i="3" s="1"/>
  <c r="O223" i="3"/>
  <c r="P223" i="3" s="1"/>
  <c r="H223" i="3" s="1"/>
  <c r="O221" i="3"/>
  <c r="P221" i="3" s="1"/>
  <c r="H221" i="3" s="1"/>
  <c r="O169" i="3"/>
  <c r="P169" i="3" s="1"/>
  <c r="H169" i="3" s="1"/>
  <c r="O198" i="3"/>
  <c r="P198" i="3" s="1"/>
  <c r="H198" i="3" s="1"/>
  <c r="O291" i="3"/>
  <c r="P291" i="3" s="1"/>
  <c r="H291" i="3" s="1"/>
  <c r="O159" i="3"/>
  <c r="P159" i="3" s="1"/>
  <c r="H159" i="3" s="1"/>
  <c r="O163" i="3"/>
  <c r="P163" i="3" s="1"/>
  <c r="H163" i="3" s="1"/>
  <c r="O157" i="3"/>
  <c r="P157" i="3" s="1"/>
  <c r="H157" i="3" s="1"/>
  <c r="H110" i="3"/>
  <c r="O241" i="3"/>
  <c r="O239" i="3"/>
  <c r="O237" i="3"/>
  <c r="P237" i="3" s="1"/>
  <c r="O235" i="3"/>
  <c r="P235" i="3" s="1"/>
  <c r="O233" i="3"/>
  <c r="H141" i="3"/>
  <c r="H46" i="3"/>
  <c r="H44" i="3"/>
  <c r="H202" i="3"/>
  <c r="H190" i="3"/>
  <c r="P13" i="3"/>
  <c r="H13" i="3" s="1"/>
  <c r="P11" i="3"/>
  <c r="H11" i="3" s="1"/>
  <c r="N286" i="3"/>
  <c r="O285" i="3"/>
  <c r="P285" i="3" s="1"/>
  <c r="N285" i="3"/>
  <c r="N284" i="3"/>
  <c r="H284" i="3" s="1"/>
  <c r="O249" i="3"/>
  <c r="P249" i="3" s="1"/>
  <c r="N249" i="3"/>
  <c r="N196" i="3"/>
  <c r="N195" i="3"/>
  <c r="N158" i="3"/>
  <c r="H158" i="3" s="1"/>
  <c r="N156" i="3"/>
  <c r="N165" i="3"/>
  <c r="N164" i="3"/>
  <c r="N162" i="3"/>
  <c r="N161" i="3"/>
  <c r="N160" i="3"/>
  <c r="N28" i="3"/>
  <c r="N26" i="3"/>
  <c r="H165" i="3" l="1"/>
  <c r="H156" i="3"/>
  <c r="H160" i="3"/>
  <c r="H285" i="3"/>
  <c r="H249" i="3"/>
  <c r="H161" i="3"/>
  <c r="P239" i="3"/>
  <c r="H239" i="3" s="1"/>
  <c r="H28" i="3"/>
  <c r="H235" i="3"/>
  <c r="H237" i="3"/>
  <c r="P241" i="3"/>
  <c r="H241" i="3" s="1"/>
  <c r="H162" i="3"/>
  <c r="H164" i="3"/>
  <c r="H195" i="3"/>
  <c r="H196" i="3"/>
  <c r="O180" i="2" l="1"/>
  <c r="G180" i="2"/>
  <c r="O182" i="2"/>
  <c r="O181" i="2"/>
  <c r="G181" i="2" s="1"/>
  <c r="M126" i="2"/>
  <c r="M107" i="2"/>
  <c r="M191" i="2"/>
  <c r="M190" i="2"/>
  <c r="M189" i="2"/>
  <c r="M188" i="2"/>
  <c r="M187" i="2"/>
  <c r="G187" i="2" s="1"/>
  <c r="M104" i="2"/>
  <c r="G104" i="2" s="1"/>
  <c r="M105" i="2"/>
  <c r="M106" i="2"/>
  <c r="M108" i="2"/>
  <c r="M109" i="2"/>
  <c r="M118" i="2"/>
  <c r="M119" i="2"/>
  <c r="M120" i="2"/>
  <c r="M121" i="2"/>
  <c r="M122" i="2"/>
  <c r="M123" i="2"/>
  <c r="M124" i="2"/>
  <c r="M125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82" i="2"/>
  <c r="M183" i="2"/>
  <c r="M184" i="2"/>
  <c r="M185" i="2"/>
  <c r="M186" i="2"/>
  <c r="M192" i="2"/>
  <c r="M193" i="2"/>
  <c r="M194" i="2"/>
  <c r="M195" i="2"/>
  <c r="M196" i="2"/>
  <c r="M197" i="2"/>
  <c r="M198" i="2"/>
  <c r="M199" i="2"/>
  <c r="M103" i="2"/>
  <c r="M209" i="2"/>
  <c r="M210" i="2"/>
  <c r="M211" i="2"/>
  <c r="M212" i="2"/>
  <c r="M213" i="2"/>
  <c r="M214" i="2"/>
  <c r="M215" i="2"/>
  <c r="M216" i="2"/>
  <c r="M201" i="2"/>
  <c r="M202" i="2"/>
  <c r="M203" i="2"/>
  <c r="M204" i="2"/>
  <c r="M205" i="2"/>
  <c r="M206" i="2"/>
  <c r="M207" i="2"/>
  <c r="M208" i="2"/>
  <c r="M200" i="2"/>
  <c r="M218" i="2"/>
  <c r="M219" i="2"/>
  <c r="G219" i="2" s="1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G235" i="2" s="1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G251" i="2" s="1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G267" i="2" s="1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G283" i="2" s="1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G299" i="2" s="1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G315" i="2" s="1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G330" i="2" s="1"/>
  <c r="M331" i="2"/>
  <c r="G331" i="2" s="1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G346" i="2" s="1"/>
  <c r="M347" i="2"/>
  <c r="G347" i="2" s="1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G363" i="2" s="1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G379" i="2" s="1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G395" i="2" s="1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G411" i="2" s="1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G427" i="2" s="1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G443" i="2" s="1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G459" i="2" s="1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G475" i="2" s="1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G491" i="2" s="1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G507" i="2" s="1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G523" i="2" s="1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G539" i="2" s="1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G555" i="2" s="1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G571" i="2" s="1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G587" i="2" s="1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G603" i="2" s="1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G619" i="2" s="1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G635" i="2" s="1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G651" i="2" s="1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G667" i="2" s="1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G683" i="2" s="1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G699" i="2" s="1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G715" i="2" s="1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G731" i="2" s="1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G747" i="2" s="1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G763" i="2" s="1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G779" i="2" s="1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G795" i="2" s="1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G811" i="2" s="1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G827" i="2" s="1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G843" i="2" s="1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G859" i="2" s="1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G875" i="2" s="1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G891" i="2" s="1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G907" i="2" s="1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G923" i="2" s="1"/>
  <c r="M924" i="2"/>
  <c r="G924" i="2" s="1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G939" i="2" s="1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G955" i="2" s="1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G971" i="2" s="1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G987" i="2" s="1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G1003" i="2" s="1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G1019" i="2" s="1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G1035" i="2" s="1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G1051" i="2" s="1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G1067" i="2" s="1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G1083" i="2" s="1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G1099" i="2" s="1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G1115" i="2" s="1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G1131" i="2" s="1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G1147" i="2" s="1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G1163" i="2" s="1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G1179" i="2" s="1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G1195" i="2" s="1"/>
  <c r="M1196" i="2"/>
  <c r="G1196" i="2" s="1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G1211" i="2" s="1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G1227" i="2" s="1"/>
  <c r="M1228" i="2"/>
  <c r="M1229" i="2"/>
  <c r="M1230" i="2"/>
  <c r="M1231" i="2"/>
  <c r="M1232" i="2"/>
  <c r="M217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M16" i="2" s="1"/>
  <c r="N17" i="2"/>
  <c r="N18" i="2"/>
  <c r="M18" i="2" s="1"/>
  <c r="N19" i="2"/>
  <c r="M19" i="2" s="1"/>
  <c r="N20" i="2"/>
  <c r="N21" i="2"/>
  <c r="M21" i="2" s="1"/>
  <c r="N22" i="2"/>
  <c r="N23" i="2"/>
  <c r="M23" i="2" s="1"/>
  <c r="N24" i="2"/>
  <c r="N25" i="2"/>
  <c r="M25" i="2" s="1"/>
  <c r="G25" i="2" s="1"/>
  <c r="N26" i="2"/>
  <c r="N27" i="2"/>
  <c r="N28" i="2"/>
  <c r="N29" i="2"/>
  <c r="N30" i="2"/>
  <c r="N31" i="2"/>
  <c r="N32" i="2"/>
  <c r="N33" i="2"/>
  <c r="N34" i="2"/>
  <c r="N35" i="2"/>
  <c r="N36" i="2"/>
  <c r="M36" i="2" s="1"/>
  <c r="N37" i="2"/>
  <c r="N38" i="2"/>
  <c r="N39" i="2"/>
  <c r="N40" i="2"/>
  <c r="N41" i="2"/>
  <c r="N42" i="2"/>
  <c r="N43" i="2"/>
  <c r="M43" i="2" s="1"/>
  <c r="N44" i="2"/>
  <c r="M44" i="2" s="1"/>
  <c r="G44" i="2" s="1"/>
  <c r="N45" i="2"/>
  <c r="M45" i="2" s="1"/>
  <c r="N46" i="2"/>
  <c r="M46" i="2" s="1"/>
  <c r="G46" i="2" s="1"/>
  <c r="N47" i="2"/>
  <c r="M47" i="2" s="1"/>
  <c r="N48" i="2"/>
  <c r="M48" i="2" s="1"/>
  <c r="N49" i="2"/>
  <c r="M49" i="2" s="1"/>
  <c r="N50" i="2"/>
  <c r="M50" i="2" s="1"/>
  <c r="N51" i="2"/>
  <c r="N52" i="2"/>
  <c r="N53" i="2"/>
  <c r="M53" i="2" s="1"/>
  <c r="N54" i="2"/>
  <c r="M54" i="2" s="1"/>
  <c r="N55" i="2"/>
  <c r="M55" i="2" s="1"/>
  <c r="N56" i="2"/>
  <c r="M56" i="2" s="1"/>
  <c r="N57" i="2"/>
  <c r="M57" i="2" s="1"/>
  <c r="N58" i="2"/>
  <c r="M58" i="2" s="1"/>
  <c r="N59" i="2"/>
  <c r="M59" i="2" s="1"/>
  <c r="G59" i="2" s="1"/>
  <c r="N60" i="2"/>
  <c r="M60" i="2" s="1"/>
  <c r="N61" i="2"/>
  <c r="M61" i="2" s="1"/>
  <c r="N62" i="2"/>
  <c r="M62" i="2" s="1"/>
  <c r="G62" i="2" s="1"/>
  <c r="N63" i="2"/>
  <c r="M63" i="2" s="1"/>
  <c r="N64" i="2"/>
  <c r="M64" i="2" s="1"/>
  <c r="N65" i="2"/>
  <c r="M65" i="2" s="1"/>
  <c r="N66" i="2"/>
  <c r="M66" i="2" s="1"/>
  <c r="N67" i="2"/>
  <c r="M67" i="2" s="1"/>
  <c r="N68" i="2"/>
  <c r="M68" i="2" s="1"/>
  <c r="N69" i="2"/>
  <c r="M69" i="2" s="1"/>
  <c r="N70" i="2"/>
  <c r="M70" i="2" s="1"/>
  <c r="N71" i="2"/>
  <c r="M71" i="2" s="1"/>
  <c r="N72" i="2"/>
  <c r="M72" i="2" s="1"/>
  <c r="N73" i="2"/>
  <c r="M73" i="2" s="1"/>
  <c r="G73" i="2" s="1"/>
  <c r="N74" i="2"/>
  <c r="M74" i="2" s="1"/>
  <c r="N75" i="2"/>
  <c r="M75" i="2" s="1"/>
  <c r="G75" i="2" s="1"/>
  <c r="N76" i="2"/>
  <c r="M76" i="2" s="1"/>
  <c r="G76" i="2" s="1"/>
  <c r="N77" i="2"/>
  <c r="M77" i="2" s="1"/>
  <c r="N78" i="2"/>
  <c r="M78" i="2" s="1"/>
  <c r="G78" i="2" s="1"/>
  <c r="N79" i="2"/>
  <c r="M79" i="2" s="1"/>
  <c r="N80" i="2"/>
  <c r="M80" i="2" s="1"/>
  <c r="N81" i="2"/>
  <c r="M81" i="2" s="1"/>
  <c r="N82" i="2"/>
  <c r="M82" i="2" s="1"/>
  <c r="N83" i="2"/>
  <c r="M83" i="2" s="1"/>
  <c r="N84" i="2"/>
  <c r="M84" i="2" s="1"/>
  <c r="N85" i="2"/>
  <c r="M85" i="2" s="1"/>
  <c r="N86" i="2"/>
  <c r="M86" i="2" s="1"/>
  <c r="N87" i="2"/>
  <c r="M87" i="2" s="1"/>
  <c r="N88" i="2"/>
  <c r="M88" i="2" s="1"/>
  <c r="N89" i="2"/>
  <c r="M89" i="2" s="1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2" i="2"/>
  <c r="O3" i="2"/>
  <c r="G3" i="2" s="1"/>
  <c r="O4" i="2"/>
  <c r="G4" i="2" s="1"/>
  <c r="O5" i="2"/>
  <c r="G5" i="2" s="1"/>
  <c r="O6" i="2"/>
  <c r="G6" i="2" s="1"/>
  <c r="O7" i="2"/>
  <c r="G7" i="2" s="1"/>
  <c r="O8" i="2"/>
  <c r="G8" i="2" s="1"/>
  <c r="O9" i="2"/>
  <c r="G9" i="2" s="1"/>
  <c r="O10" i="2"/>
  <c r="G10" i="2" s="1"/>
  <c r="O11" i="2"/>
  <c r="G11" i="2" s="1"/>
  <c r="O12" i="2"/>
  <c r="G12" i="2" s="1"/>
  <c r="O13" i="2"/>
  <c r="G13" i="2" s="1"/>
  <c r="O14" i="2"/>
  <c r="G14" i="2" s="1"/>
  <c r="O15" i="2"/>
  <c r="G15" i="2" s="1"/>
  <c r="O16" i="2"/>
  <c r="O17" i="2"/>
  <c r="G17" i="2" s="1"/>
  <c r="O18" i="2"/>
  <c r="O19" i="2"/>
  <c r="O20" i="2"/>
  <c r="G20" i="2" s="1"/>
  <c r="O21" i="2"/>
  <c r="O22" i="2"/>
  <c r="G22" i="2" s="1"/>
  <c r="O23" i="2"/>
  <c r="O24" i="2"/>
  <c r="G24" i="2" s="1"/>
  <c r="O25" i="2"/>
  <c r="O26" i="2"/>
  <c r="G26" i="2" s="1"/>
  <c r="O27" i="2"/>
  <c r="G27" i="2" s="1"/>
  <c r="O28" i="2"/>
  <c r="G28" i="2" s="1"/>
  <c r="O29" i="2"/>
  <c r="G29" i="2" s="1"/>
  <c r="O30" i="2"/>
  <c r="G30" i="2" s="1"/>
  <c r="O31" i="2"/>
  <c r="G31" i="2" s="1"/>
  <c r="O32" i="2"/>
  <c r="G32" i="2" s="1"/>
  <c r="O33" i="2"/>
  <c r="G33" i="2" s="1"/>
  <c r="O34" i="2"/>
  <c r="G34" i="2" s="1"/>
  <c r="O35" i="2"/>
  <c r="G35" i="2" s="1"/>
  <c r="O36" i="2"/>
  <c r="O37" i="2"/>
  <c r="G37" i="2" s="1"/>
  <c r="O38" i="2"/>
  <c r="G38" i="2" s="1"/>
  <c r="O39" i="2"/>
  <c r="G39" i="2" s="1"/>
  <c r="O40" i="2"/>
  <c r="G40" i="2" s="1"/>
  <c r="O41" i="2"/>
  <c r="G41" i="2" s="1"/>
  <c r="O42" i="2"/>
  <c r="G42" i="2" s="1"/>
  <c r="O43" i="2"/>
  <c r="O44" i="2"/>
  <c r="O45" i="2"/>
  <c r="O46" i="2"/>
  <c r="O47" i="2"/>
  <c r="O48" i="2"/>
  <c r="O49" i="2"/>
  <c r="O50" i="2"/>
  <c r="O51" i="2"/>
  <c r="G51" i="2" s="1"/>
  <c r="O52" i="2"/>
  <c r="G52" i="2" s="1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G90" i="2" s="1"/>
  <c r="O91" i="2"/>
  <c r="G91" i="2" s="1"/>
  <c r="O92" i="2"/>
  <c r="G92" i="2" s="1"/>
  <c r="O93" i="2"/>
  <c r="G93" i="2" s="1"/>
  <c r="O94" i="2"/>
  <c r="G94" i="2" s="1"/>
  <c r="O95" i="2"/>
  <c r="G95" i="2" s="1"/>
  <c r="O96" i="2"/>
  <c r="G96" i="2" s="1"/>
  <c r="O97" i="2"/>
  <c r="G97" i="2" s="1"/>
  <c r="O98" i="2"/>
  <c r="G98" i="2" s="1"/>
  <c r="O99" i="2"/>
  <c r="G99" i="2" s="1"/>
  <c r="O100" i="2"/>
  <c r="G100" i="2" s="1"/>
  <c r="O101" i="2"/>
  <c r="G101" i="2" s="1"/>
  <c r="O102" i="2"/>
  <c r="G102" i="2" s="1"/>
  <c r="O103" i="2"/>
  <c r="O104" i="2"/>
  <c r="O105" i="2"/>
  <c r="O106" i="2"/>
  <c r="O107" i="2"/>
  <c r="O108" i="2"/>
  <c r="O109" i="2"/>
  <c r="O110" i="2"/>
  <c r="G110" i="2" s="1"/>
  <c r="O111" i="2"/>
  <c r="G111" i="2" s="1"/>
  <c r="O112" i="2"/>
  <c r="G112" i="2" s="1"/>
  <c r="O113" i="2"/>
  <c r="G113" i="2" s="1"/>
  <c r="O114" i="2"/>
  <c r="G114" i="2" s="1"/>
  <c r="O115" i="2"/>
  <c r="G115" i="2" s="1"/>
  <c r="O116" i="2"/>
  <c r="G116" i="2" s="1"/>
  <c r="O117" i="2"/>
  <c r="G117" i="2" s="1"/>
  <c r="O118" i="2"/>
  <c r="O119" i="2"/>
  <c r="O120" i="2"/>
  <c r="O121" i="2"/>
  <c r="O122" i="2"/>
  <c r="O123" i="2"/>
  <c r="O124" i="2"/>
  <c r="G124" i="2" s="1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G141" i="2" s="1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G157" i="2" s="1"/>
  <c r="O158" i="2"/>
  <c r="O159" i="2"/>
  <c r="G159" i="2" s="1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G173" i="2" s="1"/>
  <c r="O174" i="2"/>
  <c r="O175" i="2"/>
  <c r="O176" i="2"/>
  <c r="O177" i="2"/>
  <c r="O178" i="2"/>
  <c r="G178" i="2" s="1"/>
  <c r="O179" i="2"/>
  <c r="G179" i="2" s="1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G206" i="2" s="1"/>
  <c r="O207" i="2"/>
  <c r="O208" i="2"/>
  <c r="O209" i="2"/>
  <c r="G209" i="2" s="1"/>
  <c r="O210" i="2"/>
  <c r="G210" i="2" s="1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2" i="2"/>
  <c r="G2" i="2" s="1"/>
  <c r="G1138" i="2" l="1"/>
  <c r="G722" i="2"/>
  <c r="G546" i="2"/>
  <c r="G1090" i="2"/>
  <c r="G201" i="2"/>
  <c r="G85" i="2"/>
  <c r="G69" i="2"/>
  <c r="G53" i="2"/>
  <c r="G21" i="2"/>
  <c r="G1218" i="2"/>
  <c r="G1202" i="2"/>
  <c r="G1186" i="2"/>
  <c r="G1170" i="2"/>
  <c r="G1154" i="2"/>
  <c r="G1106" i="2"/>
  <c r="G1074" i="2"/>
  <c r="G1058" i="2"/>
  <c r="G1042" i="2"/>
  <c r="G1026" i="2"/>
  <c r="G1010" i="2"/>
  <c r="G994" i="2"/>
  <c r="G978" i="2"/>
  <c r="G962" i="2"/>
  <c r="G946" i="2"/>
  <c r="G930" i="2"/>
  <c r="G914" i="2"/>
  <c r="G898" i="2"/>
  <c r="G882" i="2"/>
  <c r="G850" i="2"/>
  <c r="G834" i="2"/>
  <c r="G818" i="2"/>
  <c r="G802" i="2"/>
  <c r="G786" i="2"/>
  <c r="G770" i="2"/>
  <c r="G754" i="2"/>
  <c r="G738" i="2"/>
  <c r="G706" i="2"/>
  <c r="G690" i="2"/>
  <c r="G674" i="2"/>
  <c r="G658" i="2"/>
  <c r="G642" i="2"/>
  <c r="G626" i="2"/>
  <c r="G610" i="2"/>
  <c r="G594" i="2"/>
  <c r="G578" i="2"/>
  <c r="G562" i="2"/>
  <c r="G530" i="2"/>
  <c r="G514" i="2"/>
  <c r="G498" i="2"/>
  <c r="G482" i="2"/>
  <c r="G466" i="2"/>
  <c r="G450" i="2"/>
  <c r="G434" i="2"/>
  <c r="G418" i="2"/>
  <c r="G402" i="2"/>
  <c r="G386" i="2"/>
  <c r="G370" i="2"/>
  <c r="G84" i="2"/>
  <c r="G68" i="2"/>
  <c r="G36" i="2"/>
  <c r="G618" i="2"/>
  <c r="G545" i="2"/>
  <c r="G257" i="2"/>
  <c r="G168" i="2"/>
  <c r="G152" i="2"/>
  <c r="G1082" i="2"/>
  <c r="G120" i="2"/>
  <c r="G136" i="2"/>
  <c r="G730" i="2"/>
  <c r="G538" i="2"/>
  <c r="G1001" i="2"/>
  <c r="G937" i="2"/>
  <c r="G203" i="2"/>
  <c r="G176" i="2"/>
  <c r="G144" i="2"/>
  <c r="G79" i="2"/>
  <c r="G63" i="2"/>
  <c r="G47" i="2"/>
  <c r="G1230" i="2"/>
  <c r="G1214" i="2"/>
  <c r="G1198" i="2"/>
  <c r="G1182" i="2"/>
  <c r="G1166" i="2"/>
  <c r="G1150" i="2"/>
  <c r="G1134" i="2"/>
  <c r="G1118" i="2"/>
  <c r="G1102" i="2"/>
  <c r="G1086" i="2"/>
  <c r="G1070" i="2"/>
  <c r="G1054" i="2"/>
  <c r="G1038" i="2"/>
  <c r="G1022" i="2"/>
  <c r="G1006" i="2"/>
  <c r="G990" i="2"/>
  <c r="G974" i="2"/>
  <c r="G958" i="2"/>
  <c r="G942" i="2"/>
  <c r="G926" i="2"/>
  <c r="G910" i="2"/>
  <c r="G894" i="2"/>
  <c r="G878" i="2"/>
  <c r="G862" i="2"/>
  <c r="G846" i="2"/>
  <c r="G830" i="2"/>
  <c r="G814" i="2"/>
  <c r="G798" i="2"/>
  <c r="G782" i="2"/>
  <c r="G766" i="2"/>
  <c r="G750" i="2"/>
  <c r="G734" i="2"/>
  <c r="G718" i="2"/>
  <c r="G702" i="2"/>
  <c r="G686" i="2"/>
  <c r="G670" i="2"/>
  <c r="G654" i="2"/>
  <c r="G638" i="2"/>
  <c r="G622" i="2"/>
  <c r="G606" i="2"/>
  <c r="G590" i="2"/>
  <c r="G574" i="2"/>
  <c r="G558" i="2"/>
  <c r="G542" i="2"/>
  <c r="G526" i="2"/>
  <c r="G510" i="2"/>
  <c r="G494" i="2"/>
  <c r="G478" i="2"/>
  <c r="G462" i="2"/>
  <c r="G446" i="2"/>
  <c r="G430" i="2"/>
  <c r="G414" i="2"/>
  <c r="G398" i="2"/>
  <c r="G382" i="2"/>
  <c r="G366" i="2"/>
  <c r="G350" i="2"/>
  <c r="G334" i="2"/>
  <c r="G318" i="2"/>
  <c r="G302" i="2"/>
  <c r="G286" i="2"/>
  <c r="G270" i="2"/>
  <c r="G254" i="2"/>
  <c r="G238" i="2"/>
  <c r="G222" i="2"/>
  <c r="G108" i="2"/>
  <c r="G202" i="2"/>
  <c r="G119" i="2"/>
  <c r="G186" i="2"/>
  <c r="G214" i="2"/>
  <c r="G1194" i="2"/>
  <c r="G1066" i="2"/>
  <c r="G1002" i="2"/>
  <c r="G922" i="2"/>
  <c r="G890" i="2"/>
  <c r="G858" i="2"/>
  <c r="G826" i="2"/>
  <c r="G794" i="2"/>
  <c r="G762" i="2"/>
  <c r="G714" i="2"/>
  <c r="G666" i="2"/>
  <c r="G570" i="2"/>
  <c r="G522" i="2"/>
  <c r="G490" i="2"/>
  <c r="G458" i="2"/>
  <c r="G426" i="2"/>
  <c r="G378" i="2"/>
  <c r="G314" i="2"/>
  <c r="G282" i="2"/>
  <c r="G234" i="2"/>
  <c r="G123" i="2"/>
  <c r="G205" i="2"/>
  <c r="G354" i="2"/>
  <c r="G338" i="2"/>
  <c r="G322" i="2"/>
  <c r="G306" i="2"/>
  <c r="G290" i="2"/>
  <c r="G274" i="2"/>
  <c r="G258" i="2"/>
  <c r="G242" i="2"/>
  <c r="G226" i="2"/>
  <c r="G194" i="2"/>
  <c r="G164" i="2"/>
  <c r="G148" i="2"/>
  <c r="G132" i="2"/>
  <c r="G1217" i="2"/>
  <c r="G1201" i="2"/>
  <c r="G1185" i="2"/>
  <c r="G1169" i="2"/>
  <c r="G1153" i="2"/>
  <c r="G1137" i="2"/>
  <c r="G1121" i="2"/>
  <c r="G1105" i="2"/>
  <c r="G1089" i="2"/>
  <c r="G1073" i="2"/>
  <c r="G1057" i="2"/>
  <c r="G1041" i="2"/>
  <c r="G1025" i="2"/>
  <c r="G1009" i="2"/>
  <c r="G993" i="2"/>
  <c r="G977" i="2"/>
  <c r="G961" i="2"/>
  <c r="G945" i="2"/>
  <c r="G929" i="2"/>
  <c r="G913" i="2"/>
  <c r="G897" i="2"/>
  <c r="G881" i="2"/>
  <c r="G865" i="2"/>
  <c r="G849" i="2"/>
  <c r="G833" i="2"/>
  <c r="G817" i="2"/>
  <c r="G801" i="2"/>
  <c r="G785" i="2"/>
  <c r="G705" i="2"/>
  <c r="G513" i="2"/>
  <c r="G172" i="2"/>
  <c r="G156" i="2"/>
  <c r="G140" i="2"/>
  <c r="G1226" i="2"/>
  <c r="G1210" i="2"/>
  <c r="G1178" i="2"/>
  <c r="G1162" i="2"/>
  <c r="G1146" i="2"/>
  <c r="G1130" i="2"/>
  <c r="G1114" i="2"/>
  <c r="G1098" i="2"/>
  <c r="G1050" i="2"/>
  <c r="G1034" i="2"/>
  <c r="G1018" i="2"/>
  <c r="G986" i="2"/>
  <c r="G970" i="2"/>
  <c r="G954" i="2"/>
  <c r="G938" i="2"/>
  <c r="G906" i="2"/>
  <c r="G874" i="2"/>
  <c r="G842" i="2"/>
  <c r="G810" i="2"/>
  <c r="G778" i="2"/>
  <c r="G746" i="2"/>
  <c r="G698" i="2"/>
  <c r="G682" i="2"/>
  <c r="G650" i="2"/>
  <c r="G634" i="2"/>
  <c r="G602" i="2"/>
  <c r="G586" i="2"/>
  <c r="G554" i="2"/>
  <c r="G506" i="2"/>
  <c r="G474" i="2"/>
  <c r="G442" i="2"/>
  <c r="G410" i="2"/>
  <c r="G394" i="2"/>
  <c r="G362" i="2"/>
  <c r="G298" i="2"/>
  <c r="G266" i="2"/>
  <c r="G250" i="2"/>
  <c r="G218" i="2"/>
  <c r="G107" i="2"/>
  <c r="G217" i="2"/>
  <c r="G769" i="2"/>
  <c r="G737" i="2"/>
  <c r="G673" i="2"/>
  <c r="G577" i="2"/>
  <c r="G417" i="2"/>
  <c r="G353" i="2"/>
  <c r="G1231" i="2"/>
  <c r="G1215" i="2"/>
  <c r="G1199" i="2"/>
  <c r="G1183" i="2"/>
  <c r="G1167" i="2"/>
  <c r="G1151" i="2"/>
  <c r="G1135" i="2"/>
  <c r="G1119" i="2"/>
  <c r="G1103" i="2"/>
  <c r="G1087" i="2"/>
  <c r="G1071" i="2"/>
  <c r="G1055" i="2"/>
  <c r="G1039" i="2"/>
  <c r="G1023" i="2"/>
  <c r="G1007" i="2"/>
  <c r="G991" i="2"/>
  <c r="G975" i="2"/>
  <c r="G959" i="2"/>
  <c r="G943" i="2"/>
  <c r="G927" i="2"/>
  <c r="G911" i="2"/>
  <c r="G895" i="2"/>
  <c r="G879" i="2"/>
  <c r="G863" i="2"/>
  <c r="G847" i="2"/>
  <c r="G831" i="2"/>
  <c r="G815" i="2"/>
  <c r="G799" i="2"/>
  <c r="G783" i="2"/>
  <c r="G767" i="2"/>
  <c r="G751" i="2"/>
  <c r="G735" i="2"/>
  <c r="G719" i="2"/>
  <c r="G703" i="2"/>
  <c r="G687" i="2"/>
  <c r="G671" i="2"/>
  <c r="G655" i="2"/>
  <c r="G639" i="2"/>
  <c r="G623" i="2"/>
  <c r="G607" i="2"/>
  <c r="G591" i="2"/>
  <c r="G575" i="2"/>
  <c r="G559" i="2"/>
  <c r="G543" i="2"/>
  <c r="G527" i="2"/>
  <c r="G511" i="2"/>
  <c r="G495" i="2"/>
  <c r="G479" i="2"/>
  <c r="G463" i="2"/>
  <c r="G447" i="2"/>
  <c r="G431" i="2"/>
  <c r="G415" i="2"/>
  <c r="G399" i="2"/>
  <c r="G383" i="2"/>
  <c r="G367" i="2"/>
  <c r="G351" i="2"/>
  <c r="G335" i="2"/>
  <c r="G319" i="2"/>
  <c r="G303" i="2"/>
  <c r="G287" i="2"/>
  <c r="G271" i="2"/>
  <c r="G255" i="2"/>
  <c r="G239" i="2"/>
  <c r="G223" i="2"/>
  <c r="G109" i="2"/>
  <c r="G185" i="2"/>
  <c r="G165" i="2"/>
  <c r="G149" i="2"/>
  <c r="G87" i="2"/>
  <c r="G71" i="2"/>
  <c r="G55" i="2"/>
  <c r="G23" i="2"/>
  <c r="G133" i="2"/>
  <c r="G184" i="2"/>
  <c r="G1097" i="2"/>
  <c r="G1122" i="2"/>
  <c r="G866" i="2"/>
  <c r="G127" i="2"/>
  <c r="G80" i="2"/>
  <c r="G48" i="2"/>
  <c r="G16" i="2"/>
  <c r="G215" i="2"/>
  <c r="G166" i="2"/>
  <c r="G150" i="2"/>
  <c r="G134" i="2"/>
  <c r="G171" i="2"/>
  <c r="G155" i="2"/>
  <c r="G139" i="2"/>
  <c r="G58" i="2"/>
  <c r="G1225" i="2"/>
  <c r="G1209" i="2"/>
  <c r="G1193" i="2"/>
  <c r="G1177" i="2"/>
  <c r="G1161" i="2"/>
  <c r="G1145" i="2"/>
  <c r="G1129" i="2"/>
  <c r="G1113" i="2"/>
  <c r="G1081" i="2"/>
  <c r="G1065" i="2"/>
  <c r="G1049" i="2"/>
  <c r="G1033" i="2"/>
  <c r="G1017" i="2"/>
  <c r="G985" i="2"/>
  <c r="G969" i="2"/>
  <c r="G953" i="2"/>
  <c r="G921" i="2"/>
  <c r="G905" i="2"/>
  <c r="G889" i="2"/>
  <c r="G873" i="2"/>
  <c r="G857" i="2"/>
  <c r="G841" i="2"/>
  <c r="G825" i="2"/>
  <c r="G809" i="2"/>
  <c r="G793" i="2"/>
  <c r="G777" i="2"/>
  <c r="G761" i="2"/>
  <c r="G745" i="2"/>
  <c r="G729" i="2"/>
  <c r="G713" i="2"/>
  <c r="G697" i="2"/>
  <c r="G681" i="2"/>
  <c r="G665" i="2"/>
  <c r="G649" i="2"/>
  <c r="G633" i="2"/>
  <c r="G617" i="2"/>
  <c r="G601" i="2"/>
  <c r="G585" i="2"/>
  <c r="G569" i="2"/>
  <c r="G553" i="2"/>
  <c r="G537" i="2"/>
  <c r="G521" i="2"/>
  <c r="G505" i="2"/>
  <c r="G489" i="2"/>
  <c r="G473" i="2"/>
  <c r="G457" i="2"/>
  <c r="G441" i="2"/>
  <c r="G425" i="2"/>
  <c r="G409" i="2"/>
  <c r="G393" i="2"/>
  <c r="G377" i="2"/>
  <c r="G361" i="2"/>
  <c r="G345" i="2"/>
  <c r="G329" i="2"/>
  <c r="G313" i="2"/>
  <c r="G297" i="2"/>
  <c r="G281" i="2"/>
  <c r="G265" i="2"/>
  <c r="G249" i="2"/>
  <c r="G233" i="2"/>
  <c r="G200" i="2"/>
  <c r="G625" i="2"/>
  <c r="G481" i="2"/>
  <c r="G433" i="2"/>
  <c r="G385" i="2"/>
  <c r="G337" i="2"/>
  <c r="G289" i="2"/>
  <c r="G225" i="2"/>
  <c r="G126" i="2"/>
  <c r="G163" i="2"/>
  <c r="G170" i="2"/>
  <c r="G154" i="2"/>
  <c r="G138" i="2"/>
  <c r="G122" i="2"/>
  <c r="G1224" i="2"/>
  <c r="G1208" i="2"/>
  <c r="G1192" i="2"/>
  <c r="G1176" i="2"/>
  <c r="G1160" i="2"/>
  <c r="G1144" i="2"/>
  <c r="G1128" i="2"/>
  <c r="G1112" i="2"/>
  <c r="G1096" i="2"/>
  <c r="G1080" i="2"/>
  <c r="G1064" i="2"/>
  <c r="G1048" i="2"/>
  <c r="G1032" i="2"/>
  <c r="G1016" i="2"/>
  <c r="G1000" i="2"/>
  <c r="G984" i="2"/>
  <c r="G968" i="2"/>
  <c r="G952" i="2"/>
  <c r="G936" i="2"/>
  <c r="G920" i="2"/>
  <c r="G904" i="2"/>
  <c r="G888" i="2"/>
  <c r="G872" i="2"/>
  <c r="G856" i="2"/>
  <c r="G840" i="2"/>
  <c r="G824" i="2"/>
  <c r="G808" i="2"/>
  <c r="G792" i="2"/>
  <c r="G776" i="2"/>
  <c r="G760" i="2"/>
  <c r="G744" i="2"/>
  <c r="G728" i="2"/>
  <c r="G712" i="2"/>
  <c r="G696" i="2"/>
  <c r="G680" i="2"/>
  <c r="G664" i="2"/>
  <c r="G648" i="2"/>
  <c r="G632" i="2"/>
  <c r="G616" i="2"/>
  <c r="G600" i="2"/>
  <c r="G584" i="2"/>
  <c r="G568" i="2"/>
  <c r="G552" i="2"/>
  <c r="G536" i="2"/>
  <c r="G520" i="2"/>
  <c r="G504" i="2"/>
  <c r="G488" i="2"/>
  <c r="G472" i="2"/>
  <c r="G456" i="2"/>
  <c r="G440" i="2"/>
  <c r="G424" i="2"/>
  <c r="G408" i="2"/>
  <c r="G392" i="2"/>
  <c r="G376" i="2"/>
  <c r="G360" i="2"/>
  <c r="G344" i="2"/>
  <c r="G328" i="2"/>
  <c r="G312" i="2"/>
  <c r="G296" i="2"/>
  <c r="G280" i="2"/>
  <c r="G264" i="2"/>
  <c r="G248" i="2"/>
  <c r="G232" i="2"/>
  <c r="G103" i="2"/>
  <c r="G721" i="2"/>
  <c r="G657" i="2"/>
  <c r="G609" i="2"/>
  <c r="G529" i="2"/>
  <c r="G465" i="2"/>
  <c r="G369" i="2"/>
  <c r="G321" i="2"/>
  <c r="G273" i="2"/>
  <c r="G147" i="2"/>
  <c r="G204" i="2"/>
  <c r="G169" i="2"/>
  <c r="G153" i="2"/>
  <c r="G137" i="2"/>
  <c r="G121" i="2"/>
  <c r="G88" i="2"/>
  <c r="G72" i="2"/>
  <c r="G56" i="2"/>
  <c r="G1223" i="2"/>
  <c r="G1207" i="2"/>
  <c r="G1191" i="2"/>
  <c r="G1175" i="2"/>
  <c r="G1159" i="2"/>
  <c r="G1143" i="2"/>
  <c r="G1127" i="2"/>
  <c r="G1111" i="2"/>
  <c r="G1095" i="2"/>
  <c r="G1079" i="2"/>
  <c r="G1063" i="2"/>
  <c r="G1047" i="2"/>
  <c r="G1031" i="2"/>
  <c r="G1015" i="2"/>
  <c r="G999" i="2"/>
  <c r="G983" i="2"/>
  <c r="G967" i="2"/>
  <c r="G951" i="2"/>
  <c r="G935" i="2"/>
  <c r="G919" i="2"/>
  <c r="G903" i="2"/>
  <c r="G887" i="2"/>
  <c r="G871" i="2"/>
  <c r="G855" i="2"/>
  <c r="G839" i="2"/>
  <c r="G823" i="2"/>
  <c r="G807" i="2"/>
  <c r="G791" i="2"/>
  <c r="G775" i="2"/>
  <c r="G759" i="2"/>
  <c r="G743" i="2"/>
  <c r="G727" i="2"/>
  <c r="G711" i="2"/>
  <c r="G695" i="2"/>
  <c r="G679" i="2"/>
  <c r="G663" i="2"/>
  <c r="G647" i="2"/>
  <c r="G631" i="2"/>
  <c r="G615" i="2"/>
  <c r="G599" i="2"/>
  <c r="G583" i="2"/>
  <c r="G567" i="2"/>
  <c r="G551" i="2"/>
  <c r="G535" i="2"/>
  <c r="G519" i="2"/>
  <c r="G503" i="2"/>
  <c r="G487" i="2"/>
  <c r="G471" i="2"/>
  <c r="G455" i="2"/>
  <c r="G439" i="2"/>
  <c r="G423" i="2"/>
  <c r="G407" i="2"/>
  <c r="G391" i="2"/>
  <c r="G375" i="2"/>
  <c r="G359" i="2"/>
  <c r="G343" i="2"/>
  <c r="G327" i="2"/>
  <c r="G311" i="2"/>
  <c r="G295" i="2"/>
  <c r="G279" i="2"/>
  <c r="G263" i="2"/>
  <c r="G247" i="2"/>
  <c r="G231" i="2"/>
  <c r="G199" i="2"/>
  <c r="G753" i="2"/>
  <c r="G689" i="2"/>
  <c r="G641" i="2"/>
  <c r="G593" i="2"/>
  <c r="G561" i="2"/>
  <c r="G497" i="2"/>
  <c r="G449" i="2"/>
  <c r="G401" i="2"/>
  <c r="G305" i="2"/>
  <c r="G241" i="2"/>
  <c r="G193" i="2"/>
  <c r="G183" i="2"/>
  <c r="G131" i="2"/>
  <c r="G1222" i="2"/>
  <c r="G1206" i="2"/>
  <c r="G1190" i="2"/>
  <c r="G1174" i="2"/>
  <c r="G1158" i="2"/>
  <c r="G1142" i="2"/>
  <c r="G1126" i="2"/>
  <c r="G1110" i="2"/>
  <c r="G1094" i="2"/>
  <c r="G1078" i="2"/>
  <c r="G1062" i="2"/>
  <c r="G1046" i="2"/>
  <c r="G1030" i="2"/>
  <c r="G1014" i="2"/>
  <c r="G998" i="2"/>
  <c r="G982" i="2"/>
  <c r="G966" i="2"/>
  <c r="G950" i="2"/>
  <c r="G934" i="2"/>
  <c r="G918" i="2"/>
  <c r="G902" i="2"/>
  <c r="G886" i="2"/>
  <c r="G870" i="2"/>
  <c r="G854" i="2"/>
  <c r="G838" i="2"/>
  <c r="G822" i="2"/>
  <c r="G806" i="2"/>
  <c r="G790" i="2"/>
  <c r="G774" i="2"/>
  <c r="G758" i="2"/>
  <c r="G742" i="2"/>
  <c r="G726" i="2"/>
  <c r="G710" i="2"/>
  <c r="G694" i="2"/>
  <c r="G678" i="2"/>
  <c r="G662" i="2"/>
  <c r="G646" i="2"/>
  <c r="G630" i="2"/>
  <c r="G614" i="2"/>
  <c r="G598" i="2"/>
  <c r="G582" i="2"/>
  <c r="G566" i="2"/>
  <c r="G550" i="2"/>
  <c r="G534" i="2"/>
  <c r="G518" i="2"/>
  <c r="G502" i="2"/>
  <c r="G486" i="2"/>
  <c r="G470" i="2"/>
  <c r="G454" i="2"/>
  <c r="G438" i="2"/>
  <c r="G422" i="2"/>
  <c r="G406" i="2"/>
  <c r="G390" i="2"/>
  <c r="G374" i="2"/>
  <c r="G358" i="2"/>
  <c r="G342" i="2"/>
  <c r="G326" i="2"/>
  <c r="G310" i="2"/>
  <c r="G294" i="2"/>
  <c r="G278" i="2"/>
  <c r="G262" i="2"/>
  <c r="G246" i="2"/>
  <c r="G230" i="2"/>
  <c r="G198" i="2"/>
  <c r="G74" i="2"/>
  <c r="G208" i="2"/>
  <c r="G175" i="2"/>
  <c r="G143" i="2"/>
  <c r="G1212" i="2"/>
  <c r="G1180" i="2"/>
  <c r="G1164" i="2"/>
  <c r="G1132" i="2"/>
  <c r="G1100" i="2"/>
  <c r="G1068" i="2"/>
  <c r="G1036" i="2"/>
  <c r="G972" i="2"/>
  <c r="G892" i="2"/>
  <c r="G860" i="2"/>
  <c r="G844" i="2"/>
  <c r="G796" i="2"/>
  <c r="G780" i="2"/>
  <c r="G764" i="2"/>
  <c r="G748" i="2"/>
  <c r="G700" i="2"/>
  <c r="G636" i="2"/>
  <c r="G604" i="2"/>
  <c r="G588" i="2"/>
  <c r="G556" i="2"/>
  <c r="G540" i="2"/>
  <c r="G508" i="2"/>
  <c r="G460" i="2"/>
  <c r="G412" i="2"/>
  <c r="G364" i="2"/>
  <c r="G252" i="2"/>
  <c r="G174" i="2"/>
  <c r="G125" i="2"/>
  <c r="G191" i="2"/>
  <c r="G182" i="2"/>
  <c r="G1148" i="2"/>
  <c r="G1084" i="2"/>
  <c r="G1052" i="2"/>
  <c r="G1020" i="2"/>
  <c r="G1004" i="2"/>
  <c r="G956" i="2"/>
  <c r="G940" i="2"/>
  <c r="G876" i="2"/>
  <c r="G828" i="2"/>
  <c r="G716" i="2"/>
  <c r="G492" i="2"/>
  <c r="G444" i="2"/>
  <c r="G396" i="2"/>
  <c r="G380" i="2"/>
  <c r="G348" i="2"/>
  <c r="G332" i="2"/>
  <c r="G300" i="2"/>
  <c r="G284" i="2"/>
  <c r="G268" i="2"/>
  <c r="G236" i="2"/>
  <c r="G220" i="2"/>
  <c r="G188" i="2"/>
  <c r="G105" i="2"/>
  <c r="G207" i="2"/>
  <c r="G158" i="2"/>
  <c r="G64" i="2"/>
  <c r="G1228" i="2"/>
  <c r="G1116" i="2"/>
  <c r="G988" i="2"/>
  <c r="G908" i="2"/>
  <c r="G812" i="2"/>
  <c r="G732" i="2"/>
  <c r="G684" i="2"/>
  <c r="G668" i="2"/>
  <c r="G652" i="2"/>
  <c r="G620" i="2"/>
  <c r="G572" i="2"/>
  <c r="G524" i="2"/>
  <c r="G476" i="2"/>
  <c r="G428" i="2"/>
  <c r="G316" i="2"/>
  <c r="G142" i="2"/>
  <c r="G190" i="2"/>
  <c r="G86" i="2"/>
  <c r="G70" i="2"/>
  <c r="G54" i="2"/>
  <c r="G1204" i="2"/>
  <c r="G1172" i="2"/>
  <c r="G1124" i="2"/>
  <c r="G1092" i="2"/>
  <c r="G1076" i="2"/>
  <c r="G1044" i="2"/>
  <c r="G996" i="2"/>
  <c r="G948" i="2"/>
  <c r="G884" i="2"/>
  <c r="G836" i="2"/>
  <c r="G804" i="2"/>
  <c r="G772" i="2"/>
  <c r="G724" i="2"/>
  <c r="G692" i="2"/>
  <c r="G660" i="2"/>
  <c r="G628" i="2"/>
  <c r="G612" i="2"/>
  <c r="G564" i="2"/>
  <c r="G548" i="2"/>
  <c r="G516" i="2"/>
  <c r="G500" i="2"/>
  <c r="G468" i="2"/>
  <c r="G436" i="2"/>
  <c r="G404" i="2"/>
  <c r="G1219" i="2"/>
  <c r="G1011" i="2"/>
  <c r="G883" i="2"/>
  <c r="G787" i="2"/>
  <c r="G739" i="2"/>
  <c r="G691" i="2"/>
  <c r="G643" i="2"/>
  <c r="G611" i="2"/>
  <c r="G547" i="2"/>
  <c r="G483" i="2"/>
  <c r="G83" i="2"/>
  <c r="G67" i="2"/>
  <c r="G19" i="2"/>
  <c r="G1220" i="2"/>
  <c r="G1012" i="2"/>
  <c r="G868" i="2"/>
  <c r="G756" i="2"/>
  <c r="G580" i="2"/>
  <c r="G452" i="2"/>
  <c r="G1203" i="2"/>
  <c r="G1187" i="2"/>
  <c r="G1171" i="2"/>
  <c r="G1155" i="2"/>
  <c r="G1139" i="2"/>
  <c r="G1123" i="2"/>
  <c r="G1107" i="2"/>
  <c r="G1075" i="2"/>
  <c r="G1059" i="2"/>
  <c r="G1043" i="2"/>
  <c r="G1027" i="2"/>
  <c r="G995" i="2"/>
  <c r="G979" i="2"/>
  <c r="G963" i="2"/>
  <c r="G947" i="2"/>
  <c r="G931" i="2"/>
  <c r="G899" i="2"/>
  <c r="G867" i="2"/>
  <c r="G851" i="2"/>
  <c r="G835" i="2"/>
  <c r="G819" i="2"/>
  <c r="G771" i="2"/>
  <c r="G755" i="2"/>
  <c r="G707" i="2"/>
  <c r="G659" i="2"/>
  <c r="G627" i="2"/>
  <c r="G579" i="2"/>
  <c r="G467" i="2"/>
  <c r="G1188" i="2"/>
  <c r="G1156" i="2"/>
  <c r="G1140" i="2"/>
  <c r="G1108" i="2"/>
  <c r="G1060" i="2"/>
  <c r="G1028" i="2"/>
  <c r="G980" i="2"/>
  <c r="G964" i="2"/>
  <c r="G932" i="2"/>
  <c r="G916" i="2"/>
  <c r="G900" i="2"/>
  <c r="G852" i="2"/>
  <c r="G820" i="2"/>
  <c r="G788" i="2"/>
  <c r="G740" i="2"/>
  <c r="G708" i="2"/>
  <c r="G676" i="2"/>
  <c r="G644" i="2"/>
  <c r="G596" i="2"/>
  <c r="G532" i="2"/>
  <c r="G484" i="2"/>
  <c r="G420" i="2"/>
  <c r="G1091" i="2"/>
  <c r="G915" i="2"/>
  <c r="G803" i="2"/>
  <c r="G723" i="2"/>
  <c r="G675" i="2"/>
  <c r="G65" i="2"/>
  <c r="G1232" i="2"/>
  <c r="G1216" i="2"/>
  <c r="G1200" i="2"/>
  <c r="G1184" i="2"/>
  <c r="G1168" i="2"/>
  <c r="G1152" i="2"/>
  <c r="G1136" i="2"/>
  <c r="G1120" i="2"/>
  <c r="G1104" i="2"/>
  <c r="G1088" i="2"/>
  <c r="G1072" i="2"/>
  <c r="G1056" i="2"/>
  <c r="G1040" i="2"/>
  <c r="G1024" i="2"/>
  <c r="G1008" i="2"/>
  <c r="G992" i="2"/>
  <c r="G976" i="2"/>
  <c r="G960" i="2"/>
  <c r="G944" i="2"/>
  <c r="G928" i="2"/>
  <c r="G216" i="2"/>
  <c r="G167" i="2"/>
  <c r="G151" i="2"/>
  <c r="G135" i="2"/>
  <c r="G118" i="2"/>
  <c r="G1221" i="2"/>
  <c r="G1205" i="2"/>
  <c r="G1189" i="2"/>
  <c r="G1173" i="2"/>
  <c r="G1157" i="2"/>
  <c r="G1141" i="2"/>
  <c r="G1125" i="2"/>
  <c r="G1109" i="2"/>
  <c r="G1093" i="2"/>
  <c r="G1077" i="2"/>
  <c r="G1061" i="2"/>
  <c r="G1045" i="2"/>
  <c r="G1029" i="2"/>
  <c r="G1013" i="2"/>
  <c r="G997" i="2"/>
  <c r="G981" i="2"/>
  <c r="G965" i="2"/>
  <c r="G949" i="2"/>
  <c r="G933" i="2"/>
  <c r="G917" i="2"/>
  <c r="G901" i="2"/>
  <c r="G885" i="2"/>
  <c r="G869" i="2"/>
  <c r="G853" i="2"/>
  <c r="G837" i="2"/>
  <c r="G821" i="2"/>
  <c r="G805" i="2"/>
  <c r="G789" i="2"/>
  <c r="G773" i="2"/>
  <c r="G757" i="2"/>
  <c r="G741" i="2"/>
  <c r="G725" i="2"/>
  <c r="G709" i="2"/>
  <c r="G693" i="2"/>
  <c r="G677" i="2"/>
  <c r="G661" i="2"/>
  <c r="G645" i="2"/>
  <c r="G629" i="2"/>
  <c r="G613" i="2"/>
  <c r="G597" i="2"/>
  <c r="G581" i="2"/>
  <c r="G565" i="2"/>
  <c r="G549" i="2"/>
  <c r="G533" i="2"/>
  <c r="G517" i="2"/>
  <c r="G501" i="2"/>
  <c r="G485" i="2"/>
  <c r="G469" i="2"/>
  <c r="G453" i="2"/>
  <c r="G437" i="2"/>
  <c r="G421" i="2"/>
  <c r="G405" i="2"/>
  <c r="G389" i="2"/>
  <c r="G373" i="2"/>
  <c r="G357" i="2"/>
  <c r="G341" i="2"/>
  <c r="G325" i="2"/>
  <c r="G309" i="2"/>
  <c r="G293" i="2"/>
  <c r="G277" i="2"/>
  <c r="G261" i="2"/>
  <c r="G245" i="2"/>
  <c r="G229" i="2"/>
  <c r="G197" i="2"/>
  <c r="G388" i="2"/>
  <c r="G372" i="2"/>
  <c r="G356" i="2"/>
  <c r="G340" i="2"/>
  <c r="G324" i="2"/>
  <c r="G308" i="2"/>
  <c r="G292" i="2"/>
  <c r="G276" i="2"/>
  <c r="G260" i="2"/>
  <c r="G244" i="2"/>
  <c r="G228" i="2"/>
  <c r="G196" i="2"/>
  <c r="G339" i="2"/>
  <c r="G595" i="2"/>
  <c r="G563" i="2"/>
  <c r="G531" i="2"/>
  <c r="G435" i="2"/>
  <c r="G403" i="2"/>
  <c r="G371" i="2"/>
  <c r="G307" i="2"/>
  <c r="G275" i="2"/>
  <c r="G227" i="2"/>
  <c r="G89" i="2"/>
  <c r="G515" i="2"/>
  <c r="G499" i="2"/>
  <c r="G451" i="2"/>
  <c r="G419" i="2"/>
  <c r="G387" i="2"/>
  <c r="G355" i="2"/>
  <c r="G323" i="2"/>
  <c r="G291" i="2"/>
  <c r="G259" i="2"/>
  <c r="G243" i="2"/>
  <c r="G195" i="2"/>
  <c r="G81" i="2"/>
  <c r="G49" i="2"/>
  <c r="G912" i="2"/>
  <c r="G896" i="2"/>
  <c r="G880" i="2"/>
  <c r="G864" i="2"/>
  <c r="G848" i="2"/>
  <c r="G832" i="2"/>
  <c r="G816" i="2"/>
  <c r="G800" i="2"/>
  <c r="G784" i="2"/>
  <c r="G768" i="2"/>
  <c r="G752" i="2"/>
  <c r="G736" i="2"/>
  <c r="G720" i="2"/>
  <c r="G704" i="2"/>
  <c r="G688" i="2"/>
  <c r="G672" i="2"/>
  <c r="G656" i="2"/>
  <c r="G640" i="2"/>
  <c r="G624" i="2"/>
  <c r="G608" i="2"/>
  <c r="G592" i="2"/>
  <c r="G576" i="2"/>
  <c r="G560" i="2"/>
  <c r="G544" i="2"/>
  <c r="G528" i="2"/>
  <c r="G512" i="2"/>
  <c r="G496" i="2"/>
  <c r="G480" i="2"/>
  <c r="G464" i="2"/>
  <c r="G448" i="2"/>
  <c r="G432" i="2"/>
  <c r="G416" i="2"/>
  <c r="G400" i="2"/>
  <c r="G384" i="2"/>
  <c r="G368" i="2"/>
  <c r="G352" i="2"/>
  <c r="G336" i="2"/>
  <c r="G320" i="2"/>
  <c r="G304" i="2"/>
  <c r="G288" i="2"/>
  <c r="G272" i="2"/>
  <c r="G256" i="2"/>
  <c r="G240" i="2"/>
  <c r="G224" i="2"/>
  <c r="G192" i="2"/>
  <c r="G45" i="2"/>
  <c r="G57" i="2"/>
  <c r="G509" i="2"/>
  <c r="G106" i="2"/>
  <c r="G77" i="2"/>
  <c r="G61" i="2"/>
  <c r="G211" i="2"/>
  <c r="G160" i="2"/>
  <c r="G128" i="2"/>
  <c r="G66" i="2"/>
  <c r="G50" i="2"/>
  <c r="G18" i="2"/>
  <c r="G1229" i="2"/>
  <c r="G1213" i="2"/>
  <c r="G1197" i="2"/>
  <c r="G1181" i="2"/>
  <c r="G1165" i="2"/>
  <c r="G1149" i="2"/>
  <c r="G1133" i="2"/>
  <c r="G1117" i="2"/>
  <c r="G1101" i="2"/>
  <c r="G1085" i="2"/>
  <c r="G1069" i="2"/>
  <c r="G1053" i="2"/>
  <c r="G1037" i="2"/>
  <c r="G1021" i="2"/>
  <c r="G1005" i="2"/>
  <c r="G989" i="2"/>
  <c r="G973" i="2"/>
  <c r="G957" i="2"/>
  <c r="G941" i="2"/>
  <c r="G925" i="2"/>
  <c r="G909" i="2"/>
  <c r="G893" i="2"/>
  <c r="G877" i="2"/>
  <c r="G861" i="2"/>
  <c r="G845" i="2"/>
  <c r="G829" i="2"/>
  <c r="G813" i="2"/>
  <c r="G797" i="2"/>
  <c r="G781" i="2"/>
  <c r="G765" i="2"/>
  <c r="G749" i="2"/>
  <c r="G733" i="2"/>
  <c r="G717" i="2"/>
  <c r="G701" i="2"/>
  <c r="G685" i="2"/>
  <c r="G669" i="2"/>
  <c r="G653" i="2"/>
  <c r="G637" i="2"/>
  <c r="G621" i="2"/>
  <c r="G605" i="2"/>
  <c r="G589" i="2"/>
  <c r="G573" i="2"/>
  <c r="G557" i="2"/>
  <c r="G541" i="2"/>
  <c r="G525" i="2"/>
  <c r="G493" i="2"/>
  <c r="G477" i="2"/>
  <c r="G461" i="2"/>
  <c r="G445" i="2"/>
  <c r="G429" i="2"/>
  <c r="G413" i="2"/>
  <c r="G397" i="2"/>
  <c r="G381" i="2"/>
  <c r="G365" i="2"/>
  <c r="G349" i="2"/>
  <c r="G333" i="2"/>
  <c r="G317" i="2"/>
  <c r="G301" i="2"/>
  <c r="G285" i="2"/>
  <c r="G269" i="2"/>
  <c r="G253" i="2"/>
  <c r="G237" i="2"/>
  <c r="G221" i="2"/>
  <c r="G213" i="2"/>
  <c r="G212" i="2"/>
  <c r="G82" i="2"/>
  <c r="G162" i="2"/>
  <c r="G146" i="2"/>
  <c r="G130" i="2"/>
  <c r="G43" i="2"/>
  <c r="G177" i="2"/>
  <c r="G161" i="2"/>
  <c r="G145" i="2"/>
  <c r="G129" i="2"/>
  <c r="G189" i="2"/>
  <c r="G60" i="2"/>
</calcChain>
</file>

<file path=xl/sharedStrings.xml><?xml version="1.0" encoding="utf-8"?>
<sst xmlns="http://schemas.openxmlformats.org/spreadsheetml/2006/main" count="3503" uniqueCount="3001">
  <si>
    <t>ProductID</t>
  </si>
  <si>
    <t>SKU</t>
  </si>
  <si>
    <t>Item Name</t>
  </si>
  <si>
    <t>Title Name</t>
  </si>
  <si>
    <t>Category</t>
  </si>
  <si>
    <t>Subcategory</t>
  </si>
  <si>
    <t>Brand</t>
  </si>
  <si>
    <t>Image1</t>
  </si>
  <si>
    <t>Image2</t>
  </si>
  <si>
    <t>Image3</t>
  </si>
  <si>
    <t>Image4</t>
  </si>
  <si>
    <t>Image5</t>
  </si>
  <si>
    <t>Image6</t>
  </si>
  <si>
    <t>Image7</t>
  </si>
  <si>
    <t>Image8</t>
  </si>
  <si>
    <t>Description</t>
  </si>
  <si>
    <t>Detailed Info</t>
  </si>
  <si>
    <t>Stock Quantity</t>
  </si>
  <si>
    <t>Unit</t>
  </si>
  <si>
    <t>MRP</t>
  </si>
  <si>
    <t>Discount%</t>
  </si>
  <si>
    <t>Sale Price</t>
  </si>
  <si>
    <t>Supplier</t>
  </si>
  <si>
    <t>Last Updated</t>
  </si>
  <si>
    <t>Source</t>
  </si>
  <si>
    <t>Product URL</t>
  </si>
  <si>
    <t>Barcode</t>
  </si>
  <si>
    <t>Model</t>
  </si>
  <si>
    <t>Country</t>
  </si>
  <si>
    <t>ASIN</t>
  </si>
  <si>
    <t>List Price</t>
  </si>
  <si>
    <t>Rating</t>
  </si>
  <si>
    <t>SearchKeywords</t>
  </si>
  <si>
    <t>Total Reviews</t>
  </si>
  <si>
    <t>Video URL</t>
  </si>
  <si>
    <t>Sold By</t>
  </si>
  <si>
    <t>Item Model Number</t>
  </si>
  <si>
    <t>Manufacturer Part Number</t>
  </si>
  <si>
    <t>In Stock Status</t>
  </si>
  <si>
    <t>Review Score Star Icons</t>
  </si>
  <si>
    <t>Best Sellers Rank</t>
  </si>
  <si>
    <t>Main Category</t>
  </si>
  <si>
    <t>Sub Category 1</t>
  </si>
  <si>
    <t>Sub Category 2</t>
  </si>
  <si>
    <t>FPTECHD0000022</t>
  </si>
  <si>
    <t>FPTECID0000013</t>
  </si>
  <si>
    <t>FPTECAG0000100</t>
  </si>
  <si>
    <t>FPTECIW0000280</t>
  </si>
  <si>
    <t>FPTEEIW0000280</t>
  </si>
  <si>
    <t>FPTEAIW0000949</t>
  </si>
  <si>
    <t>FPTECV0000528N</t>
  </si>
  <si>
    <t>FPTECV0000590N</t>
  </si>
  <si>
    <t>FPTECVB000588N</t>
  </si>
  <si>
    <t>FPTEDG00000100</t>
  </si>
  <si>
    <t>FPTEDG000100TN</t>
  </si>
  <si>
    <t>FPTEDGNEW100PB</t>
  </si>
  <si>
    <t>FPTEDG0000100T</t>
  </si>
  <si>
    <t>FPTEDG0000100S</t>
  </si>
  <si>
    <t>FPTEDG000100SN</t>
  </si>
  <si>
    <t>FPTEDG0000100N</t>
  </si>
  <si>
    <t>FPTEDG0000125N</t>
  </si>
  <si>
    <t>FPTEDG000125NE</t>
  </si>
  <si>
    <t>FPTEDG0000180C</t>
  </si>
  <si>
    <t>FPTEDG0000025C</t>
  </si>
  <si>
    <t>FPTECM0000355A</t>
  </si>
  <si>
    <t>FPTECM00000355</t>
  </si>
  <si>
    <t>FPTEHD0000020N</t>
  </si>
  <si>
    <t>FPTEHD0000020C</t>
  </si>
  <si>
    <t>FPTEHD0000026N</t>
  </si>
  <si>
    <t>FPTEHD00000026</t>
  </si>
  <si>
    <t>FPTEHD0000032N</t>
  </si>
  <si>
    <t>FPTERB00000005</t>
  </si>
  <si>
    <t>FPTERB00000007</t>
  </si>
  <si>
    <t>FPTERB00000011</t>
  </si>
  <si>
    <t>FPTERB0000016A</t>
  </si>
  <si>
    <t>FPTEEB0000040N</t>
  </si>
  <si>
    <t>FDPTEEB40NI</t>
  </si>
  <si>
    <t>FPTEKSD0000010</t>
  </si>
  <si>
    <t>FPTESD00000010</t>
  </si>
  <si>
    <t>FPTEPD0000010A</t>
  </si>
  <si>
    <t>FPTEID0000010C</t>
  </si>
  <si>
    <t>FPTEID00000013</t>
  </si>
  <si>
    <t>FPTETK00013111</t>
  </si>
  <si>
    <t>FPTECS00000185</t>
  </si>
  <si>
    <t>FPTEEP0000082N</t>
  </si>
  <si>
    <t>FPTEJS00000060</t>
  </si>
  <si>
    <t>FPTEWT00000608</t>
  </si>
  <si>
    <t>FDPTEER812N</t>
  </si>
  <si>
    <t>FPTESP0000180N</t>
  </si>
  <si>
    <t>FPTEEVWR000015</t>
  </si>
  <si>
    <t>FPTEBCGX00435B</t>
  </si>
  <si>
    <t>FPTEBCGX00435S</t>
  </si>
  <si>
    <t>FPTEBCGX0435ES</t>
  </si>
  <si>
    <t>FPTEPCS5822N02</t>
  </si>
  <si>
    <t>FPTEPS5822ENP2</t>
  </si>
  <si>
    <t>FPTECHS000400N</t>
  </si>
  <si>
    <t>FPTEHG0008610A</t>
  </si>
  <si>
    <t>FDPTEHG008610I</t>
  </si>
  <si>
    <t>FPTEPW00001690</t>
  </si>
  <si>
    <t>FPTEPW00020150</t>
  </si>
  <si>
    <t>FPTEIPW0023100</t>
  </si>
  <si>
    <t>FPTEIPW0030200</t>
  </si>
  <si>
    <t>FPTEMC0000110A</t>
  </si>
  <si>
    <t>FPTEMC0000110N</t>
  </si>
  <si>
    <t>FDPTEMC110PI</t>
  </si>
  <si>
    <t>FPTEMC000125NE</t>
  </si>
  <si>
    <t>FPTEMC0000125N</t>
  </si>
  <si>
    <t>FPTEMC0000125J</t>
  </si>
  <si>
    <t>FPTEMCD0000038</t>
  </si>
  <si>
    <t>FPTEMCD0000050</t>
  </si>
  <si>
    <t>FPTEOFAC000030</t>
  </si>
  <si>
    <t>FPTEOFAC000050</t>
  </si>
  <si>
    <t>FPTEAC00025100</t>
  </si>
  <si>
    <t>FPTEAC0060150N</t>
  </si>
  <si>
    <t>FPTEHVC0000800</t>
  </si>
  <si>
    <t>FPTEVC000030NE</t>
  </si>
  <si>
    <t>FPTEVC00000015</t>
  </si>
  <si>
    <t>FPTEVC00000030</t>
  </si>
  <si>
    <t>FPTEVC00000060</t>
  </si>
  <si>
    <t>FPTEPSG000827A</t>
  </si>
  <si>
    <t>FPTEPSG0003140</t>
  </si>
  <si>
    <t>FPTEPSG0000850</t>
  </si>
  <si>
    <t>FPTEPM00000016</t>
  </si>
  <si>
    <t>FPTEAWSI0000200</t>
  </si>
  <si>
    <t>FPTEAWSI0000250</t>
  </si>
  <si>
    <t>FPTKITECAG0100</t>
  </si>
  <si>
    <t>FPTKITECHD0022</t>
  </si>
  <si>
    <t>FPTKITECID0013</t>
  </si>
  <si>
    <t>FPTKITECIW0280</t>
  </si>
  <si>
    <t>FAPEDMB02PHL65</t>
  </si>
  <si>
    <t>FAPEDMB01102PH</t>
  </si>
  <si>
    <t>FAPEDMB01502PH</t>
  </si>
  <si>
    <t>FAPEDMBPHSL065</t>
  </si>
  <si>
    <t>FAPECSBC000012</t>
  </si>
  <si>
    <t>FAPECSB0045300</t>
  </si>
  <si>
    <t>FAPECSB0005400</t>
  </si>
  <si>
    <t>FAPECHB000016F</t>
  </si>
  <si>
    <t>FAPECHB000016P</t>
  </si>
  <si>
    <t>FAPECHB000400F</t>
  </si>
  <si>
    <t>FAPECHB000400P</t>
  </si>
  <si>
    <t>FAPECHB000005P</t>
  </si>
  <si>
    <t>FAPECHB000005F</t>
  </si>
  <si>
    <t>FAPECHB280005F</t>
  </si>
  <si>
    <t>FAPECHB280005P</t>
  </si>
  <si>
    <t>FAPECW0000107G</t>
  </si>
  <si>
    <t>FAPECW00107JGP</t>
  </si>
  <si>
    <t>FAPERCW000107N</t>
  </si>
  <si>
    <t>FAPERCW000125N</t>
  </si>
  <si>
    <t>FAPERCW000180N</t>
  </si>
  <si>
    <t>FAPEGCWDN00355</t>
  </si>
  <si>
    <t>FAPECW0000355A</t>
  </si>
  <si>
    <t>FAPECW000355AG</t>
  </si>
  <si>
    <t>FAPECW00355JGP</t>
  </si>
  <si>
    <t>FAPETB0000110Z</t>
  </si>
  <si>
    <t>FAPEDCW000100S</t>
  </si>
  <si>
    <t>FAPEDCW000075R</t>
  </si>
  <si>
    <t>FAPEDCW000075S</t>
  </si>
  <si>
    <t>FAPEMB0000110N</t>
  </si>
  <si>
    <t>FAPEMB0000125N</t>
  </si>
  <si>
    <t>DIAMOND SAW BLADE 125 X10MM</t>
  </si>
  <si>
    <t>FAPEMB0000110R</t>
  </si>
  <si>
    <t>DIAMOND SAW BLADE RIM TYPE 110X10 MM</t>
  </si>
  <si>
    <t>FAPETB0000105T</t>
  </si>
  <si>
    <t>FAPETB000110BT</t>
  </si>
  <si>
    <t>FAPEMB00000110</t>
  </si>
  <si>
    <t>FAPEDCM0000266</t>
  </si>
  <si>
    <t>FAPEDM00000081</t>
  </si>
  <si>
    <t>FAPEDCK00010MM</t>
  </si>
  <si>
    <t>DRILL CHUCK 10MM</t>
  </si>
  <si>
    <t>FAPEDCK00013MM</t>
  </si>
  <si>
    <t>DRILL CHUCK 13MM</t>
  </si>
  <si>
    <t>FAPEFD00100120</t>
  </si>
  <si>
    <t>FLAP DISC 100 X120G</t>
  </si>
  <si>
    <t>FAPEFD00010060</t>
  </si>
  <si>
    <t>FLAP DISC 100 X60G</t>
  </si>
  <si>
    <t>FAPEFD00010080</t>
  </si>
  <si>
    <t>FLAP DISC 100 X80G</t>
  </si>
  <si>
    <t>FAPEFDGC412JGP</t>
  </si>
  <si>
    <t>FAPEFDGC446JGP</t>
  </si>
  <si>
    <t>FAPEFDGC460JGP</t>
  </si>
  <si>
    <t>FAPEGW00100166</t>
  </si>
  <si>
    <t>FAPEGW00100226</t>
  </si>
  <si>
    <t>FAPEGW00180226</t>
  </si>
  <si>
    <t>FAPEGW00100JGP</t>
  </si>
  <si>
    <t>FAPEGW00125JGP</t>
  </si>
  <si>
    <t>FAPEMNR0000865</t>
  </si>
  <si>
    <t>FAPEHSSPB0082M</t>
  </si>
  <si>
    <t>FAPETCTPB0082M</t>
  </si>
  <si>
    <t>FAPEWPP0000225</t>
  </si>
  <si>
    <t>FAPEESC0000016</t>
  </si>
  <si>
    <t>FAPEGSC0000022</t>
  </si>
  <si>
    <t>FAPERCC0000175</t>
  </si>
  <si>
    <t>RIVITER CONVERSION CONNECTOR</t>
  </si>
  <si>
    <t>FAPEEVR0000015</t>
  </si>
  <si>
    <t>FAPEEVR0000003</t>
  </si>
  <si>
    <t>FAPESVP125G100</t>
  </si>
  <si>
    <t>FAPESVP125G120</t>
  </si>
  <si>
    <t>FAPESVP1250G46</t>
  </si>
  <si>
    <t>FAPESVP1250G60</t>
  </si>
  <si>
    <t>FAPESVP1250G80</t>
  </si>
  <si>
    <t>FAPESDB0010160</t>
  </si>
  <si>
    <t>SDS FLAT SINGLE TIP DOUBLE FLUTE DRILL BIT 10X100X160 MM</t>
  </si>
  <si>
    <t>FAPESDB0010110</t>
  </si>
  <si>
    <t>SDS FLAT SINGLE TIP DOUBLE FLUTE DRILL BIT 10X50X110 MM</t>
  </si>
  <si>
    <t>FAPESDB0012160</t>
  </si>
  <si>
    <t>SDS FLAT SINGLE TIP DOUBLE FLUTE DRILL BIT 12X100X160 MM</t>
  </si>
  <si>
    <t>FAPESDB0012210</t>
  </si>
  <si>
    <t>SDS FLAT SINGLE TIP DOUBLE FLUTE DRILL BIT 12X150X210 MM</t>
  </si>
  <si>
    <t>FAPESDB0012310</t>
  </si>
  <si>
    <t>SDS FLAT SINGLE TIP DOUBLE FLUTE DRILL BIT 12X250X310 MM</t>
  </si>
  <si>
    <t>FAPESDB0014160</t>
  </si>
  <si>
    <t>SDS FLAT SINGLE TIP DOUBLE FLUTE DRILL BIT 14X100X160 MM</t>
  </si>
  <si>
    <t>FAPESDB0014310</t>
  </si>
  <si>
    <t>SDS FLAT SINGLE TIP DOUBLE FLUTE DRILL BIT 14X250X310 MM</t>
  </si>
  <si>
    <t>FAPESDB0016160</t>
  </si>
  <si>
    <t>SDS FLAT SINGLE TIP DOUBLE FLUTE DRILL BIT 16X100X160 MM</t>
  </si>
  <si>
    <t>FAPESDB0016310</t>
  </si>
  <si>
    <t>SDS FLAT SINGLE TIP DOUBLE FLUTE DRILL BIT 16X250x310 MM</t>
  </si>
  <si>
    <t>FAPESDB0018310</t>
  </si>
  <si>
    <t>SDS FLAT SINGLE TIP DOUBLE FLUTE DRILL BIT 18X250X310 MM</t>
  </si>
  <si>
    <t>FAPESDB0005110</t>
  </si>
  <si>
    <t>SDS FLAT SINGLE TIP DOUBLE FLUTE DRILL BIT 5X50X110 MM</t>
  </si>
  <si>
    <t>FAPESDB0006510</t>
  </si>
  <si>
    <t>SDS FLAT SINGLE TIP DOUBLE FLUTE DRILL BIT 6.5X50X110 MM</t>
  </si>
  <si>
    <t>FAPESDB0006160</t>
  </si>
  <si>
    <t>SDS FLAT SINGLE TIP DOUBLE FLUTE DRILL BIT 6X100X160 MM</t>
  </si>
  <si>
    <t>FAPESDB0006110</t>
  </si>
  <si>
    <t>SDS FLAT SINGLE TIP DOUBLE FLUTE DRILL BIT 6X50X110 MM</t>
  </si>
  <si>
    <t>FAPESDB0008160</t>
  </si>
  <si>
    <t>SDS FLAT SINGLE TIP DOUBLE FLUTE DRILL BIT 8X100X160 MM</t>
  </si>
  <si>
    <t>FAPESDB0008110</t>
  </si>
  <si>
    <t>SDS FLAT SINGLE TIP DOUBLE FLUTE DRILL BIT 8X50X110 MM</t>
  </si>
  <si>
    <t>FAPTTCTB010030</t>
  </si>
  <si>
    <t>FAPETB00010040</t>
  </si>
  <si>
    <t>FAPETB00012530</t>
  </si>
  <si>
    <t>FAPETB00012540</t>
  </si>
  <si>
    <t>FAPETB00018040</t>
  </si>
  <si>
    <t>FAPETB00018060</t>
  </si>
  <si>
    <t>FAPETB00020040</t>
  </si>
  <si>
    <t>FAPETB00020560</t>
  </si>
  <si>
    <t>FAPETB00025060</t>
  </si>
  <si>
    <t>FIDSE2225BH024</t>
  </si>
  <si>
    <t>FIDSE2225BH027</t>
  </si>
  <si>
    <t>FIDSE2225BH030</t>
  </si>
  <si>
    <t>FIDSE2225H0010</t>
  </si>
  <si>
    <t>FIDSE2225H0012</t>
  </si>
  <si>
    <t>FIDSE2225H0013</t>
  </si>
  <si>
    <t>FIDSE2225H0014</t>
  </si>
  <si>
    <t>FIDSE2225H0015</t>
  </si>
  <si>
    <t>FIDSE2225H0016</t>
  </si>
  <si>
    <t>FIDSE2225H0017</t>
  </si>
  <si>
    <t>FIDSE2225H0018</t>
  </si>
  <si>
    <t>FIDSE2225H0019</t>
  </si>
  <si>
    <t>FIDSE2225H0021</t>
  </si>
  <si>
    <t>FIDSE2225H0022</t>
  </si>
  <si>
    <t>FIDSE2225H0024</t>
  </si>
  <si>
    <t>FIDSE2225H0027</t>
  </si>
  <si>
    <t>FIDSE2225H0028</t>
  </si>
  <si>
    <t>FIDSE2225H0030</t>
  </si>
  <si>
    <t>FIDSE2225H0032</t>
  </si>
  <si>
    <t>FIDSE2225H0008</t>
  </si>
  <si>
    <t>FIDSE2201BHX08</t>
  </si>
  <si>
    <t>FIDSE2201BHX09</t>
  </si>
  <si>
    <t>FIDSE2201BHX10</t>
  </si>
  <si>
    <t>FIDSE2201BHX11</t>
  </si>
  <si>
    <t>FIDSE2201BHX12</t>
  </si>
  <si>
    <t>FIDSE2201BHX13</t>
  </si>
  <si>
    <t>FIDSE2201BHX14</t>
  </si>
  <si>
    <t>FIDSE2201BHX15</t>
  </si>
  <si>
    <t>FIDSE2201BHX16</t>
  </si>
  <si>
    <t>FIDSE2201BHX17</t>
  </si>
  <si>
    <t>FIDSE2201BHX18</t>
  </si>
  <si>
    <t>FIDSE2201BHX19</t>
  </si>
  <si>
    <t>FIDSE2201BHX20</t>
  </si>
  <si>
    <t>FIDSE2201BHX21</t>
  </si>
  <si>
    <t>FIDSE2201BHX22</t>
  </si>
  <si>
    <t>FIDSE2201BHX23</t>
  </si>
  <si>
    <t>FIDSE2201BHX24</t>
  </si>
  <si>
    <t>FIDSE2201BHX25</t>
  </si>
  <si>
    <t>FIDSE2201BHX26</t>
  </si>
  <si>
    <t>FIDSE2201BHX27</t>
  </si>
  <si>
    <t>FIDSE2201BHX28</t>
  </si>
  <si>
    <t>FIDSE2201BHX29</t>
  </si>
  <si>
    <t>FIDSE2201BHX30</t>
  </si>
  <si>
    <t>FIDSE2201BHX32</t>
  </si>
  <si>
    <t>FIDSE2208A0001</t>
  </si>
  <si>
    <t>FIDSE2209A0001</t>
  </si>
  <si>
    <t>FIDSE2207A0001</t>
  </si>
  <si>
    <t>FIDSE2202H624N</t>
  </si>
  <si>
    <t>FIDSE2202H24BM</t>
  </si>
  <si>
    <t>FIDSE2224HBS04</t>
  </si>
  <si>
    <t>FIDSE2224HBS05</t>
  </si>
  <si>
    <t>FIDSE2224HBS06</t>
  </si>
  <si>
    <t>FIDSE2224HBS07</t>
  </si>
  <si>
    <t>FIDSE2224HBS08</t>
  </si>
  <si>
    <t>FIDSE2224HBS10</t>
  </si>
  <si>
    <t>FIDSE2224HBS12</t>
  </si>
  <si>
    <t>FIDSE2224HBS14</t>
  </si>
  <si>
    <t>FIDSE2224HBS17</t>
  </si>
  <si>
    <t>FIDSE2224HBS19</t>
  </si>
  <si>
    <t>FIDSE2201HEX08</t>
  </si>
  <si>
    <t>FIDSE2201HEX09</t>
  </si>
  <si>
    <t>FIDSE2201HEX10</t>
  </si>
  <si>
    <t>FIDSE2201HEX11</t>
  </si>
  <si>
    <t>FIDSE2201HEX12</t>
  </si>
  <si>
    <t>FIDSE2201HEX13</t>
  </si>
  <si>
    <t>FIDSE2201HEX14</t>
  </si>
  <si>
    <t>FIDSE2201HEX15</t>
  </si>
  <si>
    <t>FIDSE2201HEX16</t>
  </si>
  <si>
    <t>FIDSE2201HEX17</t>
  </si>
  <si>
    <t>FIDSE2201HEX18</t>
  </si>
  <si>
    <t>FIDSE2201HEX19</t>
  </si>
  <si>
    <t>FIDSE2201HEX20</t>
  </si>
  <si>
    <t>FIDSE2201HEX21</t>
  </si>
  <si>
    <t>FIDSE2201HEX22</t>
  </si>
  <si>
    <t>FIDSE2201HEX23</t>
  </si>
  <si>
    <t>FIDSE2201HEX24</t>
  </si>
  <si>
    <t>FIDSE2201HEX25</t>
  </si>
  <si>
    <t>FIDSE2201HEX26</t>
  </si>
  <si>
    <t>FIDSE2201HEX27</t>
  </si>
  <si>
    <t>FIDSE2201HEX28</t>
  </si>
  <si>
    <t>FIDSE2201HEX29</t>
  </si>
  <si>
    <t>FIDSE2201HEX30</t>
  </si>
  <si>
    <t>FIDSE2201HEX32</t>
  </si>
  <si>
    <t>FIDSE2215A0001</t>
  </si>
  <si>
    <t>FIDSE2214F1238</t>
  </si>
  <si>
    <t>FIDSE2226E1000</t>
  </si>
  <si>
    <t>FIDSE2226E8000</t>
  </si>
  <si>
    <t>FIDSE2212A0001</t>
  </si>
  <si>
    <t>FIDSE2213A0001</t>
  </si>
  <si>
    <t>FIDSE2205H0001</t>
  </si>
  <si>
    <t>FITSE000100E10</t>
  </si>
  <si>
    <t>FITSE000100E11</t>
  </si>
  <si>
    <t>FITSE000100E12</t>
  </si>
  <si>
    <t>FITSE000100E14</t>
  </si>
  <si>
    <t>FITSE000100E16</t>
  </si>
  <si>
    <t>FITSE000100E18</t>
  </si>
  <si>
    <t>FITSE000100E20</t>
  </si>
  <si>
    <t>FITSE000100E24</t>
  </si>
  <si>
    <t>FIDSE2216SWHDL</t>
  </si>
  <si>
    <t>FIDSE2217SWHDL</t>
  </si>
  <si>
    <t>FIDSE2206A0001</t>
  </si>
  <si>
    <t>FIDSE2202H270R</t>
  </si>
  <si>
    <t>FIDSE2204A0001</t>
  </si>
  <si>
    <t>FIDSE2203EOVAL</t>
  </si>
  <si>
    <t>FIETK100BCRV01</t>
  </si>
  <si>
    <t>FIEBM456CRV001</t>
  </si>
  <si>
    <t>FIEHV00000022N</t>
  </si>
  <si>
    <t>FIETMV206CRV01</t>
  </si>
  <si>
    <t>FIEA305UNVRSJT</t>
  </si>
  <si>
    <t>FIECJLP250CRV1</t>
  </si>
  <si>
    <t>FIECCLP275CS01</t>
  </si>
  <si>
    <t>FIEAS250CRV010</t>
  </si>
  <si>
    <t>FIHAE2406INSET</t>
  </si>
  <si>
    <t>KIT-E2406-08D</t>
  </si>
  <si>
    <t>E-2406</t>
  </si>
  <si>
    <t>KIT0064</t>
  </si>
  <si>
    <t>FIEPTB13STEELS</t>
  </si>
  <si>
    <t>KIT0065</t>
  </si>
  <si>
    <t>FDS3/4CV022</t>
  </si>
  <si>
    <t>FDS3/4CV024</t>
  </si>
  <si>
    <t>FDS3/4CV027</t>
  </si>
  <si>
    <t>FDS3/4CV028</t>
  </si>
  <si>
    <t>FDS3/4CV029</t>
  </si>
  <si>
    <t>FDS3/4CV030</t>
  </si>
  <si>
    <t>FDS3/4CV032</t>
  </si>
  <si>
    <t>FDS3/4CV033</t>
  </si>
  <si>
    <t>FDS3/4CV034</t>
  </si>
  <si>
    <t>FDS3/4CV036</t>
  </si>
  <si>
    <t>FDS3/4CV038</t>
  </si>
  <si>
    <t>FDS3/4CV041</t>
  </si>
  <si>
    <t>FDS3/4CV046</t>
  </si>
  <si>
    <t>FDS3/4CV050</t>
  </si>
  <si>
    <t>FDS3/4CV055</t>
  </si>
  <si>
    <t>FDS3/4CV060</t>
  </si>
  <si>
    <t>FIETC10PCSTEEL</t>
  </si>
  <si>
    <t>FIETC12PCSTEEL</t>
  </si>
  <si>
    <t>FIETC14PCSTEEL</t>
  </si>
  <si>
    <t>FIETC08PCSTEEL</t>
  </si>
  <si>
    <t>FITC22IM00011L</t>
  </si>
  <si>
    <t>FITC22IM11116L</t>
  </si>
  <si>
    <t>FITC22IM01112L</t>
  </si>
  <si>
    <t>FITC22IM01114L</t>
  </si>
  <si>
    <t>FITC22IM01118L</t>
  </si>
  <si>
    <t>FITC22IM01116L</t>
  </si>
  <si>
    <t>FITC22IM01316L</t>
  </si>
  <si>
    <t>FITC22IM11316L</t>
  </si>
  <si>
    <t>FITC22IM01134L</t>
  </si>
  <si>
    <t>FITC22IM01138L</t>
  </si>
  <si>
    <t>FITC22IM01156L</t>
  </si>
  <si>
    <t>FITC22IM01158L</t>
  </si>
  <si>
    <t>FITC22IM11716L</t>
  </si>
  <si>
    <t>FITC22IM01178L</t>
  </si>
  <si>
    <t>FITC22IM11916L</t>
  </si>
  <si>
    <t>FITC22IM10316L</t>
  </si>
  <si>
    <t>FITC22IM11516L</t>
  </si>
  <si>
    <t>FITC22IM00012L</t>
  </si>
  <si>
    <t>FITC22IM00134L</t>
  </si>
  <si>
    <t>FITC22IM00178L</t>
  </si>
  <si>
    <t>FITC22IM00011S</t>
  </si>
  <si>
    <t>FITC22IM11116S</t>
  </si>
  <si>
    <t>FITC22IM01114S</t>
  </si>
  <si>
    <t>FITC22IM01118S</t>
  </si>
  <si>
    <t>FITC22IM01316S</t>
  </si>
  <si>
    <t>FITC22IM01138S</t>
  </si>
  <si>
    <t>FITC22IM01516S</t>
  </si>
  <si>
    <t>FITC22IM11716S</t>
  </si>
  <si>
    <t>FITC22IM11316S</t>
  </si>
  <si>
    <t>FITC22IM11516S</t>
  </si>
  <si>
    <t>FITC22IM00134S</t>
  </si>
  <si>
    <t>FITC22IM00178S</t>
  </si>
  <si>
    <t>FIIDS2223N2027</t>
  </si>
  <si>
    <t>FIIDS2223N2030</t>
  </si>
  <si>
    <t>FIIDS2223N2032</t>
  </si>
  <si>
    <t>FIIDS2223N2036</t>
  </si>
  <si>
    <t>FIDSE2225H0026</t>
  </si>
  <si>
    <t>FIDSE2202B240R</t>
  </si>
  <si>
    <t>FITSE2224A0T20</t>
  </si>
  <si>
    <t>FITSE2224A0T25</t>
  </si>
  <si>
    <t>FITSE2224A0T27</t>
  </si>
  <si>
    <t>FITSE2224A0T30</t>
  </si>
  <si>
    <t>FITSE2224A0T40</t>
  </si>
  <si>
    <t>FITSE2224A0T45</t>
  </si>
  <si>
    <t>FITSE2224A0T50</t>
  </si>
  <si>
    <t>FITSE2224A0T55</t>
  </si>
  <si>
    <t>FITSE2224A0T60</t>
  </si>
  <si>
    <t>FITSE2224A0T70</t>
  </si>
  <si>
    <t>FIDSE22021224N</t>
  </si>
  <si>
    <t>FITC22IM00121L</t>
  </si>
  <si>
    <t>FITC22IM01212L</t>
  </si>
  <si>
    <t>FITC22IM21116L</t>
  </si>
  <si>
    <t>FITC22IM21316L</t>
  </si>
  <si>
    <t>FITC22IM21516L</t>
  </si>
  <si>
    <t>FITC22IM01234L</t>
  </si>
  <si>
    <t>FITC22IM01238L</t>
  </si>
  <si>
    <t>FITC22IM01258L</t>
  </si>
  <si>
    <t>FITC22IM12716L</t>
  </si>
  <si>
    <t>FITC22IM01278L</t>
  </si>
  <si>
    <t>FITC22IM12916L</t>
  </si>
  <si>
    <t>FITC22IM01210S</t>
  </si>
  <si>
    <t>FITC22IM11638S</t>
  </si>
  <si>
    <t>FITC22IM12114S</t>
  </si>
  <si>
    <t>FITC22IM12318S</t>
  </si>
  <si>
    <t>FITC22IM21316S</t>
  </si>
  <si>
    <t>FITC22IM01212S</t>
  </si>
  <si>
    <t>FITC22IM12116S</t>
  </si>
  <si>
    <t>FITC22IM12136S</t>
  </si>
  <si>
    <t>FITC22IM12156S</t>
  </si>
  <si>
    <t>FITC22IM01234S</t>
  </si>
  <si>
    <t>FITC22IM01238S</t>
  </si>
  <si>
    <t>FITC22IM12516S</t>
  </si>
  <si>
    <t>FITC22IM01258S</t>
  </si>
  <si>
    <t>FITC22IM12716S</t>
  </si>
  <si>
    <t>FITC22IM01278S</t>
  </si>
  <si>
    <t>FITC22IM12916S</t>
  </si>
  <si>
    <t>FIIDS2223N0010</t>
  </si>
  <si>
    <t>FIIDS2223N0012</t>
  </si>
  <si>
    <t>FIIDS2223N0013</t>
  </si>
  <si>
    <t>FIIDS2223N0014</t>
  </si>
  <si>
    <t>FIIDS2223N0016</t>
  </si>
  <si>
    <t>FIIDS2223N0017</t>
  </si>
  <si>
    <t>FIIDS2223N0018</t>
  </si>
  <si>
    <t>FIIDS2223N0019</t>
  </si>
  <si>
    <t>FIIDS2223N0021</t>
  </si>
  <si>
    <t>FIIDS2223N0022</t>
  </si>
  <si>
    <t>FIIDS2223N0024</t>
  </si>
  <si>
    <t>FIIDS2223N0027</t>
  </si>
  <si>
    <t>FIIS2223N00010</t>
  </si>
  <si>
    <t>FIIS2223N00012</t>
  </si>
  <si>
    <t>FIIS2223N00013</t>
  </si>
  <si>
    <t>FIIS2223N00014</t>
  </si>
  <si>
    <t>FIIS2223N00015</t>
  </si>
  <si>
    <t>FIIS2223N00016</t>
  </si>
  <si>
    <t>FIIS2223N00017</t>
  </si>
  <si>
    <t>FIIS2223N00018</t>
  </si>
  <si>
    <t>FIIS2223N00019</t>
  </si>
  <si>
    <t>FIIS2223N00021</t>
  </si>
  <si>
    <t>FIIS2223N00022</t>
  </si>
  <si>
    <t>FIIS2223N00024</t>
  </si>
  <si>
    <t>FIIS2223N00027</t>
  </si>
  <si>
    <t>FIIS2223N00028</t>
  </si>
  <si>
    <t>FIIS2223N00030</t>
  </si>
  <si>
    <t>FIIS2223N00032</t>
  </si>
  <si>
    <t>FIDSE2260S446N</t>
  </si>
  <si>
    <t>FIDSE2260S446O</t>
  </si>
  <si>
    <t>FIEDMB1502PHMM</t>
  </si>
  <si>
    <t>FITSSET0E2219S</t>
  </si>
  <si>
    <t>FIDSE2301S694O</t>
  </si>
  <si>
    <t>FIDSE2202H618N</t>
  </si>
  <si>
    <t>FIEMFP200CSC01</t>
  </si>
  <si>
    <t>3 IN 1 MULTIFUNCTIONAL PLIER 3011</t>
  </si>
  <si>
    <t>FIDSE2222EBHSQ</t>
  </si>
  <si>
    <t>FDEB3/4CV16</t>
  </si>
  <si>
    <t>FITC22IM00341S</t>
  </si>
  <si>
    <t>FITC22IM34316S</t>
  </si>
  <si>
    <t>FITC22IM34516S</t>
  </si>
  <si>
    <t>FITC22IM03434S</t>
  </si>
  <si>
    <t>FITC22IM03478S</t>
  </si>
  <si>
    <t>FIIDS2223N1027</t>
  </si>
  <si>
    <t>FIIDS2223N1030</t>
  </si>
  <si>
    <t>FIIDS2223N1032</t>
  </si>
  <si>
    <t>FIIDS2223N1036</t>
  </si>
  <si>
    <t>FDEB3/4CV08</t>
  </si>
  <si>
    <t>FIEPRC00175100</t>
  </si>
  <si>
    <t>FIEBS40MS20001</t>
  </si>
  <si>
    <t>FIEIDB5036SETM</t>
  </si>
  <si>
    <t>FIEIDB5080SETM</t>
  </si>
  <si>
    <t>FIEPSD00000006</t>
  </si>
  <si>
    <t>FIETBS00000009</t>
  </si>
  <si>
    <t>FDAWCP00006</t>
  </si>
  <si>
    <t>FDAWCP00008</t>
  </si>
  <si>
    <t>FDAWCPDP008</t>
  </si>
  <si>
    <t>FDAWCP00010</t>
  </si>
  <si>
    <t>FDAWCPDC010</t>
  </si>
  <si>
    <t>FDAWCP00012</t>
  </si>
  <si>
    <t>FDAWCPDC012</t>
  </si>
  <si>
    <t>FDAWBP00008</t>
  </si>
  <si>
    <t>FDAWBP00010</t>
  </si>
  <si>
    <t>FDAWBP00012</t>
  </si>
  <si>
    <t>FDAWBP00015</t>
  </si>
  <si>
    <t>FDAWBP00006</t>
  </si>
  <si>
    <t>FIEAWSS003CRMO</t>
  </si>
  <si>
    <t>FIHAE2403INSET</t>
  </si>
  <si>
    <t>FIHAE2406L0002</t>
  </si>
  <si>
    <t>FIHAE2406L0003</t>
  </si>
  <si>
    <t>FIHAE2406L0004</t>
  </si>
  <si>
    <t>FIHAE2406L0006</t>
  </si>
  <si>
    <t>FIHAE2406L0008</t>
  </si>
  <si>
    <t>FIHAE2401S1005</t>
  </si>
  <si>
    <t>FIHAE2401SI116</t>
  </si>
  <si>
    <t>FIHAE2401SI012</t>
  </si>
  <si>
    <t>FIHAE2401SI014</t>
  </si>
  <si>
    <t>FIHAE2401SI018</t>
  </si>
  <si>
    <t>FIHAE2401S0010</t>
  </si>
  <si>
    <t>FIHAE2401S0012</t>
  </si>
  <si>
    <t>FIHAE2401S0014</t>
  </si>
  <si>
    <t>FIHAE2401S0017</t>
  </si>
  <si>
    <t>FIHAE2401S0019</t>
  </si>
  <si>
    <t>FIHAE2401S0002</t>
  </si>
  <si>
    <t>FIHAE2401SI025</t>
  </si>
  <si>
    <t>FIHAE2401S0022</t>
  </si>
  <si>
    <t>FIHAE2401S0024</t>
  </si>
  <si>
    <t>FIHAE2401S0027</t>
  </si>
  <si>
    <t>FIHAE2401S0003</t>
  </si>
  <si>
    <t>FIHAE2401SI316</t>
  </si>
  <si>
    <t>FIHAE2401SI332</t>
  </si>
  <si>
    <t>FIHAE2401SI038</t>
  </si>
  <si>
    <t>FIHAE2401S0032</t>
  </si>
  <si>
    <t>FIHAE2401S0036</t>
  </si>
  <si>
    <t>FIHAE2401S0004</t>
  </si>
  <si>
    <t>FIHAE2401S0005</t>
  </si>
  <si>
    <t>FIHAE2401SI516</t>
  </si>
  <si>
    <t>FIHAE2401SI532</t>
  </si>
  <si>
    <t>FIHAE2401SI564</t>
  </si>
  <si>
    <t>FIHAE2401SI058</t>
  </si>
  <si>
    <t>FIHAE2401S0006</t>
  </si>
  <si>
    <t>FIHAE2401SI732</t>
  </si>
  <si>
    <t>FIHAE2401S0008</t>
  </si>
  <si>
    <t>FIHAE2401S0009</t>
  </si>
  <si>
    <t>FIHAE2401SI916</t>
  </si>
  <si>
    <t>FIHAE2403MMSET</t>
  </si>
  <si>
    <t>FIHAE2408INSET</t>
  </si>
  <si>
    <t>FIHAE2408MMSET</t>
  </si>
  <si>
    <t>FIHAE2406MMSET</t>
  </si>
  <si>
    <t>FIHAE2406XLSET</t>
  </si>
  <si>
    <t>FIHAE2407HTSET</t>
  </si>
  <si>
    <t>FIHAE2407SET01</t>
  </si>
  <si>
    <t>FIHAE2407HXLTP</t>
  </si>
  <si>
    <t>FIHAE2402L0010</t>
  </si>
  <si>
    <t>FIHAE2402L0002</t>
  </si>
  <si>
    <t>FIHAE2402L0025</t>
  </si>
  <si>
    <t>FIHAE2402L0003</t>
  </si>
  <si>
    <t>FIHAE2402L0004</t>
  </si>
  <si>
    <t>FIHAE2402L0005</t>
  </si>
  <si>
    <t>FIHAE2402L0006</t>
  </si>
  <si>
    <t>FIHAE2402L0008</t>
  </si>
  <si>
    <t>FIBCSCRMO00012</t>
  </si>
  <si>
    <t>FIBCSCRMO00014</t>
  </si>
  <si>
    <t>FIBCSCRMO00018</t>
  </si>
  <si>
    <t>FIBCSCRMO00024</t>
  </si>
  <si>
    <t>FIBCSCRMO00030</t>
  </si>
  <si>
    <t>FIBCSCRMO00036</t>
  </si>
  <si>
    <t>FIBCSCRMO00042</t>
  </si>
  <si>
    <t>FDBPH000100</t>
  </si>
  <si>
    <t>FDBPH000200</t>
  </si>
  <si>
    <t>FDBPH000300</t>
  </si>
  <si>
    <t>FDBPH000500</t>
  </si>
  <si>
    <t>FDBPH000600</t>
  </si>
  <si>
    <t>FDBPH000800</t>
  </si>
  <si>
    <t>FIEBCCRMO00008</t>
  </si>
  <si>
    <t>FIEBCCRMO00012</t>
  </si>
  <si>
    <t>FIBCCRV000012E</t>
  </si>
  <si>
    <t>FIEBCCRMO00014</t>
  </si>
  <si>
    <t>FIBCCRV000014E</t>
  </si>
  <si>
    <t>FIEBCCRMO00018</t>
  </si>
  <si>
    <t>FIBCCRV000018E</t>
  </si>
  <si>
    <t>FIEBCCRMO00024</t>
  </si>
  <si>
    <t>FIBCCRV000024E</t>
  </si>
  <si>
    <t>FIEBCCRMO00030</t>
  </si>
  <si>
    <t>FIEBCCRMO00036</t>
  </si>
  <si>
    <t>FIEBCCRMO00042</t>
  </si>
  <si>
    <t>FDRSCTCP0810</t>
  </si>
  <si>
    <t>FDRSCTCP1011</t>
  </si>
  <si>
    <t>FDRSCTCP1012</t>
  </si>
  <si>
    <t>FDRSCTCP1213</t>
  </si>
  <si>
    <t>FDRSCTCP1415</t>
  </si>
  <si>
    <t>FDRSCTCP1417</t>
  </si>
  <si>
    <t>FDRSCTCP1617</t>
  </si>
  <si>
    <t>FDRSCTCP1719</t>
  </si>
  <si>
    <t>FDRSCTCP1819</t>
  </si>
  <si>
    <t>FDRSCTCP2123</t>
  </si>
  <si>
    <t>FDCCDFAB010</t>
  </si>
  <si>
    <t>FDCCDFAB012</t>
  </si>
  <si>
    <t>FDCCDFAB002</t>
  </si>
  <si>
    <t>FDCCDFAB003</t>
  </si>
  <si>
    <t>FDCCDFAB004</t>
  </si>
  <si>
    <t>FDCCDFAB006</t>
  </si>
  <si>
    <t>FDCCDFAB008</t>
  </si>
  <si>
    <t>FSVC2022101786</t>
  </si>
  <si>
    <t>KIT-E2005-06</t>
  </si>
  <si>
    <t>KIT-E2005-08</t>
  </si>
  <si>
    <t>KIT-E2005-12</t>
  </si>
  <si>
    <t>KIT-E2005-14BQ</t>
  </si>
  <si>
    <t>KIT-E2005-14B</t>
  </si>
  <si>
    <t>KIT-E2005-14</t>
  </si>
  <si>
    <t>KIT-E2005-25</t>
  </si>
  <si>
    <t>KIT-E2005-26</t>
  </si>
  <si>
    <t>FDCSCVHP006</t>
  </si>
  <si>
    <t>FDCSCVHP007</t>
  </si>
  <si>
    <t>FDCSCVHP008</t>
  </si>
  <si>
    <t>FDCSCVHP009</t>
  </si>
  <si>
    <t>FDCSCVHP010</t>
  </si>
  <si>
    <t>FDCSCVHP011</t>
  </si>
  <si>
    <t>FDCSCVHP012</t>
  </si>
  <si>
    <t>FDCSCVHP013</t>
  </si>
  <si>
    <t>FDCSCVHP014</t>
  </si>
  <si>
    <t>FDCSCVHP015</t>
  </si>
  <si>
    <t>FDCSCVHP016</t>
  </si>
  <si>
    <t>FDCSCVHP017</t>
  </si>
  <si>
    <t>FDCSCVHP018</t>
  </si>
  <si>
    <t>FDCSCVHP019</t>
  </si>
  <si>
    <t>FDCSCVHP020</t>
  </si>
  <si>
    <t>FDCSCVHP021</t>
  </si>
  <si>
    <t>FDCSCVHP022</t>
  </si>
  <si>
    <t>FDCSCVHP023</t>
  </si>
  <si>
    <t>FDCSCVHP024</t>
  </si>
  <si>
    <t>FDCSCVHP025</t>
  </si>
  <si>
    <t>FDCSCVHP026</t>
  </si>
  <si>
    <t>FDCSCVHP027</t>
  </si>
  <si>
    <t>FDCSCVHP028</t>
  </si>
  <si>
    <t>FDCSCVHP029</t>
  </si>
  <si>
    <t>FDCSCVHP030</t>
  </si>
  <si>
    <t>FDCSCVHP032</t>
  </si>
  <si>
    <t>FDCPAB08100</t>
  </si>
  <si>
    <t>FDCPAB10100</t>
  </si>
  <si>
    <t>FDCPAB12125</t>
  </si>
  <si>
    <t>FDCPAB12150</t>
  </si>
  <si>
    <t>FDCHOG12150</t>
  </si>
  <si>
    <t>FDCHOG16200</t>
  </si>
  <si>
    <t>FDCHOG19200</t>
  </si>
  <si>
    <t>FIECP2033C13CA</t>
  </si>
  <si>
    <t>FIECP2033A13A1</t>
  </si>
  <si>
    <t>FIECP2034D10D1</t>
  </si>
  <si>
    <t>FIECP2034C10C1</t>
  </si>
  <si>
    <t>FIECP2034B10B1</t>
  </si>
  <si>
    <t>FIECP2034A10A1</t>
  </si>
  <si>
    <t>FIECP2032C9C01</t>
  </si>
  <si>
    <t>FIECP2032A9A01</t>
  </si>
  <si>
    <t>FDCLHSH0200</t>
  </si>
  <si>
    <t>FDCLH000500</t>
  </si>
  <si>
    <t>FDCLHSH0500</t>
  </si>
  <si>
    <t>FDCPPCDCS08</t>
  </si>
  <si>
    <t>KIT0074</t>
  </si>
  <si>
    <t>KIT0067-FAB</t>
  </si>
  <si>
    <t>FDCPHPBCV08</t>
  </si>
  <si>
    <t>KIT0067-HP</t>
  </si>
  <si>
    <t>KIT-E2004-12</t>
  </si>
  <si>
    <t>KIT-E2004-06</t>
  </si>
  <si>
    <t>FSVC2015100001</t>
  </si>
  <si>
    <t>FSVC2015100002</t>
  </si>
  <si>
    <t>FSVC2015100003</t>
  </si>
  <si>
    <t>FSVC2015100004</t>
  </si>
  <si>
    <t>FSVC2015100005</t>
  </si>
  <si>
    <t>FSVC2015100006</t>
  </si>
  <si>
    <t>FSVC2015100007</t>
  </si>
  <si>
    <t>FSVC2015100008</t>
  </si>
  <si>
    <t>FSVC2015100009</t>
  </si>
  <si>
    <t>FSVC2015100010</t>
  </si>
  <si>
    <t>FSVC2015100011</t>
  </si>
  <si>
    <t>FSVC2015100012</t>
  </si>
  <si>
    <t>FSVC2015100013</t>
  </si>
  <si>
    <t>FSVC2015100014</t>
  </si>
  <si>
    <t>FSVC2015100015</t>
  </si>
  <si>
    <t>FSVC2015100016</t>
  </si>
  <si>
    <t>FSVC2015100017</t>
  </si>
  <si>
    <t>FSVC2015100018</t>
  </si>
  <si>
    <t>FSVC2015100019</t>
  </si>
  <si>
    <t>FSVC2015100020</t>
  </si>
  <si>
    <t>FSVC2015100021</t>
  </si>
  <si>
    <t>FSVC2015100022</t>
  </si>
  <si>
    <t>FSVC2015100023</t>
  </si>
  <si>
    <t>FSVC2015100024</t>
  </si>
  <si>
    <t>FSVC2015100025</t>
  </si>
  <si>
    <t>FSVC2015100026</t>
  </si>
  <si>
    <t>FSVC2015100028</t>
  </si>
  <si>
    <t>FSVC2015100029</t>
  </si>
  <si>
    <t>FSVC2015100030</t>
  </si>
  <si>
    <t>FSVC2015100031</t>
  </si>
  <si>
    <t>FSVC2015100032</t>
  </si>
  <si>
    <t>FSVC2015100049</t>
  </si>
  <si>
    <t>KIT-E2004-08</t>
  </si>
  <si>
    <t>FDCPH000100</t>
  </si>
  <si>
    <t>FDCPH000200</t>
  </si>
  <si>
    <t>FDCPH000300</t>
  </si>
  <si>
    <t>FDCPH000500</t>
  </si>
  <si>
    <t>FDCPH000600</t>
  </si>
  <si>
    <t>FDCPH000800</t>
  </si>
  <si>
    <t>FDCWSPC1821</t>
  </si>
  <si>
    <t>FDCWSPC2123</t>
  </si>
  <si>
    <t>FSVD1022101063</t>
  </si>
  <si>
    <t>FSVD1022101064</t>
  </si>
  <si>
    <t>FSVD1023100877</t>
  </si>
  <si>
    <t>FSVD1023100918</t>
  </si>
  <si>
    <t>FSVD1023100901</t>
  </si>
  <si>
    <t>FSVD1023100867</t>
  </si>
  <si>
    <t>FSVD1022101053</t>
  </si>
  <si>
    <t>FSVD1023100870</t>
  </si>
  <si>
    <t>FSVD1023100892</t>
  </si>
  <si>
    <t>FSVD1023100871</t>
  </si>
  <si>
    <t>FSVD1022101054</t>
  </si>
  <si>
    <t>FSVD1023100876</t>
  </si>
  <si>
    <t>FSVD1023100879</t>
  </si>
  <si>
    <t>FSVD1022101055</t>
  </si>
  <si>
    <t>FSVD1023100882</t>
  </si>
  <si>
    <t>FSVD1022101056</t>
  </si>
  <si>
    <t>FSVD1023100893</t>
  </si>
  <si>
    <t>DOE SPANNER 17X19 E-2001</t>
  </si>
  <si>
    <t>FSVD1022101057</t>
  </si>
  <si>
    <t>DOE SPANNER 18X19 E-2001</t>
  </si>
  <si>
    <t>FSVD1023100887</t>
  </si>
  <si>
    <t>DOE SPANNER 18X21 E-2001</t>
  </si>
  <si>
    <t>FSVD1023100889</t>
  </si>
  <si>
    <t>DOE SPANNER 19X22 E-2001</t>
  </si>
  <si>
    <t>FSVD1022101058</t>
  </si>
  <si>
    <t>DOE SPANNER 20X22 E-2001</t>
  </si>
  <si>
    <t>FSVD1022101059</t>
  </si>
  <si>
    <t>DOE SPANNER 21X23 E-2001</t>
  </si>
  <si>
    <t>FSVD1023100903</t>
  </si>
  <si>
    <t>DOE SPANNER 24X26 E-2001</t>
  </si>
  <si>
    <t>FSVD1022101060</t>
  </si>
  <si>
    <t>DOE SPANNER 24X27 E-2001</t>
  </si>
  <si>
    <t>FSVD1022101061</t>
  </si>
  <si>
    <t>DOE SPANNER 25X28 E-2001</t>
  </si>
  <si>
    <t>FSVD1023100902</t>
  </si>
  <si>
    <t>DOE SPANNER 27X32 E-2001</t>
  </si>
  <si>
    <t>FSVD1023100891</t>
  </si>
  <si>
    <t>DOE SPANNER 3/16X1/4 E-2001</t>
  </si>
  <si>
    <t>FSVD1023100883</t>
  </si>
  <si>
    <t>DOE SPANNER 3/4X5/8 SAE E-2001</t>
  </si>
  <si>
    <t>FSVD1023100909</t>
  </si>
  <si>
    <t>DOE SPANNER 5/16X3/8 E-2001</t>
  </si>
  <si>
    <t>FSVD1023100915</t>
  </si>
  <si>
    <t>DOE SPANNER 3/8X7/16 E-2001</t>
  </si>
  <si>
    <t>FSVD1022101062</t>
  </si>
  <si>
    <t>DOE SPANNER 30X32 E-2001</t>
  </si>
  <si>
    <t>FSVD1023100895</t>
  </si>
  <si>
    <t>DOE RP E/B MF BCP 32X36 E-2001</t>
  </si>
  <si>
    <t>FSVD1023100910</t>
  </si>
  <si>
    <t>DOE SPANNER 41X46 E-2001</t>
  </si>
  <si>
    <t>FSVD1023100912</t>
  </si>
  <si>
    <t>DOE SPANNER 5/16X7/16 E-2001</t>
  </si>
  <si>
    <t>FSVD1023100875</t>
  </si>
  <si>
    <t>DOE SPANNER 5/8X3/4 E-2001</t>
  </si>
  <si>
    <t>FSVD1023100916</t>
  </si>
  <si>
    <t>DOE SPANNER 7/16X1/2 E-2001</t>
  </si>
  <si>
    <t>FSVD1023100917</t>
  </si>
  <si>
    <t>DOE SPANNER 7/16X9/16 E-2001</t>
  </si>
  <si>
    <t>FSVD1023100886</t>
  </si>
  <si>
    <t>DOE RP E/B MF BCP 8X10 E-2001</t>
  </si>
  <si>
    <t>FSVD1023100868</t>
  </si>
  <si>
    <t>DOE SPANNER 9/16X5/8 E-2001</t>
  </si>
  <si>
    <t>FSVD1023100881</t>
  </si>
  <si>
    <t>DOE SPANNER 1/2X9/16 SAE E-2001</t>
  </si>
  <si>
    <t>FDDECS1922</t>
  </si>
  <si>
    <t>DOUBLE OPEN END 19X22 MM</t>
  </si>
  <si>
    <t>FDDECVCP002</t>
  </si>
  <si>
    <t>DOE SPANNER 7/8 X1 E-2001</t>
  </si>
  <si>
    <t>FDDECVCP003</t>
  </si>
  <si>
    <t>DOE SPANNER 1-1/8 X1-1/4 E-2001</t>
  </si>
  <si>
    <t>FDDECVC1317</t>
  </si>
  <si>
    <t>DOE CRV M/F C/P:13 X 17 E-2001</t>
  </si>
  <si>
    <t>FDDECVCP0018</t>
  </si>
  <si>
    <t>DOE CRV M/F C/P:17X19 2001 2001</t>
  </si>
  <si>
    <t>FDDECVCP001</t>
  </si>
  <si>
    <t>DOE SPANNER 1X1-1/8 E-2001</t>
  </si>
  <si>
    <t>FDDECVCP002732</t>
  </si>
  <si>
    <t>DOE CRV M/F C/P:27X32 2001 2001</t>
  </si>
  <si>
    <t>FDDECV3478</t>
  </si>
  <si>
    <t>FDDECVCP0015</t>
  </si>
  <si>
    <t>DOE CRV M/F C/P:34X362001 2001</t>
  </si>
  <si>
    <t>FDDECVCP0016</t>
  </si>
  <si>
    <t>DOE CRV M/F C/P:34X38 2001 2001</t>
  </si>
  <si>
    <t>FDDECVCP008</t>
  </si>
  <si>
    <t>FDDECVCP006</t>
  </si>
  <si>
    <t>DOE CRV M/F C/P:46X50 E-2001</t>
  </si>
  <si>
    <t>FDDECVCP004</t>
  </si>
  <si>
    <t>DOE SPANNER 50X55 E-2001</t>
  </si>
  <si>
    <t>FDDECVCP005</t>
  </si>
  <si>
    <t>DOE SPANNER 55X60 E-2001</t>
  </si>
  <si>
    <t>KIT-E2001-10</t>
  </si>
  <si>
    <t>DOE SET 10 PCS (6x7-24x27) E-2001</t>
  </si>
  <si>
    <t>KIT-E2001-06</t>
  </si>
  <si>
    <t>DOE SET 6 PCS (6x7-16x17) E-2001</t>
  </si>
  <si>
    <t>KIT-E2001-08</t>
  </si>
  <si>
    <t>DOE SPANNER RECESSED PANEL CRV STEEL BCP - EASTMAN S/O 8 PCS (6x7-20x22 MM)</t>
  </si>
  <si>
    <t>KIT-E2001-12</t>
  </si>
  <si>
    <t>DOE SET 12 PCS (6x7-30X32) E-2001</t>
  </si>
  <si>
    <t>KIT-E2001-10 SPL</t>
  </si>
  <si>
    <t>DOE S/O 10 PCS SPECIAL (6x7-30X32) E-2001</t>
  </si>
  <si>
    <t>KIT-E2001-12H</t>
  </si>
  <si>
    <t>DOE HANGER PACKING S/O 12 PCS E-2001</t>
  </si>
  <si>
    <t>KIT-E2001-06H</t>
  </si>
  <si>
    <t>DOE HANGER PACKING S/O 06 PCS E-2001</t>
  </si>
  <si>
    <t>KIT-E2001-08H</t>
  </si>
  <si>
    <t>DOE HANGER PACKING S/O 08 PCS E-2001</t>
  </si>
  <si>
    <t>KIT-E2001-06W</t>
  </si>
  <si>
    <t>DOE WW S/O 06 PCS E-2001</t>
  </si>
  <si>
    <t>KIT-E2001-09W</t>
  </si>
  <si>
    <t>DOE WW S/O 09 PCS E-2001</t>
  </si>
  <si>
    <t>KIT-E2002-06</t>
  </si>
  <si>
    <t>FSVD2025100748</t>
  </si>
  <si>
    <t>FSVD2025100749</t>
  </si>
  <si>
    <t>FSVD2025100750</t>
  </si>
  <si>
    <t>FSVD2025100752</t>
  </si>
  <si>
    <t>FSVD1023100894</t>
  </si>
  <si>
    <t>FRSV0015100032</t>
  </si>
  <si>
    <t>F RATCHET CV STRAIGHT STEEL FP BCP 07 MM</t>
  </si>
  <si>
    <t>FRSV0015100001</t>
  </si>
  <si>
    <t>FRSV0015100003</t>
  </si>
  <si>
    <t>FRSV0015100004</t>
  </si>
  <si>
    <t>FRSV0015100005</t>
  </si>
  <si>
    <t>FRSV0015100006</t>
  </si>
  <si>
    <t>FRSV0015100007</t>
  </si>
  <si>
    <t>FRSV0015100008</t>
  </si>
  <si>
    <t>FRSV0015100009</t>
  </si>
  <si>
    <t>FRSV0015100010</t>
  </si>
  <si>
    <t>FRSV0015100011</t>
  </si>
  <si>
    <t>FRSV0015100012</t>
  </si>
  <si>
    <t>FRSV0015100013</t>
  </si>
  <si>
    <t>FRSV0015100014</t>
  </si>
  <si>
    <t>FRSV0015100015</t>
  </si>
  <si>
    <t>FRSV0015100016</t>
  </si>
  <si>
    <t>FRSV0015100017</t>
  </si>
  <si>
    <t>FRSV0015100002</t>
  </si>
  <si>
    <t>FDFLWR225L</t>
  </si>
  <si>
    <t>FDFLWR300L</t>
  </si>
  <si>
    <t>FSVF2015100708</t>
  </si>
  <si>
    <t>FSVF2025100709</t>
  </si>
  <si>
    <t>FSVF2025100710</t>
  </si>
  <si>
    <t>FSVF2025100711</t>
  </si>
  <si>
    <t>FSVF2025100706</t>
  </si>
  <si>
    <t>FURWS00P100045</t>
  </si>
  <si>
    <t>FDGGBW/OW10</t>
  </si>
  <si>
    <t>FDGGBTWW010</t>
  </si>
  <si>
    <t>FDGGBTWW015</t>
  </si>
  <si>
    <t>FDGGBTWW020</t>
  </si>
  <si>
    <t>FDGGBW/OW05</t>
  </si>
  <si>
    <t>FDGGBTWW005</t>
  </si>
  <si>
    <t>FDGBKIT005</t>
  </si>
  <si>
    <t>GREASE BUCKETS SPARE KIT</t>
  </si>
  <si>
    <t>FDGG10O5/16</t>
  </si>
  <si>
    <t>FDGG15O5/08</t>
  </si>
  <si>
    <t>FDGG15OZ1/2</t>
  </si>
  <si>
    <t>FDGG15O5/16</t>
  </si>
  <si>
    <t>FDHSBL00003</t>
  </si>
  <si>
    <t>FDHSBL00004</t>
  </si>
  <si>
    <t>FDHSBL00002</t>
  </si>
  <si>
    <t>FDHSBL00001</t>
  </si>
  <si>
    <t>FDHFCP00012</t>
  </si>
  <si>
    <t>FDHFPC00012</t>
  </si>
  <si>
    <t>FDHORP00090</t>
  </si>
  <si>
    <t>FDHORP00095</t>
  </si>
  <si>
    <t>FIEHR000000255</t>
  </si>
  <si>
    <t>FIEHR0000321PR</t>
  </si>
  <si>
    <t>FIEHR0000509PR</t>
  </si>
  <si>
    <t>KITHOME3</t>
  </si>
  <si>
    <t>KITHOME4-ELEC</t>
  </si>
  <si>
    <t>KITHOME5</t>
  </si>
  <si>
    <t>HOME TOOL KIT 5 PCS</t>
  </si>
  <si>
    <t>KITHOME9</t>
  </si>
  <si>
    <t>HOME TOOL KIT 7 PCS</t>
  </si>
  <si>
    <t>FIEHBJ0000010T</t>
  </si>
  <si>
    <t>FIEHBJ0000002T</t>
  </si>
  <si>
    <t>FIEHBJ0000003T</t>
  </si>
  <si>
    <t>FIEHBJ0000005T</t>
  </si>
  <si>
    <t>FIEHFJ000HP02T</t>
  </si>
  <si>
    <t>FIEHFJ000HP03T</t>
  </si>
  <si>
    <t>FIEHFJ000LP03T</t>
  </si>
  <si>
    <t>FIEIDB500136MM</t>
  </si>
  <si>
    <t>FIEIDB500280MM</t>
  </si>
  <si>
    <t>FIEID250001SET</t>
  </si>
  <si>
    <t>FIEID250002SET</t>
  </si>
  <si>
    <t>FDJHSBL0001</t>
  </si>
  <si>
    <t>JUNIOR HACKSAW BLADE LOOSE 6 INCH</t>
  </si>
  <si>
    <t>KIT- L &amp; T W/O FOAM</t>
  </si>
  <si>
    <t>FDLTZP0002</t>
  </si>
  <si>
    <t>FDLTZP0001</t>
  </si>
  <si>
    <t>FARTH005100007</t>
  </si>
  <si>
    <t>FARTH002100004</t>
  </si>
  <si>
    <t>FARTH005100005</t>
  </si>
  <si>
    <t>FARTH005100006</t>
  </si>
  <si>
    <t>FARTH005100008</t>
  </si>
  <si>
    <t>FDLGPCS0001</t>
  </si>
  <si>
    <t>FDMHWHFP300GMS</t>
  </si>
  <si>
    <t>FDMHWHFP500GMS</t>
  </si>
  <si>
    <t>FDMHWHFP800GMS</t>
  </si>
  <si>
    <t>FINST/00000075</t>
  </si>
  <si>
    <t>FINST/000HR150</t>
  </si>
  <si>
    <t>FINST/00022729</t>
  </si>
  <si>
    <t>FINST/11040145</t>
  </si>
  <si>
    <t>FINST/11040523</t>
  </si>
  <si>
    <t>FINST/11040254</t>
  </si>
  <si>
    <t>FINST/00012729</t>
  </si>
  <si>
    <t>FDOCWTR0002</t>
  </si>
  <si>
    <t>FDOCWTR0001</t>
  </si>
  <si>
    <t>FDOCWTR01/2</t>
  </si>
  <si>
    <t>FDOCWTR01/4</t>
  </si>
  <si>
    <t>FDOCWTR03/4</t>
  </si>
  <si>
    <t>FDOFWHDMB001</t>
  </si>
  <si>
    <t>FDOFWHDMB003</t>
  </si>
  <si>
    <t>FDOFWHDMB002</t>
  </si>
  <si>
    <t>FDPWRFPR012</t>
  </si>
  <si>
    <t>FDPWRFPR014</t>
  </si>
  <si>
    <t>FDPWRFPR018</t>
  </si>
  <si>
    <t>FDPWRFPR024</t>
  </si>
  <si>
    <t>FDPWRFPR036</t>
  </si>
  <si>
    <t>FDPWRFPR048</t>
  </si>
  <si>
    <t>FDPWSHPR010</t>
  </si>
  <si>
    <t>FDPWSHPR012</t>
  </si>
  <si>
    <t>FDPWSSBR012</t>
  </si>
  <si>
    <t>FDPWSHPR014</t>
  </si>
  <si>
    <t>FDPWSSBR014</t>
  </si>
  <si>
    <t>FDPWSHPR018</t>
  </si>
  <si>
    <t>FDPWSHPR024</t>
  </si>
  <si>
    <t>FDPWSHPR036</t>
  </si>
  <si>
    <t>FDPWSHPR048</t>
  </si>
  <si>
    <t>FDBPPDNUT90</t>
  </si>
  <si>
    <t>FDPHCP00025</t>
  </si>
  <si>
    <t>FDPHCP00030</t>
  </si>
  <si>
    <t>FDPHCP00040</t>
  </si>
  <si>
    <t>FDPHCP00050</t>
  </si>
  <si>
    <t>FIEPTB17STEELS</t>
  </si>
  <si>
    <t>FIEPTB19STEELS</t>
  </si>
  <si>
    <t>FDPTBPC0001</t>
  </si>
  <si>
    <t>FIEPSC00000190</t>
  </si>
  <si>
    <t>FIEPSC00000185</t>
  </si>
  <si>
    <t>FIEPC26PCUTTER</t>
  </si>
  <si>
    <t>FIEPC42PCUTTER</t>
  </si>
  <si>
    <t>FIEPC64PCUTTER</t>
  </si>
  <si>
    <t>FDRSCV00607</t>
  </si>
  <si>
    <t>FDRSCV00809</t>
  </si>
  <si>
    <t>FDRSCV01011</t>
  </si>
  <si>
    <t>FDRSCV01213</t>
  </si>
  <si>
    <t>FDRSCV01415</t>
  </si>
  <si>
    <t>FDRSCV01617</t>
  </si>
  <si>
    <t>FDRSCV01719</t>
  </si>
  <si>
    <t>FDRSCV01819</t>
  </si>
  <si>
    <t>FDRSCV01922</t>
  </si>
  <si>
    <t>FDRSCV02022</t>
  </si>
  <si>
    <t>FDRSCV02123</t>
  </si>
  <si>
    <t>FDRSCV02426</t>
  </si>
  <si>
    <t>FDRSCV02427</t>
  </si>
  <si>
    <t>FDRSCV02528</t>
  </si>
  <si>
    <t>FDRSCV03032</t>
  </si>
  <si>
    <t>FDRSCV03236</t>
  </si>
  <si>
    <t>FDRSCV03436</t>
  </si>
  <si>
    <t>FDRSCV03438</t>
  </si>
  <si>
    <t>FDRSCV03638</t>
  </si>
  <si>
    <t>FDRSCV03641</t>
  </si>
  <si>
    <t>FDRSCV04146</t>
  </si>
  <si>
    <t>FDRSCV04650</t>
  </si>
  <si>
    <t>FDRSCV05055</t>
  </si>
  <si>
    <t>FDRSCV05560</t>
  </si>
  <si>
    <t>KIT-E2007-06</t>
  </si>
  <si>
    <t>KIT-E2007-08</t>
  </si>
  <si>
    <t>KIT-E2007-10</t>
  </si>
  <si>
    <t>KIT-E2007-12</t>
  </si>
  <si>
    <t>KIT-E2006-06</t>
  </si>
  <si>
    <t>KIT-E2006-10</t>
  </si>
  <si>
    <t>FSVR1122101462</t>
  </si>
  <si>
    <t>FSVR1122101463</t>
  </si>
  <si>
    <t>FSVR1122101417</t>
  </si>
  <si>
    <t>FSVR1122101425</t>
  </si>
  <si>
    <t>FSVR1122101410</t>
  </si>
  <si>
    <t>FSVR1122101389</t>
  </si>
  <si>
    <t>FSVR1122101456</t>
  </si>
  <si>
    <t>FSVR1122101457</t>
  </si>
  <si>
    <t>FSVR1122101458</t>
  </si>
  <si>
    <t>FSVR1122101459</t>
  </si>
  <si>
    <t>FSVR1122101399</t>
  </si>
  <si>
    <t>FSVR1122101460</t>
  </si>
  <si>
    <t>FSVR1122101402</t>
  </si>
  <si>
    <t>FSVR1122101426</t>
  </si>
  <si>
    <t>FSVR1122101403</t>
  </si>
  <si>
    <t>FSVR1122101461</t>
  </si>
  <si>
    <t>FSVR1122101405</t>
  </si>
  <si>
    <t>FSVR1122101406</t>
  </si>
  <si>
    <t>FSVR1122101407</t>
  </si>
  <si>
    <t>FSVR1122101408</t>
  </si>
  <si>
    <t>FSVR1122101419</t>
  </si>
  <si>
    <t>FSVR1122101420</t>
  </si>
  <si>
    <t>FSVR1122101411</t>
  </si>
  <si>
    <t>FSVR1122101422</t>
  </si>
  <si>
    <t>FSVR1122101392</t>
  </si>
  <si>
    <t>FSVR1122101390</t>
  </si>
  <si>
    <t>FSVR1122101423</t>
  </si>
  <si>
    <t>FSVR1122101394</t>
  </si>
  <si>
    <t>KIT-E2006-12</t>
  </si>
  <si>
    <t>KIT-E2007-10 SPL</t>
  </si>
  <si>
    <t>FSVR1122101404</t>
  </si>
  <si>
    <t>KIT-E2007-06W</t>
  </si>
  <si>
    <t>KIT-E2007-09W</t>
  </si>
  <si>
    <t>FDRSSTCP1011</t>
  </si>
  <si>
    <t>FDRSSTCP1213</t>
  </si>
  <si>
    <t>FDRSSTCP1415</t>
  </si>
  <si>
    <t>FDRSSTCP1617</t>
  </si>
  <si>
    <t>FDRSSTCP1819</t>
  </si>
  <si>
    <t>FDSIVFB0003</t>
  </si>
  <si>
    <t>FDSIVFB0004</t>
  </si>
  <si>
    <t>FDSIVFB0006</t>
  </si>
  <si>
    <t>FDSIVFB0008</t>
  </si>
  <si>
    <t>FDSDAGE0506</t>
  </si>
  <si>
    <t>FDSDAGE0508</t>
  </si>
  <si>
    <t>FDSDAGE0510</t>
  </si>
  <si>
    <t>FDSDAGF1016</t>
  </si>
  <si>
    <t>FDSDAGF1018</t>
  </si>
  <si>
    <t>FDSDAGF0604</t>
  </si>
  <si>
    <t>FDSDAGF0606</t>
  </si>
  <si>
    <t>FDSDAGF0608</t>
  </si>
  <si>
    <t>FDSDAGF0610</t>
  </si>
  <si>
    <t>FDSDAGF0806</t>
  </si>
  <si>
    <t>FDSDAGF0808</t>
  </si>
  <si>
    <t>FDSDAGF0810</t>
  </si>
  <si>
    <t>FDSDAGF0812</t>
  </si>
  <si>
    <t>FDSDAYDT500</t>
  </si>
  <si>
    <t>FDSDAGP0508</t>
  </si>
  <si>
    <t>FDSDAGP0604</t>
  </si>
  <si>
    <t>FDSDAGP0606</t>
  </si>
  <si>
    <t>FDSDAGP0608</t>
  </si>
  <si>
    <t>FDSDAGP0610</t>
  </si>
  <si>
    <t>FDSDAGP0806</t>
  </si>
  <si>
    <t>FDSDAGP0808</t>
  </si>
  <si>
    <t>FDSDAGP0810</t>
  </si>
  <si>
    <t>FDSDAGR0806</t>
  </si>
  <si>
    <t>FDSDAGR0604</t>
  </si>
  <si>
    <t>FDSDAGR0606</t>
  </si>
  <si>
    <t>FDSDAGR0610</t>
  </si>
  <si>
    <t>FDSDKITPVC5</t>
  </si>
  <si>
    <t>FDSDKITPVC8</t>
  </si>
  <si>
    <t>FDSPSECP041</t>
  </si>
  <si>
    <t>FDSPSECP046</t>
  </si>
  <si>
    <t>FDSPSECP050</t>
  </si>
  <si>
    <t>FDSPSECP055</t>
  </si>
  <si>
    <t>FDSPSECP060</t>
  </si>
  <si>
    <t>FDSPSECP065</t>
  </si>
  <si>
    <t>FDSPSECP070</t>
  </si>
  <si>
    <t>FDSPSECP075</t>
  </si>
  <si>
    <t>FDSPSECP080</t>
  </si>
  <si>
    <t>FDSPSECP085</t>
  </si>
  <si>
    <t>FDSHWHFD002</t>
  </si>
  <si>
    <t>FDSHW/OH012</t>
  </si>
  <si>
    <t>FDSHW/OH003</t>
  </si>
  <si>
    <t>FDSHW/OH004</t>
  </si>
  <si>
    <t>FDSHW/OH006</t>
  </si>
  <si>
    <t>FDSHW/OH008</t>
  </si>
  <si>
    <t>FDSHW/OH014</t>
  </si>
  <si>
    <t>FDSHW/OH016</t>
  </si>
  <si>
    <t>FDSHW/OH018</t>
  </si>
  <si>
    <t>FDSHW/OH002</t>
  </si>
  <si>
    <t>FDSHW/OH010</t>
  </si>
  <si>
    <t>FDSHWH00010</t>
  </si>
  <si>
    <t>FDSHWH00012</t>
  </si>
  <si>
    <t>FDSHWH00014</t>
  </si>
  <si>
    <t>FDSHWH00016</t>
  </si>
  <si>
    <t>FDSHWH00018</t>
  </si>
  <si>
    <t>FDSHWH00002</t>
  </si>
  <si>
    <t>FDSHWHFD003</t>
  </si>
  <si>
    <t>FDSHWH00003</t>
  </si>
  <si>
    <t>FDSHWH00004</t>
  </si>
  <si>
    <t>FDSHWHFD004</t>
  </si>
  <si>
    <t>FDSHWH00006</t>
  </si>
  <si>
    <t>FDSHWH00008</t>
  </si>
  <si>
    <t>FARTH005100001</t>
  </si>
  <si>
    <t>FARTH005100002</t>
  </si>
  <si>
    <t>FARTH005100003</t>
  </si>
  <si>
    <t>FDSLOECV100</t>
  </si>
  <si>
    <t>FDSLOECV105</t>
  </si>
  <si>
    <t>FDSLOECV110</t>
  </si>
  <si>
    <t>FDSLOECV115</t>
  </si>
  <si>
    <t>FDSLOECV120</t>
  </si>
  <si>
    <t>FDSLOECV022</t>
  </si>
  <si>
    <t>FDSLOECV024</t>
  </si>
  <si>
    <t>FDSLOECV027</t>
  </si>
  <si>
    <t>FDSLOECV030</t>
  </si>
  <si>
    <t>FDSLOECV032</t>
  </si>
  <si>
    <t>FDSLOECV034</t>
  </si>
  <si>
    <t>FDSLOECV036</t>
  </si>
  <si>
    <t>FDSLOECV038</t>
  </si>
  <si>
    <t>FDSLOECV041</t>
  </si>
  <si>
    <t>FDSLOECV046</t>
  </si>
  <si>
    <t>FDSLOECV048</t>
  </si>
  <si>
    <t>FDSLOECV050</t>
  </si>
  <si>
    <t>FDSLOECV055</t>
  </si>
  <si>
    <t>FDSLOECV060</t>
  </si>
  <si>
    <t>FDSLOECV065</t>
  </si>
  <si>
    <t>FDSLOECV070</t>
  </si>
  <si>
    <t>FDSLOECV075</t>
  </si>
  <si>
    <t>FDSLOECV080</t>
  </si>
  <si>
    <t>FDSLOECV085</t>
  </si>
  <si>
    <t>FDSLOECV090</t>
  </si>
  <si>
    <t>FDSLOECV095</t>
  </si>
  <si>
    <t>FDSLRECV100</t>
  </si>
  <si>
    <t>FDSLRECV105</t>
  </si>
  <si>
    <t>FDSLRECV110</t>
  </si>
  <si>
    <t>FDSLRECV120</t>
  </si>
  <si>
    <t>FDSLRECV022</t>
  </si>
  <si>
    <t>FDSLRECV024</t>
  </si>
  <si>
    <t>FDSLRECV027</t>
  </si>
  <si>
    <t>FDSLRECV030</t>
  </si>
  <si>
    <t>FDSLRECV032</t>
  </si>
  <si>
    <t>FDSLRECV034</t>
  </si>
  <si>
    <t>FDSLRECV036</t>
  </si>
  <si>
    <t>FDSLRECV038</t>
  </si>
  <si>
    <t>FDSLRECV041</t>
  </si>
  <si>
    <t>FDSLRECV046</t>
  </si>
  <si>
    <t>FDSLRECV048</t>
  </si>
  <si>
    <t>FDSLRECV050</t>
  </si>
  <si>
    <t>FDSLRECV055</t>
  </si>
  <si>
    <t>FDSLRECV060</t>
  </si>
  <si>
    <t>FDSLRECV065</t>
  </si>
  <si>
    <t>FDSLRECV070</t>
  </si>
  <si>
    <t>FDSLRECV075</t>
  </si>
  <si>
    <t>FDSLRECV080</t>
  </si>
  <si>
    <t>FDSLRECV085</t>
  </si>
  <si>
    <t>FDSLRECV090</t>
  </si>
  <si>
    <t>FDSLRECV095</t>
  </si>
  <si>
    <t>FDASMR00025</t>
  </si>
  <si>
    <t>FDASMR00030</t>
  </si>
  <si>
    <t>FDASMR00040</t>
  </si>
  <si>
    <t>FDASMR00050</t>
  </si>
  <si>
    <t>FIESL3003MWMAG</t>
  </si>
  <si>
    <t>FDSSDAYF0806</t>
  </si>
  <si>
    <t>FDSSDAYF0808</t>
  </si>
  <si>
    <t>FDSSDAYF0810</t>
  </si>
  <si>
    <t>FDSSDAYF0812</t>
  </si>
  <si>
    <t>FDSTAGR0601</t>
  </si>
  <si>
    <t>FIT9HAKCRVBLKIT</t>
  </si>
  <si>
    <t>FIT9HAKCRVB010</t>
  </si>
  <si>
    <t>FIT9HAKCRVB002</t>
  </si>
  <si>
    <t>FIT9HAKCRVB025</t>
  </si>
  <si>
    <t>FIT9HAKCRVB003</t>
  </si>
  <si>
    <t>FIT9HAKCRVB004</t>
  </si>
  <si>
    <t>FIT9HAKCRVB045</t>
  </si>
  <si>
    <t>FIT9HAKCRVB005</t>
  </si>
  <si>
    <t>FIT9HAKCRVB055</t>
  </si>
  <si>
    <t>FIT9HAKCRVB006</t>
  </si>
  <si>
    <t>FIT9HAKCRVB008</t>
  </si>
  <si>
    <t>FITHSE2218T006</t>
  </si>
  <si>
    <t>FITHSE2218T007</t>
  </si>
  <si>
    <t>FITHSE2218T008</t>
  </si>
  <si>
    <t>FITHSE2218T009</t>
  </si>
  <si>
    <t>FITHSE2218T010</t>
  </si>
  <si>
    <t>FITHSE2218T011</t>
  </si>
  <si>
    <t>FITHSE2218T012</t>
  </si>
  <si>
    <t>FITHSE2218T013</t>
  </si>
  <si>
    <t>FITHSE2218T014</t>
  </si>
  <si>
    <t>FITHSE2218T015</t>
  </si>
  <si>
    <t>FITHSE2218T017</t>
  </si>
  <si>
    <t>FITHSE2218T019</t>
  </si>
  <si>
    <t>FDTBZ10X190</t>
  </si>
  <si>
    <t>FDTBZ12X250</t>
  </si>
  <si>
    <t>FDTBZ12X300</t>
  </si>
  <si>
    <t>FDTBCAB0003</t>
  </si>
  <si>
    <t>FDTBCAB0005</t>
  </si>
  <si>
    <t>FIETC7DTROLLEY</t>
  </si>
  <si>
    <t>KIT-E2016-06</t>
  </si>
  <si>
    <t>KIT-E2016-08</t>
  </si>
  <si>
    <t>KIT-E2016-12</t>
  </si>
  <si>
    <t>FDTBSZN0607</t>
  </si>
  <si>
    <t>FDTBSZN0809</t>
  </si>
  <si>
    <t>FDTBSZN1011</t>
  </si>
  <si>
    <t>FDTBSZN1213</t>
  </si>
  <si>
    <t>FDTBSZN1415</t>
  </si>
  <si>
    <t>FDTBSZN1617</t>
  </si>
  <si>
    <t>FDTBSZN1819</t>
  </si>
  <si>
    <t>FDTBSZN2022</t>
  </si>
  <si>
    <t>FDTBSZN2123</t>
  </si>
  <si>
    <t>FDTBSZL2224</t>
  </si>
  <si>
    <t>FDTBSZN2426</t>
  </si>
  <si>
    <t>FDTBSZN2427</t>
  </si>
  <si>
    <t>FDTBSZN2528</t>
  </si>
  <si>
    <t>FDTBSZN2732</t>
  </si>
  <si>
    <t>FDTBSZN3032</t>
  </si>
  <si>
    <t>FDTLMF00018</t>
  </si>
  <si>
    <t>FDTLMF00020</t>
  </si>
  <si>
    <t>FDTLMF00024</t>
  </si>
  <si>
    <t>FDWPPBTCV03</t>
  </si>
  <si>
    <t>FDWPPBTCV02</t>
  </si>
  <si>
    <t>FDWPPBTCV01</t>
  </si>
  <si>
    <t>FDWPPSTCS01</t>
  </si>
  <si>
    <t>FURWS00P100048</t>
  </si>
  <si>
    <t>FURWS00P040038</t>
  </si>
  <si>
    <t>FURWS00P040057</t>
  </si>
  <si>
    <t>FURWS00P040054</t>
  </si>
  <si>
    <t>FDWSWSR0001</t>
  </si>
  <si>
    <t>FIYHSE2220Y002</t>
  </si>
  <si>
    <t>FIYHSE2220Y001</t>
  </si>
  <si>
    <t>GST</t>
  </si>
  <si>
    <t>Cogs</t>
  </si>
  <si>
    <t>Sr.</t>
  </si>
  <si>
    <t>Item Code</t>
  </si>
  <si>
    <t>Quantity</t>
  </si>
  <si>
    <t>Net Rate</t>
  </si>
  <si>
    <t>Stock</t>
  </si>
  <si>
    <t>InPack</t>
  </si>
  <si>
    <t>OutPack</t>
  </si>
  <si>
    <t>"1/2"" PNEUMATIC AIR IMPACT WRENCH 949 Nm (Professional)"</t>
  </si>
  <si>
    <t>ANGLE GRINDER 100MM 1100 W EDG100N</t>
  </si>
  <si>
    <t>ANGLE GRINDER 100MM 1100w EDG100SN</t>
  </si>
  <si>
    <t>ANGLE GRINDER 100MM 850W Back Switch EDG100TN</t>
  </si>
  <si>
    <t>ANGLE GRINDER 100MM EDG100</t>
  </si>
  <si>
    <t>ANGLE GRINDER 100MM PB EDGNEW100PB</t>
  </si>
  <si>
    <t>ANGLE GRINDER 100MM SIDE SWITCH EDG100S</t>
  </si>
  <si>
    <t>ANGLE GRINDER 100MM TAIL TYPE EDG100T</t>
  </si>
  <si>
    <t>ANGLE GRINDER 125MM HEAVY DUTY EDG125N</t>
  </si>
  <si>
    <t>ANGLE GRINDER 125MM SINGLE SPEED EDG125NE</t>
  </si>
  <si>
    <t>ANGLE GRINDER 180MM EDG180C</t>
  </si>
  <si>
    <t>ARC WELDING SET 200 A (IGBT TECHNOLOGY) EAWSI200</t>
  </si>
  <si>
    <t>ARC WELDING SET 250 A (IGBT TECHNOLOGY) EAWSI250</t>
  </si>
  <si>
    <t>CIRCULAR SAW ECS185</t>
  </si>
  <si>
    <t>FPTECAGWOBC100</t>
  </si>
  <si>
    <t>CORDLESS ANGLE GRINDER 100MM - 18V (WITHOUT BATTERY &amp; CHARGER)</t>
  </si>
  <si>
    <t>CORDLESS ANGLE GRINDER 100MM - 18V ECAG100</t>
  </si>
  <si>
    <t>FPTECD0WOBC10E</t>
  </si>
  <si>
    <t>CORDLESS DRILL 10MM -12V NEW (WITHOUT BATTERY &amp; CHARGER)</t>
  </si>
  <si>
    <t>FPTECDWOBC10NK</t>
  </si>
  <si>
    <t>CORDLESS DRILL 10MM -12V NEW 27PCS KIT (WITHOUT BATTERY &amp; CHARGER)</t>
  </si>
  <si>
    <t>CORDLESS HAMMER DRILL 22 MM - 18V ECHD22</t>
  </si>
  <si>
    <t>FPTECID0WOBC13</t>
  </si>
  <si>
    <t>CORDLESS IMPACT DRILL 13 MM - 18V (WITHOUT BATTERY &amp; CHARGER)</t>
  </si>
  <si>
    <t>CORDLESS IMPACT DRILL 13 MM - 18V ECID13</t>
  </si>
  <si>
    <t>FPTECIWWOBC280</t>
  </si>
  <si>
    <t>CORDLESS IMPACT WRENCH 350W - 18V (WITHOUT BATTERY &amp; CHARGER)</t>
  </si>
  <si>
    <t>CORDLESS IMPACT WRENCH 350W - 18V ECIW280</t>
  </si>
  <si>
    <t>FPTECIWWOBC600</t>
  </si>
  <si>
    <t>CORDLESS IMPACT WRENCH 600W - 18V (WITHOUT BATTERY &amp; CHARGER)</t>
  </si>
  <si>
    <t>CORDLESS MULTI-UTILITY VACUUM CLEANER - ECV528N</t>
  </si>
  <si>
    <t>CORDLESS MULTI-UTILITY VACUUM CLEANER - ECV590N</t>
  </si>
  <si>
    <t>CORDLESS MULTI-UTILITY VACUUM CLEANER AND BLOWER ECVB588N</t>
  </si>
  <si>
    <t>CUT OFF MACHINE ECM355</t>
  </si>
  <si>
    <t>CUT OFF MACHINE PROFESSIONAL ECM355A</t>
  </si>
  <si>
    <t>DEMOLITION HAMMER 11KG ERB011</t>
  </si>
  <si>
    <t>DEMOLITION HAMMER 16KG ERB016</t>
  </si>
  <si>
    <t>DEMOLITION HAMMER 5 KG ERB05</t>
  </si>
  <si>
    <t>DEMOLITION HAMMER 7 KG ERB07</t>
  </si>
  <si>
    <t>DIE GRINDER 025MM EDG025C</t>
  </si>
  <si>
    <t>ELECTRIC BLOWER 600W (NEW) EEB40NI</t>
  </si>
  <si>
    <t>ELECTRIC BLOWER PROFESSIONAL VARIABLE SPEED EEB040N</t>
  </si>
  <si>
    <t>ELECTRIC CHAIN SAW 1600W (400mm) ECHS400N</t>
  </si>
  <si>
    <t>ELECTRIC DRILL &amp; SCREW DRIVER ESD010</t>
  </si>
  <si>
    <t>ELECTRIC DRILL 10MM REVERSIBLE/ VARIABLE EPD010A</t>
  </si>
  <si>
    <t>FPTEPD00000013</t>
  </si>
  <si>
    <t>ELECTRIC DRILL 13MM ALUMINIUM BODY EPD013</t>
  </si>
  <si>
    <t>ELECTRIC HAMMER 26MM PROFESSIONAL EHD026</t>
  </si>
  <si>
    <t>ELECTRIC IMPACT WRENCH 280NM EEIW280</t>
  </si>
  <si>
    <t>ELECTRIC PAINT SPRAY GUN 400W EPSG850</t>
  </si>
  <si>
    <t>FPTEEP000082NE</t>
  </si>
  <si>
    <t>ELECTRIC PLANNER (NEW)</t>
  </si>
  <si>
    <t>ELECTRIC PLANNER EEP082N</t>
  </si>
  <si>
    <t>ELECTRIC POLISHER 180MM ESP180N</t>
  </si>
  <si>
    <t>ELECTRIC ROUTER 8 &amp; 12 MM EER812N</t>
  </si>
  <si>
    <t>ELECTRIC VIBRATOR WITH 1.5 M ROD EEVWR15</t>
  </si>
  <si>
    <t>ELECTRIC WOOD TRIMMER 6,6.35,8 MM EWT608</t>
  </si>
  <si>
    <t>GASOLINE BRUSH CUTTER 4 STROKE BACK PACK TYPE EBCGX435B</t>
  </si>
  <si>
    <t>GASOLINE BRUSH CUTTER 4 STROKE SIDE PACK (SHOULDER TYPE)</t>
  </si>
  <si>
    <t>GASOLINE BRUSH CUTTER 4 STROKE SIDE PACK SHOULDER TYPE (NEW MODEL)</t>
  </si>
  <si>
    <t>GASOLINE CHAIN SAW 58CC DOUBLE SPRING EASY START EPCS5822N2</t>
  </si>
  <si>
    <t>GASOLINE CHAIN SAW 58CC DOUBLE SPRING WITH OIL PUMP EPS5822ENP2</t>
  </si>
  <si>
    <t>HAMMER DRILL 20MM PROFESSIONAL EHD020C</t>
  </si>
  <si>
    <t>HAMMER DRILL 20MM WITH R/F SWITCH EHD020N</t>
  </si>
  <si>
    <t>HAMMER DRILL 26MM (NEW MODEL) EHD26N</t>
  </si>
  <si>
    <t>HAMMER DRILL 32MM PROFESSIONAL EHD032N</t>
  </si>
  <si>
    <t>HANDY VACUUM CLEANER WITH BLOWER EHVC800</t>
  </si>
  <si>
    <t>HEAT GUN PROFESSIONAL EHG8610A</t>
  </si>
  <si>
    <t>HEAT GUN WITH TEMPERATURE CONTROL EHG008610I</t>
  </si>
  <si>
    <t>IMPACT DRILL 13MM EID013</t>
  </si>
  <si>
    <t>IMPACT DRILL 10MM EID010C</t>
  </si>
  <si>
    <t>INDUCTION WASHER 1600W EPW1690</t>
  </si>
  <si>
    <t>INDUCTION WASHER 2000W EPW20150</t>
  </si>
  <si>
    <t>INDUSTRIAL PRESSURE WASHER 2300W EIPW23100</t>
  </si>
  <si>
    <t>INDUSTRIAL PRESSURE WASHER 3000W EIPW30200</t>
  </si>
  <si>
    <t>JIG SAW EJS060</t>
  </si>
  <si>
    <t>KEYLESS SCREW DRIVER 10 MM EKSD10</t>
  </si>
  <si>
    <t>FPTKITECD010NK</t>
  </si>
  <si>
    <t>KIT OF CORDLESS 10MM-12V NEW 27PCS KIT WITH 2 BATTERIES</t>
  </si>
  <si>
    <t>FPTKITECAGS100</t>
  </si>
  <si>
    <t>KIT OF CORDLESS ANGLE GRINDER 100MM - 18V WITH 1 BATTERY</t>
  </si>
  <si>
    <t>KIT OF CORDLESS ANGLE GRINDER 100MM - 18V WITH 2 BATTERIES</t>
  </si>
  <si>
    <t>FPTKITECD010EK</t>
  </si>
  <si>
    <t>KIT OF CORDLESS DRILL 10MM -12V NEW (WITH 2 BATTERIES AND CHARGER)</t>
  </si>
  <si>
    <t>KIT OF CORDLESS HAMMER DRILL 22MM - 18V WITH 2 BATTERIES</t>
  </si>
  <si>
    <t>FPTKITECIDS013</t>
  </si>
  <si>
    <t>KIT OF CORDLESS IMPACT DRILL 13MM - 18V WITH 1 BATTERY</t>
  </si>
  <si>
    <t>KIT OF CORDLESS IMPACT DRILL 13MM - 18V WITH 2 BATTERIES</t>
  </si>
  <si>
    <t>KIT OF CORDLESS IMPACT WRENCH 350W - 18V WITH 2 BATTERIES</t>
  </si>
  <si>
    <t>FPTKITECIWS600</t>
  </si>
  <si>
    <t>KIT OF CORDLESS IMPACT WRENCH 600W - 18V WITH 1 BATTERY</t>
  </si>
  <si>
    <t>FPTKITECIWO600</t>
  </si>
  <si>
    <t>KIT OF CORDLESS IMPACT WRENCH 600W - 18V WITH 2 BATTERIES</t>
  </si>
  <si>
    <t>MAGNETIC CORE DRILL 38 MM EMCD-38</t>
  </si>
  <si>
    <t>MAGNETIC CORE DRILL 50 MM EMCD-50</t>
  </si>
  <si>
    <t>MARBLE CUTTER 110 A EMC110A</t>
  </si>
  <si>
    <t>MARBLE CUTTER 110 MM (NEW) EMC110PI ROUND BODY</t>
  </si>
  <si>
    <t>MARBLE CUTTER 110MM TILTED PLATE EMC110N</t>
  </si>
  <si>
    <t>MARBLE CUTTER 125MM EMC125NE</t>
  </si>
  <si>
    <t>MARBLE CUTTER 125MM EMC125N</t>
  </si>
  <si>
    <t>MULTI PURPOSE TOOL KIT 111PCS WITH 13MM DRILL ETK13111</t>
  </si>
  <si>
    <t>MULTIFUNCTIONAL SAW 125MM (HEAVY DUTY) EMC125J</t>
  </si>
  <si>
    <t>FPTEAC00060150</t>
  </si>
  <si>
    <t>AIR COMPRESSOR DOUBLE PISTON 12VOLT 150 PSI</t>
  </si>
  <si>
    <t>FPTEOBAC000050</t>
  </si>
  <si>
    <t>OIL BASED AIR COMPRESSOR 50L</t>
  </si>
  <si>
    <t>OIL FREE AIR COMPRESSOR 30L EOFAC000030</t>
  </si>
  <si>
    <t>OIL FREE AIR COMPRESSOR 50L EOFAC000050</t>
  </si>
  <si>
    <t>PAINT MIXER 16MM WITH 120MM ROD (1200W) EPM16</t>
  </si>
  <si>
    <t>PAINT SPRAY GUN HVLP EPSG3140</t>
  </si>
  <si>
    <t>PAINT SPRAY GUN HVLP MODEL EPSG827A</t>
  </si>
  <si>
    <t>TYRE INFLATOR AIR COMPRESSOR 12V 100 PSI - EAC25100</t>
  </si>
  <si>
    <t>TYRE INFLATOR AIR COMPRESSOR 12V 150PSI EAC60150N</t>
  </si>
  <si>
    <t>VACUUM CLEANER 1000W X 3 60L Dry and Wet EVC060</t>
  </si>
  <si>
    <t>VACUUM CLEANER 1000W 15L DRY and WET EVC015</t>
  </si>
  <si>
    <t>VACUUM CLEANER 1000W 30L DRY and WET EVC030</t>
  </si>
  <si>
    <t>VACUUM CLEANER WET/DRY/BLOW EVC030NE</t>
  </si>
  <si>
    <t>"CHAIN SAW BRACKET 300 MM WITH 4"" &amp; 5"" SPROCKET"</t>
  </si>
  <si>
    <t>CHAIN SAW BRACKET 400 MM WITH 5" SPROCKET</t>
  </si>
  <si>
    <t>"CHAIN OF CHAIN SAW 16"" ELECTRIC"</t>
  </si>
  <si>
    <t>"CHAIN OF CHAIN SAW 22"" "</t>
  </si>
  <si>
    <t>FAPETB00025040</t>
  </si>
  <si>
    <t>TCT BLADE 10 X40T 255mm</t>
  </si>
  <si>
    <t>FAPETB00300120</t>
  </si>
  <si>
    <t>TCT BLADE 12 X 120T- ALUMINIUM</t>
  </si>
  <si>
    <t>FAPTTCTB240120</t>
  </si>
  <si>
    <t>"TCT BLADE 12""X120T-ALLUMINIUM"</t>
  </si>
  <si>
    <t>"TCT BLADE 4"" X30T"</t>
  </si>
  <si>
    <t>"TCT BLADE 4"" X40T"</t>
  </si>
  <si>
    <t>"TCT BLADE 5"" X 30T"</t>
  </si>
  <si>
    <t>"TCT BLADE 5"" X 40T"</t>
  </si>
  <si>
    <t>"TCT BLADE 7"" X 60T"</t>
  </si>
  <si>
    <t>"TCT BLADE 7"" X 40T"</t>
  </si>
  <si>
    <t>"TCT BLADE 8"" X40T"</t>
  </si>
  <si>
    <t>"TCT BLADE 8""X 60T"</t>
  </si>
  <si>
    <t>FAPEWCB0100M14</t>
  </si>
  <si>
    <t>TWISTED WIRE CUP BRUSH 100MM (4)M14 X 22MM</t>
  </si>
  <si>
    <t>FAPEWCB0075M10</t>
  </si>
  <si>
    <t>TWISTED WIRE CUP BRUSH 75MM (3) M10</t>
  </si>
  <si>
    <t>FAPEWCB0075M14</t>
  </si>
  <si>
    <t>TWISTED WIRE CUP BRUSH 75MM (3) M14</t>
  </si>
  <si>
    <t>MAGNETIC BITS PH2-PH2 1/4 X 110mm E-2256</t>
  </si>
  <si>
    <t>MAGNETIC BITS PH2-PH2 1/4 X 150mm E-2256</t>
  </si>
  <si>
    <t>MAGNETIC BITS PH2-PH2 1/4 X 65mm E-2256</t>
  </si>
  <si>
    <t>MAGNETIC BITS PH2-SL6 1/4 X 65mm E-2256</t>
  </si>
  <si>
    <t>FAPEDMB02PHN65</t>
  </si>
  <si>
    <t>1/4" MAGNETIC DOUBLE END BITS PH2-PH2 X 65MM (EDMB2PHN-65) (Pack of 10) NEW</t>
  </si>
  <si>
    <t>"CHAIN OF CHAIN SAW BRACKET 12"""</t>
  </si>
  <si>
    <t>CHISEL BIT 11KG HAMMER 400X18MM -POINTED (SDS MAX)</t>
  </si>
  <si>
    <t>CHISEL BIT 16KG HAMMER 400X30MM - FLAT</t>
  </si>
  <si>
    <t>CHISEL BIT 16KG HAMMER 400X30MM - POINTED</t>
  </si>
  <si>
    <t>CHISEL BIT 5KG HAMMER 400X17MM - POINTED</t>
  </si>
  <si>
    <t>CHISEL BIT 5KG HAMMER 400X17MM- FLAT</t>
  </si>
  <si>
    <t>CHISEL BIT 5KG HAMMER 280X17MM- FLAT</t>
  </si>
  <si>
    <t>CHISEL BIT 5KG HAMMER 280X17MM- POINTED</t>
  </si>
  <si>
    <t>FAPECW000107JG</t>
  </si>
  <si>
    <t>CUTTING WHEEL 107MM GREEN (107X1.2X16MM) JRSDRIVE</t>
  </si>
  <si>
    <t>CUTTING WHEEL 107MM GREEN (1MM) DOUBLE NET JRSDRIVE - PLATINUM SERIES</t>
  </si>
  <si>
    <t>CUTTING WHEEL 107MM RED (1MM) PLATINUM SERIES</t>
  </si>
  <si>
    <t>CUTTING WHEEL 107MM GREEN (1.2X16MM)</t>
  </si>
  <si>
    <t>CUTTING WHEEL 125MM RED (1.2MM) PLATINUM SERIES</t>
  </si>
  <si>
    <t>CUTTING WHEEL 180 MM RED (1.6MM)</t>
  </si>
  <si>
    <t>CUTTING WHEEL 355 mm GREEN DOUBLE NET- PROFESSIONAL</t>
  </si>
  <si>
    <t>FAPECW0000355J</t>
  </si>
  <si>
    <t>CUTTING WHEEL 355MM (2.8MM) BLACK JRSDRIVE</t>
  </si>
  <si>
    <t>CUTTING WHEEL 355MM (2.8MM) BLACK EASTMAN</t>
  </si>
  <si>
    <t>FAPECW000355JG</t>
  </si>
  <si>
    <t>CUTTING WHEEL 355MM GREEN (2.8MM) JRSDRIVE</t>
  </si>
  <si>
    <t>CUTTING WHEEL 355MM GREEN (2.8MM) EASTMAN</t>
  </si>
  <si>
    <t>CUTTING WHEEL 355MM GREEN (2.8MM) SINGLE NET JRSDRIVE - PLATINUM SERIES</t>
  </si>
  <si>
    <t>DIAMOND BLADE ZERO CHIP 110X8X1.4X16/20MM</t>
  </si>
  <si>
    <t>DIAMOND CUP WHEEL 100 MM (3) SEGMENT TYPE</t>
  </si>
  <si>
    <t>DIAMOND CUP WHEEL 80 MM (3) RIM TYPE</t>
  </si>
  <si>
    <t>DIAMOND CUP WHEEL 80 MM (3) SEGMENT TYPE</t>
  </si>
  <si>
    <t>FDAPEMB9110</t>
  </si>
  <si>
    <t>DIAMOND SAW BLADE 110X09MMX9CUT</t>
  </si>
  <si>
    <t>DIAMOND SAW BLADE 110X10MM (8 CUTS)</t>
  </si>
  <si>
    <t>DIAMOND SAW BLADE RED TURBO 110X8X16/20MM</t>
  </si>
  <si>
    <t>DIAMOND SAW BLADE SUPER THIN TURBO (108 CUT) 105X10X1.4</t>
  </si>
  <si>
    <t>DIAMOND SAW BLADE WITH 9 CUT 110X10MM</t>
  </si>
  <si>
    <t>DIGITAL CLAMPMETER E-DCM-266</t>
  </si>
  <si>
    <t>DIGITAL MULTIMETER E-DM-81</t>
  </si>
  <si>
    <t>FAPEDM0000830L</t>
  </si>
  <si>
    <t>DIGITAL MULTIMETER E-DM-830L</t>
  </si>
  <si>
    <t>FLEX GRINDING DISC 100X3X16MM GC 120 GRIT - PLATINUM</t>
  </si>
  <si>
    <t>FLEX GRINDING DISC 100X3X16MM GC 46 GRIT - PLATINUM</t>
  </si>
  <si>
    <t>FLEX GRINDING DISC 100X3X16MM GC 60 GRIT - PLATINUM</t>
  </si>
  <si>
    <t>FAPEGW0000125G</t>
  </si>
  <si>
    <t>GRINDING WHEEL 125X6X22.23MM</t>
  </si>
  <si>
    <t>GRINDING WHEEL BLACK REGULAR 100 x 6 x 16 MM</t>
  </si>
  <si>
    <t>GRINDING WHEEL BLACK REGULAR 125 x 6 x 22 MM</t>
  </si>
  <si>
    <t>GRINDING WHEEL BLACK:180X6.7X22MM</t>
  </si>
  <si>
    <t>GRINDING WHEEL GREEN 2.5 NET:100X6X16MM PLATINUM</t>
  </si>
  <si>
    <t>GRINDING WHEEL GREEN 2.5 NET:125X6X22MM PLATINUM</t>
  </si>
  <si>
    <t>FAPEHTBAS0PH65</t>
  </si>
  <si>
    <t>HIGH TORQUE PH2 PH2 X 65MM BIT (ANTI SLIP)  (EHTBAS-65)</t>
  </si>
  <si>
    <t>FAPEHTB000PH65</t>
  </si>
  <si>
    <t>HIGH TORQUE PH2 PH2 X 65MM BIT (STRONG MAGNET) (EHTB-65)</t>
  </si>
  <si>
    <t>FAPEIDB5001N36</t>
  </si>
  <si>
    <t>IMPACT DRIVER BIT SET 36MM (SHORT) 5001N (NEW)</t>
  </si>
  <si>
    <t>FAPEIDB5002N80</t>
  </si>
  <si>
    <t>IMPACT DRIVER BIT SET 80MM (LONG) 5002N (NEW)</t>
  </si>
  <si>
    <t>FAPEMNR0001065</t>
  </si>
  <si>
    <t>MAGNETIC NUT RUNNER 10*65 MM</t>
  </si>
  <si>
    <t>MAGNETIC NUT RUNNER 8*65 MM</t>
  </si>
  <si>
    <t>PLANNER BLADE SET 82mm - HSS</t>
  </si>
  <si>
    <t>PLANNER BLADE SET 82mm - TCT</t>
  </si>
  <si>
    <t>SUPER BUFF POLISHING PAD 225MM</t>
  </si>
  <si>
    <t>FAPEGSC0000018</t>
  </si>
  <si>
    <t>"CHAIN OF CHAIN SAW 18"" "</t>
  </si>
  <si>
    <t>ROD OF ELECTRIC VIBRATOR 1.5 M</t>
  </si>
  <si>
    <t>ROD OF ELECTRIC VIBRATOR 3.0 M</t>
  </si>
  <si>
    <t>SAND PAPER WITH VELCRO 125MM WITH 100 GRIT</t>
  </si>
  <si>
    <t>SAND PAPER WITH VELCRO 125MM WITH 120 GRIT</t>
  </si>
  <si>
    <t>SAND PAPER WITH VELCRO 125MM WITH 46 GRIT</t>
  </si>
  <si>
    <t>SAND PAPER WITH VELCRO 125MM WITH 60 GRIT</t>
  </si>
  <si>
    <t>SAND PAPER WITH VELCRO 125MM WITH 80 GRIT</t>
  </si>
  <si>
    <t>CHISEL BIT 11KG HAMMER 400X18MM - FLAT (SDS MAX)</t>
  </si>
  <si>
    <t>TCT BLADE 10 X 60T - 250mm</t>
  </si>
  <si>
    <t>FAPETBW11012TP</t>
  </si>
  <si>
    <t>TCT BLADE 4”(110) X 12 T- PLATINUM SERIES.</t>
  </si>
  <si>
    <t>FAPETBW11030TP</t>
  </si>
  <si>
    <t>TCT BLADE 4”(110) X 30 T- PLATINUM SERIES.</t>
  </si>
  <si>
    <t>FAPETBW11040TP</t>
  </si>
  <si>
    <t>TCT BLADE 4”(110) X 40 T- PLATINUM SERIES.</t>
  </si>
  <si>
    <t>FAPETBW12512TP</t>
  </si>
  <si>
    <t>TCT BLADE 5”(125) X 12 T- PLATINUM SERIES.</t>
  </si>
  <si>
    <t>FAPETBW12530TP</t>
  </si>
  <si>
    <t>TCT BLADE 5”(125) X 30 T- PLATINUM SERIES.</t>
  </si>
  <si>
    <t>FAPEVSDBP12503</t>
  </si>
  <si>
    <t>VELCRO SANDING DISC BAKING PAD 125 x 3 MM M10 THREAD</t>
  </si>
  <si>
    <t>FAPEVSDBP12509</t>
  </si>
  <si>
    <t>VELCRO SANDING DISC BAKING PAD 125 x 9 MM M10 THREAD</t>
  </si>
  <si>
    <t>FIEAS411IMPACT</t>
  </si>
  <si>
    <t>AIR IMPACT SOCKET SET 11 PCS E-2223</t>
  </si>
  <si>
    <t>FIDSE2225BH008</t>
  </si>
  <si>
    <t>DEEP BI HEX SOCKET 8 MM E-2225B</t>
  </si>
  <si>
    <t>FIDSE2225BH010</t>
  </si>
  <si>
    <t>DEEP BI HEX SOCKET 10 MM E-2225B</t>
  </si>
  <si>
    <t>FIDSE2225BH012</t>
  </si>
  <si>
    <t>DEEP BI HEX SOCKET 12 MM E-2225B</t>
  </si>
  <si>
    <t>FIDSE2225BH013</t>
  </si>
  <si>
    <t>DEEP BI HEX SOCKET 13 MM E-2225B</t>
  </si>
  <si>
    <t>FIDSE2225BH014</t>
  </si>
  <si>
    <t>DEEP BI HEX SOCKET 14 MM E-2225B</t>
  </si>
  <si>
    <t>FIDSE2225BH017</t>
  </si>
  <si>
    <t>DEEP BI HEX SOCKET 17 MM E-2225B</t>
  </si>
  <si>
    <t>FIDSE2225BH019</t>
  </si>
  <si>
    <t>DEEP BI HEX SOCKET 19 MM E-2225B</t>
  </si>
  <si>
    <t>FIDSE2225BH021</t>
  </si>
  <si>
    <t>DEEP BI HEX SOCKET 21 MM E-2225B</t>
  </si>
  <si>
    <t>DEEP BI HEX SOCKET 24 MM E-2225B</t>
  </si>
  <si>
    <t>DEEP BI HEX SOCKET 27 MM E-2225B</t>
  </si>
  <si>
    <t>DEEP BI HEX SOCKET 30 MM E-2225B</t>
  </si>
  <si>
    <t>FIDSE2225BH032</t>
  </si>
  <si>
    <t>DEEP BI HEX SOCKET 32 MM E-2225B</t>
  </si>
  <si>
    <t>DEEP HEX SOCKET 10 MM E-2225H</t>
  </si>
  <si>
    <t>DEEP HEX SOCKET 12 MM E-2225H</t>
  </si>
  <si>
    <t>DEEP HEX SOCKET 13 MM E-2225H</t>
  </si>
  <si>
    <t>DEEP HEX SOCKET 14 MM</t>
  </si>
  <si>
    <t>DEEP HEX SOCKET 15 MM E-2225H</t>
  </si>
  <si>
    <t>DEEP HEX SOCKET 16 MM E-2225H</t>
  </si>
  <si>
    <t>DEEP HEX SOCKET 17 MM</t>
  </si>
  <si>
    <t>DEEP HEX SOCKET 18 MM E-2225H</t>
  </si>
  <si>
    <t>DEEP HEX SOCKET 19 MM</t>
  </si>
  <si>
    <t>DEEP HEX SOCKET 21 MM</t>
  </si>
  <si>
    <t>DEEP HEX SOCKET 22 MM E-2225H</t>
  </si>
  <si>
    <t>"1/2"" DEEP HEX SOCKET:24 MM/E-2225H"</t>
  </si>
  <si>
    <t>DEEP HEX SOCKET 27 MM E-2225H</t>
  </si>
  <si>
    <t>DEEP HEX SOCKET 28 MM E-2225H</t>
  </si>
  <si>
    <t>DEEP HEX SOCKET 30 MM E-2225H</t>
  </si>
  <si>
    <t>DEEP HEX SOCKET 32 MM E-2225H</t>
  </si>
  <si>
    <t>DEEP HEX SOCKET 8 MM E-2225H</t>
  </si>
  <si>
    <t>BI HEX SOCKET 1/2 X 08 E-2201B</t>
  </si>
  <si>
    <t>BI HEX SOCKET 1/2 X 09 E-2201B</t>
  </si>
  <si>
    <t>BI HEX SOCKET 1/2 X 10 E-2201B</t>
  </si>
  <si>
    <t>BI HEX SOCKET 1/2 X 11 E-2201B</t>
  </si>
  <si>
    <t>BI HEX SOCKET 1/2 X 12 E-2201B</t>
  </si>
  <si>
    <t>BI HEX SOCKET 1/2 X 13 E-2201B</t>
  </si>
  <si>
    <t>BI HEX SOCKET 1/2 X 14 E-2201B</t>
  </si>
  <si>
    <t>BI HEX SOCKET 1/2 X 15 E-2201B</t>
  </si>
  <si>
    <t>BI HEX SOCKET 1/2 X 16 E-2201B</t>
  </si>
  <si>
    <t>BI HEX SOCKET 1/2 X 17 E-2201B</t>
  </si>
  <si>
    <t>BI HEX SOCKET 1/2 X 18 E-2201B</t>
  </si>
  <si>
    <t>BI HEX SOCKET 1/2 X 19 E-2201B</t>
  </si>
  <si>
    <t>BI HEX SOCKET 1/2 X 20 E-2201B</t>
  </si>
  <si>
    <t>BI HEX SOCKET 1/2 X 21 E-2201B</t>
  </si>
  <si>
    <t>BI HEX SOCKET 1/2 X 22 E-2201B</t>
  </si>
  <si>
    <t>BI HEX SOCKET 1/2 X 23 E-2201B</t>
  </si>
  <si>
    <t>BI HEX SOCKET 1/2 X 24 E-2201B</t>
  </si>
  <si>
    <t>BI HEX SOCKET 1/2 X 25 E-2201B</t>
  </si>
  <si>
    <t>BI HEX SOCKET 1/2 X 26 E-2201B</t>
  </si>
  <si>
    <t>BI HEX SOCKET 1/2 X 27 E-2201B</t>
  </si>
  <si>
    <t>BI HEX SOCKET 1/2 X 28 E-2201B</t>
  </si>
  <si>
    <t>BI HEX SOCKET 1/2 X 29 E-2201B</t>
  </si>
  <si>
    <t>BI HEX SOCKET 1/2 X 30 E-2201B</t>
  </si>
  <si>
    <t>BI HEX SOCKET 1/2 X 32 E-2201B</t>
  </si>
  <si>
    <t>EXTENSION BAR 1/2 X 125MM E-2208</t>
  </si>
  <si>
    <t>EXTENSION BAR 1/2 X 250MM E-2209</t>
  </si>
  <si>
    <t>EXTENSION BAR 1/2 X 75MM E-2207</t>
  </si>
  <si>
    <t>"1/2"" DR HEX SKT SET:E-624-N (JRSDRIVE)</t>
  </si>
  <si>
    <t>"1/2"" DR HEX SKT SETS:E-624-BM (2202H) 2202-BM"</t>
  </si>
  <si>
    <t>HEX ALLENKEY SOCKET 4 MM E-2224</t>
  </si>
  <si>
    <t>HEX ALLENKEY SOCKET 5 MM E-2224</t>
  </si>
  <si>
    <t>HEX ALLENKEY SOCKET 6 MM E-2224</t>
  </si>
  <si>
    <t>HEX ALLENKEY SOCKET 7 MM E-2224</t>
  </si>
  <si>
    <t>HEX ALLENKEY SOCKET 8 MM E-2224</t>
  </si>
  <si>
    <t>HEX ALLENKEY SOCKET 10 MM E-2224</t>
  </si>
  <si>
    <t>HEX ALLENKEY SOCKET 12 MM E-2224</t>
  </si>
  <si>
    <t>HEX ALLENKEY SOCKET 14 MM E-2224</t>
  </si>
  <si>
    <t>HEX ALLENKEY SOCKET 17 MM E-2224</t>
  </si>
  <si>
    <t>HEX ALLENKEY SOCKET 19 MM E-2224</t>
  </si>
  <si>
    <t>HEX SOCKET 1/2 X 08 MM E-2201</t>
  </si>
  <si>
    <t>HEX SOCKET 1/2 X 09 MM E-2201</t>
  </si>
  <si>
    <t>HEX SOCKET 1/2 X 10 MM E-2201</t>
  </si>
  <si>
    <t>HEX SOCKET 1/2 X 11 MM E-2201</t>
  </si>
  <si>
    <t>HEX SOCKET 1/2 X 12 MM E-2201</t>
  </si>
  <si>
    <t>HEX SOCKET 1/2 X 13 MM E-2201</t>
  </si>
  <si>
    <t>HEX SOCKET 1/2 X 14 MM E-2201</t>
  </si>
  <si>
    <t>HEX SOCKET 1/2 X 15 MM E-2201</t>
  </si>
  <si>
    <t>HEX SOCKET 1/2 X 16 MM E-2201</t>
  </si>
  <si>
    <t>HEX SOCKET 1/2 X 17 MM E-2201</t>
  </si>
  <si>
    <t>HEX SOCKET 1/2 X 18 MM E-2201</t>
  </si>
  <si>
    <t>HEX SOCKET 1/2 X 19 MM E-2201</t>
  </si>
  <si>
    <t>HEX SOCKET 1/2 X 20 MM E-2201</t>
  </si>
  <si>
    <t>HEX SOCKET 1/2 X 21 MM E-2201</t>
  </si>
  <si>
    <t>HEX SOCKET 1/2 X 22 MM E-2201</t>
  </si>
  <si>
    <t>HEX SOCKET 1/2 X 23 MM E-2201</t>
  </si>
  <si>
    <t>"1/2"" DR Hex Socket 24 MM/E-2201"</t>
  </si>
  <si>
    <t>HEX SOCKET 1/2 X 25 MM E-2201</t>
  </si>
  <si>
    <t>HEX SOCKET 1/2 X 26 MM E-2201</t>
  </si>
  <si>
    <t>"1/2"" DR Hex Socket 27 MM/E-2201"</t>
  </si>
  <si>
    <t>HEX SOCKET 1/2 X 28 MM E-2201</t>
  </si>
  <si>
    <t>HEX SOCKET 1/2 X 29 MM E-2201</t>
  </si>
  <si>
    <t>"1/2"" DR Hex Socket 30 MM/E-2201"</t>
  </si>
  <si>
    <t>HEX SOCKET 1/2 X 32 MM E-2201</t>
  </si>
  <si>
    <t>SOCKET ADAPTOR 1/2F X 3/4M E-2215</t>
  </si>
  <si>
    <t>SOCKET ADAPTOR 1/2F X 3/8M E-2214</t>
  </si>
  <si>
    <t>"1/2"" DR SOCKET SET:E10 2226"</t>
  </si>
  <si>
    <t>"1/2"" DR SOCKET SET:E8 2226"</t>
  </si>
  <si>
    <t>SPARK PLUG SOCKET 1/2 X 16MM E-2212</t>
  </si>
  <si>
    <t>SPARK PLUG SOCKET 1/2 X 21MM E-2213</t>
  </si>
  <si>
    <t>SPEEDER HANDLE 1/2 E-2205H HEAVY DUTY</t>
  </si>
  <si>
    <t>STAR SOCKET E10 E-2228</t>
  </si>
  <si>
    <t>STAR SOCKET E11 E-2228</t>
  </si>
  <si>
    <t>STAR SOCKET E12 E-2228</t>
  </si>
  <si>
    <t>STAR SOCKET E14 E-2228</t>
  </si>
  <si>
    <t>STAR SOCKET E16 E-2228</t>
  </si>
  <si>
    <t>STAR SOCKET E18 E-2228</t>
  </si>
  <si>
    <t>STAR SOCKET E20 E-2228</t>
  </si>
  <si>
    <t>STAR SOCKET E24 E-2228</t>
  </si>
  <si>
    <t>DR SWIVEL HANDLE 1/2 X 380MM E-2216</t>
  </si>
  <si>
    <t>DR SWIVEL HANDLE 1/2 X 430MM E-2217</t>
  </si>
  <si>
    <t>UNIVERSAL JOINT 1/2 E-2206</t>
  </si>
  <si>
    <t>SOCKET SET 627 R E-2202</t>
  </si>
  <si>
    <t>ROUND RATCHET HANDLE 1/2 E-2204</t>
  </si>
  <si>
    <t>OVAL RATCHET HANDLE 1/2 E-2203E</t>
  </si>
  <si>
    <t>SOCKET SET 1/4 &amp; 1/2 100 PCS E-2302</t>
  </si>
  <si>
    <t>1/4" &amp; 1/2" DR 56 PCS SOCKET SET/E-456 E-2303</t>
  </si>
  <si>
    <t>ROUND RATCHET HANDLE 1/4 E-2204</t>
  </si>
  <si>
    <t>"SLIDING T BAR 1/4 X 150 (6") E-2210"</t>
  </si>
  <si>
    <t>UNIVERSAL JOINT 1/4 E-2206</t>
  </si>
  <si>
    <t>"10"" CURVED JAW LOCK GRIP PLIER E-2252</t>
  </si>
  <si>
    <t>"C CLAMP PLIER 11"" E-2253"</t>
  </si>
  <si>
    <t>Long Allen Key 9 PCS SET INCH BALL POINT EAK-2406</t>
  </si>
  <si>
    <t>"LONG NOSE PLIER 6"" E-2023"</t>
  </si>
  <si>
    <t>"PLASTIC TOOL BOX 13"" E-2250"</t>
  </si>
  <si>
    <t>HEX SOCKET 3/4 X 22 MM E-2221</t>
  </si>
  <si>
    <t>HEX SOCKET 3/4 X 24 MM E-2221</t>
  </si>
  <si>
    <t>HEX SOCKET 3/4 X 27 MM E-2221</t>
  </si>
  <si>
    <t>HEX SOCKET 3/4 X 28 MM E-2221</t>
  </si>
  <si>
    <t>"SOCKET3/4"" CRV &amp; BCP:29 MM 2221"</t>
  </si>
  <si>
    <t>HEX SOCKET 3/4 X 30 MM E-2221</t>
  </si>
  <si>
    <t>HEX SOCKET 3/4 X 32 MM E-2221</t>
  </si>
  <si>
    <t>HEX SOCKET 3/4 X 33 MM E-2221</t>
  </si>
  <si>
    <t>HEX SOCKET 3/4 X 34 MM E-2221</t>
  </si>
  <si>
    <t>HEX SOCKET 3/4 X 36 MM E-2221</t>
  </si>
  <si>
    <t>HEX SOCKET 3/4 X 38 MM E-2221</t>
  </si>
  <si>
    <t>HEX SOCKET 3/4 X 41 MM E-2221</t>
  </si>
  <si>
    <t>HEX SOCKET 3/4 X 46 MM E-2221</t>
  </si>
  <si>
    <t>HEX SOCKET 3/4 X 50 MM E-2221</t>
  </si>
  <si>
    <t>HEX SOCKET 3/4 X 55 MM E-2221</t>
  </si>
  <si>
    <t>"SOCKET3/4"" CRV &amp; BCP:60 MM 2221"</t>
  </si>
  <si>
    <t>"TIN CUTTER 10"" E-2255"</t>
  </si>
  <si>
    <t>"TIN CUTTER 12"" E-2255"</t>
  </si>
  <si>
    <t>"TIN CUTTER 14"" E-2255"</t>
  </si>
  <si>
    <t>"TIN CUTTER 8"" E-2255"</t>
  </si>
  <si>
    <t>1" DR DEEP IMPACT SOCKET 1" 6P</t>
  </si>
  <si>
    <t>1" DR DEEP IMPACT SOCKET 1-1/16 6P</t>
  </si>
  <si>
    <t>1" DR DEEP IMPACT SOCKET 1-1/2 6P</t>
  </si>
  <si>
    <t>1" DR DEEP IMPACT SOCKET 1-1/4 6P</t>
  </si>
  <si>
    <t>1" DR DEEP IMPACT SOCKET 1-1/8 6P</t>
  </si>
  <si>
    <t>1" DR DEEP IMPACT SOCKET 1-11/16 6P</t>
  </si>
  <si>
    <t>1" DR DEEP IMPACT SOCKET 1-13/16 6P</t>
  </si>
  <si>
    <t>1" DR DEEP IMPACT SOCKET 1-3/16 6P</t>
  </si>
  <si>
    <t>1" DR DEEP IMPACT SOCKET 1-3/4 6P</t>
  </si>
  <si>
    <t>1" DR DEEP IMPACT SOCKET 1-3/8 6P</t>
  </si>
  <si>
    <t>1" DR DEEP IMPACT SOCKET 1-5/16 6P</t>
  </si>
  <si>
    <t>1" DR DEEP IMPACT SOCKET 1-5/8 6P</t>
  </si>
  <si>
    <t>1" DR DEEP IMPACT SOCKET 1-7/16 6P</t>
  </si>
  <si>
    <t>1" DR DEEP IMPACT SOCKET 1-7/8 6P</t>
  </si>
  <si>
    <t>1" DR DEEP IMPACT SOCKET 1-9/16 6P</t>
  </si>
  <si>
    <t>1" DR DEEP IMPACT SOCKET 13/16 6P</t>
  </si>
  <si>
    <t>1" DR DEEP IMPACT SOCKET 15/16 6P</t>
  </si>
  <si>
    <t>1" DR DEEP IMPACT SOCKET 2" 6P</t>
  </si>
  <si>
    <t>1" DR DEEP IMPACT SOCKET 3/4 6P</t>
  </si>
  <si>
    <t>1" DR DEEP IMPACT SOCKET 7/8 6P</t>
  </si>
  <si>
    <t>1" DR IMPACT SOCKET 1" 6P</t>
  </si>
  <si>
    <t>1" DR IMPACT SOCKET 1-1/16 6P</t>
  </si>
  <si>
    <t>1" DR IMPACT SOCKET 1-1/4 6P</t>
  </si>
  <si>
    <t>1" DR IMPACT SOCKET 1-1/8 6P</t>
  </si>
  <si>
    <t>1" DR IMPACT SOCKET 1-3/16 6P</t>
  </si>
  <si>
    <t>1" DR IMPACT SOCKET 1-3/8 6P</t>
  </si>
  <si>
    <t>1" DR IMPACT SOCKET 1-5/16 6P</t>
  </si>
  <si>
    <t>1" DR IMPACT SOCKET 1-7/16 6P</t>
  </si>
  <si>
    <t>1" DR IMPACT SOCKET 13/16 6P</t>
  </si>
  <si>
    <t>1" DR IMPACT SOCKET 15/16 6P</t>
  </si>
  <si>
    <t>1" DR IMPACT SOCKET 3/4 6P</t>
  </si>
  <si>
    <t>1" DR IMPACT SOCKET 7/8 6P</t>
  </si>
  <si>
    <t>1" Deep impact hex socket 27 mm (2223N- New Series)</t>
  </si>
  <si>
    <t>1" Deep impact hex socket 30 mm (2223N- New Series)</t>
  </si>
  <si>
    <t>1" Deep impact hex socket 32 mm (2223N- New Series)</t>
  </si>
  <si>
    <t>1" Deep impact hex socket 36 mm (2223N- New Series)</t>
  </si>
  <si>
    <t>1/2 DEEP HEX SOCKET:26 MM/E-2225H</t>
  </si>
  <si>
    <t>SOCKET SET 1224 R E-2202</t>
  </si>
  <si>
    <t>TORX BIT SOCKET T20 E-2227</t>
  </si>
  <si>
    <t>TORX BIT SOCKET T25 E-2227</t>
  </si>
  <si>
    <t>TORX BIT SOCKET T27 E-2227</t>
  </si>
  <si>
    <t>TORX BIT SOCKET T30 E-2227</t>
  </si>
  <si>
    <t>TORX BIT SOCKET T40 E-2227</t>
  </si>
  <si>
    <t>TORX BIT SOCKET T45 E-2227</t>
  </si>
  <si>
    <t>TORX BIT SOCKET T50 E-2227</t>
  </si>
  <si>
    <t>TORX BIT SOCKET T55 E-2227</t>
  </si>
  <si>
    <t>TORX BIT SOCKET T60 E-2227</t>
  </si>
  <si>
    <t>1/2 DR TORX BIT SOCKET:T-70/E-2227</t>
  </si>
  <si>
    <t>1/2" DR BI-HEX SKT SET:E-1224-N (JRSDRIVE)</t>
  </si>
  <si>
    <t>1/2" DR DEEP IMPACT SOCKET 1" 6P</t>
  </si>
  <si>
    <t>1/2" DR DEEP IMPACT SOCKET 1/2 6P</t>
  </si>
  <si>
    <t>1/2" DR DEEP IMPACT SOCKET 11/16 6P</t>
  </si>
  <si>
    <t>1/2" DR DEEP IMPACT SOCKET 13/16 6P</t>
  </si>
  <si>
    <t>1/2" DR DEEP IMPACT SOCKET 15/16 6P</t>
  </si>
  <si>
    <t>1/2" DR DEEP IMPACT SOCKET 3/4 6P</t>
  </si>
  <si>
    <t>1/2" DR DEEP IMPACT SOCKET 3/8 6P</t>
  </si>
  <si>
    <t>1/2" DR DEEP IMPACT SOCKET 5/8 6P</t>
  </si>
  <si>
    <t>1/2" DR DEEP IMPACT SOCKET 7/16 6P</t>
  </si>
  <si>
    <t>1/2" DR DEEP IMPACT SOCKET 7/8 6P</t>
  </si>
  <si>
    <t>1/2" DR DEEP IMPACT SOCKET 9/16 6P</t>
  </si>
  <si>
    <t>1/2" DR IMPACT SOCKET 1" 6P</t>
  </si>
  <si>
    <t>1/2" DR IMPACT SOCKET 1-1/16 6P</t>
  </si>
  <si>
    <t>1/2" DR IMPACT SOCKET 1-1/4 6P</t>
  </si>
  <si>
    <t>1/2" DR IMPACT SOCKET 1-1/8 6P</t>
  </si>
  <si>
    <t>1/2" DR IMPACT SOCKET 1-3/16 6P</t>
  </si>
  <si>
    <t>1/2" DR IMPACT SOCKET 1/2 6P</t>
  </si>
  <si>
    <t>1/2" DR IMPACT SOCKET 11/16 6P</t>
  </si>
  <si>
    <t>1/2" DR IMPACT SOCKET 13/16 6P</t>
  </si>
  <si>
    <t>1/2" DR IMPACT SOCKET 15/16 6P</t>
  </si>
  <si>
    <t>1/2" DR IMPACT SOCKET 3/4 6P</t>
  </si>
  <si>
    <t>1/2" DR IMPACT SOCKET 3/8 6P</t>
  </si>
  <si>
    <t>1/2" DR IMPACT SOCKET 5/16 6P</t>
  </si>
  <si>
    <t>1/2" DR IMPACT SOCKET 5/8 6P</t>
  </si>
  <si>
    <t>1/2" DR IMPACT SOCKET 7/16 6P</t>
  </si>
  <si>
    <t>1/2" DR IMPACT SOCKET 7/8 6P</t>
  </si>
  <si>
    <t>1/2" DR IMPACT SOCKET 9/16 6P</t>
  </si>
  <si>
    <t>1/2" Deep impact hex socket 10 mm (2223N- New Series)</t>
  </si>
  <si>
    <t>1/2" Deep impact hex socket 12 mm (2223N- New Series)</t>
  </si>
  <si>
    <t>1/2" Deep impact hex socket 13 mm (2223N- New Series)</t>
  </si>
  <si>
    <t>1/2" Deep impact hex socket 14 mm (2223N- New Series)</t>
  </si>
  <si>
    <t>1/2" Deep impact hex socket 16 mm (2223N- New Series)</t>
  </si>
  <si>
    <t>1/2" Deep impact hex socket 17 mm (2223N- New Series)</t>
  </si>
  <si>
    <t>1/2" Deep impact hex socket 18 mm (2223N- New Series)</t>
  </si>
  <si>
    <t>1/2" Deep impact hex socket 19 mm (2223N- New Series)</t>
  </si>
  <si>
    <t>1/2" Deep impact hex socket 21 mm (2223N- New Series)</t>
  </si>
  <si>
    <t>1/2" Deep impact hex socket 22 mm (2223N- New Series)</t>
  </si>
  <si>
    <t>1/2" Deep impact hex socket 24 mm (2223N- New Series)</t>
  </si>
  <si>
    <t>1/2" Deep impact hex socket 27 mm (2223N- New Series)</t>
  </si>
  <si>
    <t>1/2" impact hex socket 10 mm (2223N- New Series)</t>
  </si>
  <si>
    <t>1/2" impact hex socket 12 mm (2223N- New Series)</t>
  </si>
  <si>
    <t>1/2" impact hex socket 13 mm (2223N- New Series)</t>
  </si>
  <si>
    <t>1/2" impact hex socket 14 mm (2223N- New Series)</t>
  </si>
  <si>
    <t>1/2" impact hex socket 15 mm (2223N- New Series)</t>
  </si>
  <si>
    <t>1/2" impact hex socket 16 mm (2223N- New Series)</t>
  </si>
  <si>
    <t>1/2" impact hex socket 17 mm (2223N- New Series)</t>
  </si>
  <si>
    <t>1/2" impact hex socket 18 mm (2223N- New Series)</t>
  </si>
  <si>
    <t>1/2" impact hex socket 19 mm (2223N- New Series)</t>
  </si>
  <si>
    <t>1/2" impact hex socket 21 mm (2223N- New Series)</t>
  </si>
  <si>
    <t>1/2" impact hex socket 22 mm (2223N- New Series)</t>
  </si>
  <si>
    <t>1/2" impact hex socket 24 mm (2223N- New Series)</t>
  </si>
  <si>
    <t>1/2" impact hex socket 27 mm (2223N- New Series)</t>
  </si>
  <si>
    <t>1/2" impact hex socket 28 mm (2223N- New Series)</t>
  </si>
  <si>
    <t>1/2" impact hex socket 30 mm (2223N- New Series)</t>
  </si>
  <si>
    <t>1/2" impact hex socket 32 mm (2223N- New Series)</t>
  </si>
  <si>
    <t>1/4 DR SOCKET SET : E-446-N (JRSDRIVE)</t>
  </si>
  <si>
    <t>SOCKET SET 1/4 X 46 PCS E-2260</t>
  </si>
  <si>
    <t>1/4 T SOCKET SET 9 PCS/E-2219S</t>
  </si>
  <si>
    <t>SOCKET SET 1/4 &amp; 1/2 X 94 PCS E-2301</t>
  </si>
  <si>
    <t>12,7mm DR HEX SKT SET:E-618-N (JRSDRIVE) E-2260N</t>
  </si>
  <si>
    <t>SOCKET SET BI HEX 3/4 E-2222E</t>
  </si>
  <si>
    <t>3/4" " EXTEN.BAR CRV:16" E-2209"</t>
  </si>
  <si>
    <t>3/4" DR IMPACT SOCKET 1" 6P</t>
  </si>
  <si>
    <t>3/4" DR IMPACT SOCKET 13/16 6P</t>
  </si>
  <si>
    <t>3/4" DR IMPACT SOCKET 15/16 6P</t>
  </si>
  <si>
    <t>3/4" DR IMPACT SOCKET 3/4 6P</t>
  </si>
  <si>
    <t>3/4" DR IMPACT SOCKET 7/8 6P</t>
  </si>
  <si>
    <t>3/4" Deep impact hex socket 27 mm (2223N- New Series)</t>
  </si>
  <si>
    <t>3/4" Deep impact hex socket 30 mm (2223N- New Series)</t>
  </si>
  <si>
    <t>3/4" Deep impact hex socket 32 mm (2223N- New Series)</t>
  </si>
  <si>
    <t>3/4" Deep impact hex socket 36 mm (2223N- New Series)</t>
  </si>
  <si>
    <t>3/4" EXTEN.BAR CRV: 200mm "2209"</t>
  </si>
  <si>
    <t>4" PISTON RING COMPRESSOR (60-175MM)</t>
  </si>
  <si>
    <t>METAL BOX BIT SET 40 PCS E-3004</t>
  </si>
  <si>
    <t>SPARE BIT IMPACT DRIVER SET 36MM EIDB-5036</t>
  </si>
  <si>
    <t>SPARE BIT IMPACT DRIVER SET 80MM EIDB-5080</t>
  </si>
  <si>
    <t>6 PCS PRECISION SCREW DRIVER SET 3015</t>
  </si>
  <si>
    <t>TORX BIT SOCKET SET 9 PCS E-3014</t>
  </si>
  <si>
    <t>ADJUSTABLE WRENCH 06 INCH BCP E-2050</t>
  </si>
  <si>
    <t>ADJUSTABLE WRENCH 08 INCH BCP E-2050</t>
  </si>
  <si>
    <t>ADJUSTABLE WRENCH 08 INCH BCP WITH GREEN DIP SLEEVE</t>
  </si>
  <si>
    <t>ADJUSTABLE WRENCH 10 INCH BCP E-2050</t>
  </si>
  <si>
    <t>ADJ WRENCH :10 INCH BCP WITH GREEN DIP COATING</t>
  </si>
  <si>
    <t>ADJUSTABLE WRENCH 12 INCH BCP E-2050</t>
  </si>
  <si>
    <t>ADJ WRENCH :12 INCH BCP WITH GREEN DIP COATING</t>
  </si>
  <si>
    <t>"ADJUSTABLE WRENCH BLACK 08"" E-2051P"</t>
  </si>
  <si>
    <t>"ADJUSTABLE WRENCH BLACK 10"" E-2051P"</t>
  </si>
  <si>
    <t>"ADJUSTABLE WRENCH BLACK 12"" E-2051P"</t>
  </si>
  <si>
    <t>"ADJUSTABLE WRENCH BLACK 15"" E-2051P"</t>
  </si>
  <si>
    <t>FDAWBP00018</t>
  </si>
  <si>
    <t>ADJ WRENCH E-2051P:18INCH BLACK 2051</t>
  </si>
  <si>
    <t>FDAWBP00024</t>
  </si>
  <si>
    <t>ADJ WRENCH E-2051P:24INCH BLACK 2051</t>
  </si>
  <si>
    <t>"ADJUSTABLE WRENCH BLACK 06"" E-2051P"</t>
  </si>
  <si>
    <t>ALLOY WHEEL SOCKET SET 17,19,21 MM</t>
  </si>
  <si>
    <t>"AVIATION SNIPPER 10"" E-2254"</t>
  </si>
  <si>
    <t>Short Allen Key 9 PCS SET INCH EAK-2403</t>
  </si>
  <si>
    <t>Allen Key Long Pattern Ball Point :2 MM/E-2406</t>
  </si>
  <si>
    <t>Allen Key Long Pattern Ball Point :3 MM/E-2406</t>
  </si>
  <si>
    <t>Allen Key Long Pattern Ball Point :4 MM/E-2406</t>
  </si>
  <si>
    <t>Allen Key Long Pattern Ball Point :6 MM/E-2406</t>
  </si>
  <si>
    <t>Allen Key Long Pattern Ball Point :8 MM/E-2406</t>
  </si>
  <si>
    <t>Allen Key Short 1.5 MM EAK-2401</t>
  </si>
  <si>
    <t>Allen Key Short 1/16 INCH EAK-2401</t>
  </si>
  <si>
    <t>Allen Key Short 1/2 INCH EAK-2401</t>
  </si>
  <si>
    <t>Allen Key Short 1/4 INCH EAK-2401</t>
  </si>
  <si>
    <t>Allen Key Short 1/8 INCH EAK-2401</t>
  </si>
  <si>
    <t>Allen Key Short 10 MM EAK-2401</t>
  </si>
  <si>
    <t>Allen Key Short 12 MM EAK-2401</t>
  </si>
  <si>
    <t>Allen Key Short 14 MM EAK-2401</t>
  </si>
  <si>
    <t>Allen Key Short pattern :17 MM/E-2401</t>
  </si>
  <si>
    <t>Allen Key Short pattern :19 MM/E-2401</t>
  </si>
  <si>
    <t>Allen Key Short 2 MM EAK-2401</t>
  </si>
  <si>
    <t>Allen Key Short 2.5 MM EAK-2401</t>
  </si>
  <si>
    <t>Allen Key Short 22 MM EAK-2401</t>
  </si>
  <si>
    <t>Allen Key Short 24 MM EAK-2401</t>
  </si>
  <si>
    <t>Allen Key Short 27 MM EAK-2401</t>
  </si>
  <si>
    <t>Allen Key Short 3 MM EAK-2401</t>
  </si>
  <si>
    <t>Allen Key Short 3/16 INCH EAK-2401</t>
  </si>
  <si>
    <t>Allen Key Short 3/32 INCH EAK-2401</t>
  </si>
  <si>
    <t>Allen Key Short 3/8 INCH EAK-2401</t>
  </si>
  <si>
    <t>Allen Key Short 32 MM EAK-2401</t>
  </si>
  <si>
    <t>Allen Key Short 36 MM EAK-2401</t>
  </si>
  <si>
    <t>Allen Key Short 4 MM EAK-2401</t>
  </si>
  <si>
    <t>Allen Key Short 5 MM EAK-2401</t>
  </si>
  <si>
    <t>Allen Key Short 5/16 INCH EAK-2401</t>
  </si>
  <si>
    <t>Allen Key Short 5/32 INCH EAK-2401</t>
  </si>
  <si>
    <t>Allen Key Short 5/64 INCH EAK-2401</t>
  </si>
  <si>
    <t>Allen Key Short 5/8 INCH EAK-2401</t>
  </si>
  <si>
    <t>Allen Key Short 6 MM EAK-2401</t>
  </si>
  <si>
    <t>Allen Key Short 7/32 INCH EAK-2401</t>
  </si>
  <si>
    <t>Allen Key Short 8 MM EAK-2401</t>
  </si>
  <si>
    <t>Allen Key Short 9 MM EAK-2401</t>
  </si>
  <si>
    <t>Allen Key Short 9/16 INCH EAK-2401</t>
  </si>
  <si>
    <t>Short Allen Key 9 PCS SET MM EAK-2403</t>
  </si>
  <si>
    <t>Long Allenkey 9 PCS SET INCH EAK-2408</t>
  </si>
  <si>
    <t>Allen Key:9 PCS SET-MM/E-2408</t>
  </si>
  <si>
    <t>Long Allen Key 9 PCS SET MM BALL POINT EAK-2406</t>
  </si>
  <si>
    <t>Allen key BALLPOINT KEY SET - XTRA LONG/E-2406XL</t>
  </si>
  <si>
    <t>Short Star Allen Key 7 PCS SET HOLE EAK-2407H</t>
  </si>
  <si>
    <t>Short Star Allen Key 7 PCS SET EAK-2407</t>
  </si>
  <si>
    <t>Xtra Long Star Allen Key 7 PCS SET EAK-2407-XL</t>
  </si>
  <si>
    <t>Allen key long 10 mm EAK-2402</t>
  </si>
  <si>
    <t>Allen key long 2 mm EAK-2402</t>
  </si>
  <si>
    <t>Allen key long 2.5 mm EAK-2402</t>
  </si>
  <si>
    <t>Allen key long 3 mm EAK-2402</t>
  </si>
  <si>
    <t>Allen key long 4 mm EAK-2402</t>
  </si>
  <si>
    <t>Allen key long 5 mm EAK-2402</t>
  </si>
  <si>
    <t>Allen key long 6 mm EAK-2402</t>
  </si>
  <si>
    <t>Allen key long 8 mm EAK-2402</t>
  </si>
  <si>
    <t>"BOLT CUTTER SPARE 12"" E-2039-S"</t>
  </si>
  <si>
    <t>"BOLT CUTTER SPARE 14"" E-2039-S"</t>
  </si>
  <si>
    <t>"BOLT CUTTER SPARE 18"" E-2039-S"</t>
  </si>
  <si>
    <t>"BOLT CUTTER SPARE 24"" E-2039-S"</t>
  </si>
  <si>
    <t>"BOLT CUTTER SPARE 30"" E-2039-S"</t>
  </si>
  <si>
    <t>"BOLT CUTTER SPARE 36"" E-2039-S"</t>
  </si>
  <si>
    <t>"BOLT CUTTER SPARE 42"" E-2039-S"</t>
  </si>
  <si>
    <t>FDBPHFG0200</t>
  </si>
  <si>
    <t>BALL PEIN HAMMER FIBER GLASS 200GMS (HANDLE LENGTH 11 INCH) E-3037</t>
  </si>
  <si>
    <t>FDBPHFG0300</t>
  </si>
  <si>
    <t>BALL PEIN HAMMER FIBER GLASS 300GMS (HANDLE LENGTH 13 INCH) E-3037</t>
  </si>
  <si>
    <t>FDBPHFG0500</t>
  </si>
  <si>
    <t>BALL PEIN HAMMER FIBER GLASS 500GMS (HANDLE LENGTH 14 INCH) E-3037</t>
  </si>
  <si>
    <t>BALL PEIN HAMMER 100 GM E-2064</t>
  </si>
  <si>
    <t>BALL PEIN HAMMER 200 GM E-2064</t>
  </si>
  <si>
    <t>BALL PEIN HAMMER 300 GM E-2064</t>
  </si>
  <si>
    <t>BALL PEIN HAMMER 500 GM E-2064</t>
  </si>
  <si>
    <t>BALL PEIN HAMMER 600 GM E-2064</t>
  </si>
  <si>
    <t>BALL PEIN HAMMER 800 GM E-2064</t>
  </si>
  <si>
    <t>FDBP3L00003</t>
  </si>
  <si>
    <t>BEARING PULLER CARBON STEEL CHROME PLATED 3LEGS : 03INCH 654grm E-2073</t>
  </si>
  <si>
    <t>FDBP3L00004</t>
  </si>
  <si>
    <t>BEARING PULLER CARBON STEEL CHROME PLATED 3LEGS : 04INCH 844grm E-2073</t>
  </si>
  <si>
    <t>FDBP3L00006</t>
  </si>
  <si>
    <t>BEARING PULLER CARBON STEEL CHROME PLATED 3LEGS : 06INCH 1452grm E-2073</t>
  </si>
  <si>
    <t>FDBP3L00008</t>
  </si>
  <si>
    <t>BEARING PULLER CARBON STEEL CHROME PLATED 3LEGS : 08INCH 2170grm E-2073</t>
  </si>
  <si>
    <t>FDBP3L00010</t>
  </si>
  <si>
    <t>BEARING PULLER CARBON STEEL CHROME PLATED 3LEGS : 10INCH 5550grm E-2073</t>
  </si>
  <si>
    <t>FDBP3L00012</t>
  </si>
  <si>
    <t>BEARING PULLER CARBON STEEL CHROME PLATED 3LEGS : 12INCH 7250grm E-2073</t>
  </si>
  <si>
    <t>"BOLT CUTTER 08"" / 200MM E-2039"</t>
  </si>
  <si>
    <t>"BOLT CUTTER 12"" / 300MM E-2039"</t>
  </si>
  <si>
    <t>BOLT CUTTER:12INCH/300MM (NEW) E-2040</t>
  </si>
  <si>
    <t>"BOLT CUTTER 14"" / 350MM E-2039"</t>
  </si>
  <si>
    <t>BOLT CUTTER:14INCH/350MM (NEW) E-2040</t>
  </si>
  <si>
    <t>"BOLT CUTTER 18"" / 450MM E-2039"</t>
  </si>
  <si>
    <t>BOLT CUTTER:18INCH/450MM (NEW) E-2040</t>
  </si>
  <si>
    <t>"BOLT CUTTER 24"" / 600MM E-2039"</t>
  </si>
  <si>
    <t>BOLT CUTTER:24INCH/600MM (NEW) E-2040</t>
  </si>
  <si>
    <t>"BOLT CUTTER 30"" / 750MM E-2039"</t>
  </si>
  <si>
    <t>"BOLT CUTTER 36"" / 900MM E-2039"</t>
  </si>
  <si>
    <t>"BOLT CUTTER 42"" / 1050MM E-2039"</t>
  </si>
  <si>
    <t>C TYPE RING SPANNER ELLIP. CRV CP 08X10 E-2270</t>
  </si>
  <si>
    <t>C TYPE RING SPANNER ELLIP. CRV CP 10X11 E-2270</t>
  </si>
  <si>
    <t>C TYPE RING SPANNER ELLIP. CRV CP 10X12 E-2270</t>
  </si>
  <si>
    <t>C TYPE RING SPANNER ELLIP. CRV CP 12X13 E-2270</t>
  </si>
  <si>
    <t>C TYPE RING SPANNER ELLIP. CRV CP 14X15 E-2270</t>
  </si>
  <si>
    <t>C TYPE RING SPANNER ELLIP. CRV CP 14X17 E-2270</t>
  </si>
  <si>
    <t>C TYPE RING SPANNER ELLIP. CRV CP 16X17 E-2270</t>
  </si>
  <si>
    <t>C TYPE RING SPANNER ELLIP. CRV CP 17X19 E-2270</t>
  </si>
  <si>
    <t>C TYPE RING SPANNER ELLIP. CRV CP 18X19 E-2270</t>
  </si>
  <si>
    <t>FDRSCTCP2022</t>
  </si>
  <si>
    <t>C TYPE RING SPANNER ELLIP. CRV CP 20X22 E-2270</t>
  </si>
  <si>
    <t>C TYPE RING SPANNER ELLIP. CRV CP 21X23 E-2270</t>
  </si>
  <si>
    <t>C-CLAMP 10 E-2036</t>
  </si>
  <si>
    <t>C-CLAMP 12 E-2036</t>
  </si>
  <si>
    <t>C-CLAMP 2 E-2036</t>
  </si>
  <si>
    <t>C-CLAMP 3 E-2036</t>
  </si>
  <si>
    <t>C-CLAMP 4 E-2036</t>
  </si>
  <si>
    <t>C-CLAMP 6 E-2036</t>
  </si>
  <si>
    <t>C-CLAMP 8 E-2036</t>
  </si>
  <si>
    <t>COMBINATION SPANNER ELLIPTICAL : 15/16 SAE E-2005</t>
  </si>
  <si>
    <t>COMBINATION SPANNER SET 06 PCS E-2005</t>
  </si>
  <si>
    <t>COMBINATION SPANNER SET 08 PCS E-2005</t>
  </si>
  <si>
    <t>COMBINATION SPANNER SET 12 PCS E-2005</t>
  </si>
  <si>
    <t>COMBINATION SPANNER SET 14 PCS E-2005</t>
  </si>
  <si>
    <t>COMBINATION SPANNER SET 25 PCS E-2005</t>
  </si>
  <si>
    <t>COMBINATION SPANNER SET 26 PCS E-2005</t>
  </si>
  <si>
    <t>COMBINATION SPANNER BCP 06 MM E-2005</t>
  </si>
  <si>
    <t>COMBINATION SPANNER BCP 07 MM E-2005</t>
  </si>
  <si>
    <t>COMBINATION SPANNER BCP 08 MM E-2005</t>
  </si>
  <si>
    <t>COMBINATION SPANNER BCP 09 MM E-2005</t>
  </si>
  <si>
    <t>COMBINATION SPANNER BCP 10 MM E-2005</t>
  </si>
  <si>
    <t>COMBINATION SPANNER BCP 11 MM E-2005</t>
  </si>
  <si>
    <t>COMBINATION SPANNER BCP 12 MM E-2005</t>
  </si>
  <si>
    <t>COMBINATION SPANNER BCP 13 MM E-2005</t>
  </si>
  <si>
    <t>COMBINATION SPANNER BCP 14 MM E-2005</t>
  </si>
  <si>
    <t>COMBINATION SPANNER BCP 15 MM E-2005</t>
  </si>
  <si>
    <t>COMBINATION SPANNER BCP 16 MM E-2005</t>
  </si>
  <si>
    <t>COMBINATION SPANNER BCP 17 MM E-2005</t>
  </si>
  <si>
    <t>COMBINATION SPANNER BCP 18 MM E-2005</t>
  </si>
  <si>
    <t>COMBINATION SPANNER BCP 19 MM E-2005</t>
  </si>
  <si>
    <t>COMBINATION SPANNER BCP 20 MM E-2005</t>
  </si>
  <si>
    <t>COMBINATION SPANNER BCP 21 MM E-2005</t>
  </si>
  <si>
    <t>COMBINATION SPANNER BCP 22 MM E-2005</t>
  </si>
  <si>
    <t>COMBINATION SPANNER BCP 23 MM E-2005</t>
  </si>
  <si>
    <t>COMBINATION SPANNER BCP 24 MM E-2005</t>
  </si>
  <si>
    <t>COMBINATION SPANNER BCP 25 MM E-2005</t>
  </si>
  <si>
    <t>COMBINATION SPANNER BCP 26 MM E-2005</t>
  </si>
  <si>
    <t>COMBINATION SPANNER BCP 27 MM E-2005</t>
  </si>
  <si>
    <t>COMBINATION SPANNER BCP 28 MM E-2005</t>
  </si>
  <si>
    <t>COMBINATION SPANNER BCP 29 MM E-2005</t>
  </si>
  <si>
    <t>COMBINATION SPANNER BCP 30 MM E-2005</t>
  </si>
  <si>
    <t>COMBINATION SPANNER BCP 32 MM E-2005</t>
  </si>
  <si>
    <t>FIECC0000450MM</t>
  </si>
  <si>
    <t>CABLE CUTTER 450MM ( 18 INCH ) 3010</t>
  </si>
  <si>
    <t>FIECC0000600MM</t>
  </si>
  <si>
    <t>CABLE CUTTER 600MM ( 24 INCH ) 3010</t>
  </si>
  <si>
    <t>FIECC0000800MM</t>
  </si>
  <si>
    <t>CABLE CUTTER 800MM ( 32 INCH ) 3010</t>
  </si>
  <si>
    <t>FIECC0BIG250MM</t>
  </si>
  <si>
    <t>CABLE CUTTER BIG HEAD 250MM ( 10 INCH )</t>
  </si>
  <si>
    <t>CENTER PUNCH 08 X 100MM E-3007</t>
  </si>
  <si>
    <t>CENTER PUNCH 10 X 100MM E-3007</t>
  </si>
  <si>
    <t>CENTER PUNCH 12 X 125MM E-3007</t>
  </si>
  <si>
    <t>CENTER PUNCH 12 X 150MM E-3007</t>
  </si>
  <si>
    <t>CHISEL OCTAGANAL 12 X 16 X 150 ECH-2038</t>
  </si>
  <si>
    <t>CHISEL OCTAGANAL 16 X 22 X 200 ECH-2038</t>
  </si>
  <si>
    <t>CHISEL OCTAGANAL 19 X 25 X 200 ECH-2038</t>
  </si>
  <si>
    <t>"CIRCLIP PLIER 13"" EXTERNAL STRAIGHT E-2033C"</t>
  </si>
  <si>
    <t>"CIRCLIP PLIER 13"" INTERNAL STRAIGHT E-2033A"</t>
  </si>
  <si>
    <t>"CIRCLIP PLIER 7"" EXTERNAL BENT E-2034D"</t>
  </si>
  <si>
    <t>"CIRCLIP PLIER 7"" EXTERNAL STRAIGHT E-2034C"</t>
  </si>
  <si>
    <t>"CIRCLIP PLIER 7"" INTERNAL BENT E-2034B"</t>
  </si>
  <si>
    <t>"CIRCLIP PLIER 7"" INTERNAL STRAIGHT E-2034A"</t>
  </si>
  <si>
    <t>"CIRCLIP PLIER 9"" EXTERNAL STRAIGHT E-2032C"</t>
  </si>
  <si>
    <t>"CIRCLIP PLIER 9"" INTERNAL STRAIGHT E-2032A"</t>
  </si>
  <si>
    <t>CLAW HAMMER:200 GMS STEEL SHAFT 1/2 LB E-2061S</t>
  </si>
  <si>
    <t>CLAW HAMMER 500 GM E-2061</t>
  </si>
  <si>
    <t>CLAW HAMMER:500 GMS STEEL SHAFT E-2061S</t>
  </si>
  <si>
    <t>COBBLER PINCER WITH NAIL PULLER 8 INCH WITH DOUBLE COLOR DIP SLEEVE YELLOW &amp; GREEN "" E-3031"</t>
  </si>
  <si>
    <t>COMBINATION PLIER 6" E-2020</t>
  </si>
  <si>
    <t>COMBINATION PLIER AUTO BLACK 200mm DOUBLE COLOUR SLEEVE E-2020</t>
  </si>
  <si>
    <t>FDCSFABCV08</t>
  </si>
  <si>
    <t>COMBINATION PLIER CRV AUTO BLACK 200mm</t>
  </si>
  <si>
    <t>COMBINATION PLIER CRV HEAD POLISH 200mm</t>
  </si>
  <si>
    <t>COMBINATION PLIER HEADPOLISH 200mm SINGLE COLOUR SLEEVE E-2020</t>
  </si>
  <si>
    <t>COMBINATION ELLIPTICAL SET 12 PCS (8-22) E-2004</t>
  </si>
  <si>
    <t>COMBINATION ELLIPTICAL SET 6 PCS (8-17) E-2004</t>
  </si>
  <si>
    <t>COMBINATION SPANNER ELLIPTICAL: 06MM E-2004</t>
  </si>
  <si>
    <t>COMBINATION SPANNER ELLIPTICAL: 07MM E-2004</t>
  </si>
  <si>
    <t>COMBINATION SPANNER ELLIPTICAL: 08MM E-2004</t>
  </si>
  <si>
    <t>COMBINATION SPANNER ELLIPTICAL: 09MM E-2004</t>
  </si>
  <si>
    <t>COMBINATION SPANNER ELLIPTICAL: 10MM E-2004</t>
  </si>
  <si>
    <t>COMBINATION SPANNER ELLIPTICAL: 11MM E-2004</t>
  </si>
  <si>
    <t>COMBINATION SPANNER ELLIPTICAL: 12MM E-2004</t>
  </si>
  <si>
    <t>COMBINATION SPANNER ELLIPTICAL: 13MM E-2004</t>
  </si>
  <si>
    <t>COMBINATION SPANNER ELLIPTICAL: 14MM E-2004</t>
  </si>
  <si>
    <t>COMBINATION SPANNER ELLIPTICAL: 15MM E-2004</t>
  </si>
  <si>
    <t>COMBINATION SPANNER ELLIPTICAL: 16MM E-2004</t>
  </si>
  <si>
    <t>COMBINATION SPANNER ELLIPTICAL: 17MM E-2004</t>
  </si>
  <si>
    <t>COMBINATION SPANNER ELLIPTICAL: 18MM E-2004</t>
  </si>
  <si>
    <t>COMBINATION SPANNER ELLIPTICAL: 19MM E-2004</t>
  </si>
  <si>
    <t>COMBINATION SPANNER ELLIPTICAL: 20MM E-2004</t>
  </si>
  <si>
    <t>COMBINATION SPANNER ELLIPTICAL: 21MM E-2004</t>
  </si>
  <si>
    <t>COMBINATION SPANNER ELLIPTICAL: 22MM E-2004</t>
  </si>
  <si>
    <t>COMBINATION SPANNER ELLIPTICAL: 23MM E-2004</t>
  </si>
  <si>
    <t>COMBINATION SPANNER ELLIPTICAL: 24MM E-2004</t>
  </si>
  <si>
    <t>COMBINATION SPANNER ELLIPTICAL: 25MM E-2004</t>
  </si>
  <si>
    <t>COMBINATION SPANNER ELLIPTICAL: 26MM E-2004</t>
  </si>
  <si>
    <t>COMBINATION SPANNER ELLIPTICAL: 27MM E-2004</t>
  </si>
  <si>
    <t>COMBINATION SPANNER ELLIPTICAL: 28MM E-2004</t>
  </si>
  <si>
    <t>COMBINATION SPANNER ELLIPTICAL: 29MM E-2004</t>
  </si>
  <si>
    <t>COMBINATION SPANNER ELLIPTICAL: 30MM E-2004</t>
  </si>
  <si>
    <t>COMBINATION SPANNER ELLIPTICAL: 32MM E-2004</t>
  </si>
  <si>
    <t>COMBINATION SPANNER ELLIPTICAL: 34MM E-2005</t>
  </si>
  <si>
    <t>COMBINATION SPANNER ELLIPTICAL PANEL CRV STEEL FULL POLISHED CHROME PLATED: 36MM</t>
  </si>
  <si>
    <t>COMBINATION SPANNER ELLIPTICAL: 38MM E-2005</t>
  </si>
  <si>
    <t>COMBINATION SPANNER ELLIPTICAL PANEL CRV STEEL FULL POLISHED CHROME PLATED: 41MM</t>
  </si>
  <si>
    <t>COMBINATION SPANNER ELLIPTICAL PANEL CRV STEEL FULL POLISHED CHROME PLATED: 46MM</t>
  </si>
  <si>
    <t>COMBINATION SPANNER ELLIPTICAL PANEL CRV STEEL FULL POLISHED CHROME PLATED: 50MM</t>
  </si>
  <si>
    <t>COMBINATION SPANNER ELLIPTICAL PANEL, CRV, BCP,FULL POLISHED SET OF 8 PCS (8,9,10,11,13,14,17,19 ММ)</t>
  </si>
  <si>
    <t>FDCPHFG0200</t>
  </si>
  <si>
    <t>CROSS PEIN HAMMER FIBER GLASS 200GMS (HANDLE LENGTH 11 INCH) E-3037</t>
  </si>
  <si>
    <t>FDCPHFG0300</t>
  </si>
  <si>
    <t>CROSS PEIN HAMMER FIBER GLASS 300GMS (HANDLE LENGTH 13 INCH) E-3037</t>
  </si>
  <si>
    <t>FDCPHFG0500</t>
  </si>
  <si>
    <t>CROSS PEIN HAMMER FIBER GLASS 500GMS (HANDLE LENGTH 14 INCH) E-3037</t>
  </si>
  <si>
    <t>CROSS PEIN HAMMER 100 GM E-2065</t>
  </si>
  <si>
    <t>CROSS PEIN HAMMER 200 GM E-2065</t>
  </si>
  <si>
    <t>CROSS PEIN HAMMER 300 GM E-2065</t>
  </si>
  <si>
    <t>CROSS PEIN HAMMER 500 GM E-2065</t>
  </si>
  <si>
    <t>CROSS PEIN HAMMER 600 GM E-2065</t>
  </si>
  <si>
    <t>CROSS PEIN HAMMER 800 GM E-2065</t>
  </si>
  <si>
    <t>CROSS WHEEL 17X19-18X21 E-2012</t>
  </si>
  <si>
    <t>CROSS WHEEL 17X19-21X23 E-2012</t>
  </si>
  <si>
    <t>DOE SPANNER 06X07 E-2001</t>
  </si>
  <si>
    <t>DOE SPANNER 08X09 E-2001</t>
  </si>
  <si>
    <t>DOE SPANNER 7/16X1/2 SAE E-2001</t>
  </si>
  <si>
    <t>DOE SPANNER 1/2X9/16 E-2001</t>
  </si>
  <si>
    <t>DOE SPANNER 1/4X5/16 E-2001</t>
  </si>
  <si>
    <t>DOE SPANNER 1/8X3/16 E-2001</t>
  </si>
  <si>
    <t>DOE SPANNER 10X11 E-2001</t>
  </si>
  <si>
    <t>DOE SPANNER 10X12 E-2001</t>
  </si>
  <si>
    <t>DOE RP E/B MF BCP 10X13 E-2001</t>
  </si>
  <si>
    <t>DOE SPANNER 11/16X9/16 E-2001</t>
  </si>
  <si>
    <t>DOE SPANNER 12X13 E-2001</t>
  </si>
  <si>
    <t>DOE SPANNER 12X14 E-2001</t>
  </si>
  <si>
    <t>DOE SPANNER 13X16 E-2001</t>
  </si>
  <si>
    <t>DOE SPANNER 14X15 E-2001</t>
  </si>
  <si>
    <t>DOE SPANNER 14X17 E-2001</t>
  </si>
  <si>
    <t>DOE SPANNER 16X17 E-2001</t>
  </si>
  <si>
    <t>FODEMFBCPSP1317</t>
  </si>
  <si>
    <t>DOE C-35 M/F BCP S/P 13 X 17MM</t>
  </si>
  <si>
    <t>DOE CRV M/F C/P:3/4x7/8 E-2001</t>
  </si>
  <si>
    <t>FDDECVC3641</t>
  </si>
  <si>
    <t>DOE CRV M/F C/P:36 X 41 E-2001</t>
  </si>
  <si>
    <t>DOE CRV M/F C/P:36x38 E-2001</t>
  </si>
  <si>
    <t>FDDECVC6065</t>
  </si>
  <si>
    <t>DOE CRV M/F C/P:60 X 65 E-2001</t>
  </si>
  <si>
    <t>FDDECV01011</t>
  </si>
  <si>
    <t>DOE ELLIP FULL POLISH BCP CRV M/F C/P:10X11 E-2002</t>
  </si>
  <si>
    <t>FDDECV01213</t>
  </si>
  <si>
    <t>DOE ELLIP FULL POLISH BCP CRV M/F C/P:12X13 E-2002</t>
  </si>
  <si>
    <t>FDDECV01415</t>
  </si>
  <si>
    <t>DOE ELLIP FULL POLISH BCP CRV M/F C/P:14X15 E-2002</t>
  </si>
  <si>
    <t>FDDECV01617</t>
  </si>
  <si>
    <t>DOE ELLIP FULL POLISH BCP CRV M/F C/P:16X17 E-2002</t>
  </si>
  <si>
    <t>FDDECV01819</t>
  </si>
  <si>
    <t>DOE ELLIP FULL POLISH BCP CRV M/F C/P:18X19 E-2002</t>
  </si>
  <si>
    <t>FDDECV02022</t>
  </si>
  <si>
    <t>DOE ELLIP FULL POLISH BCP CRV M/F C/P:20X22 E-2002</t>
  </si>
  <si>
    <t>FDDECV02123</t>
  </si>
  <si>
    <t>DOE ELLIP FULL POLISH BCP CRV M/F C/P:21X23 E-2002</t>
  </si>
  <si>
    <t>FDDECV02427</t>
  </si>
  <si>
    <t>DOE ELLIP FULL POLISH BCP CRV M/F C/P:24X27 E-2002</t>
  </si>
  <si>
    <t>FDDECV02528</t>
  </si>
  <si>
    <t>DOE ELLIP FULL POLISH BCP CRV M/F C/P:25X28 E-2002</t>
  </si>
  <si>
    <t>FDDECV03032</t>
  </si>
  <si>
    <t>DOE ELLIP FULL POLISH BCP CRV M/F C/P:30X32 E-2002</t>
  </si>
  <si>
    <t>FDDECV00607</t>
  </si>
  <si>
    <t>DOE ELLIP FULL POLISH BCP CRV M/F C/P:6X7 E-2002</t>
  </si>
  <si>
    <t>FDDECV00809</t>
  </si>
  <si>
    <t>DOE ELLIP FULL POLISH BCP CRV M/F C/P:8X9E-2002</t>
  </si>
  <si>
    <t>KIT-E2002-12B</t>
  </si>
  <si>
    <t>DOE ELLIPTICAL SET OF 12 PCS (6x7 - 30 x 32) E-2002</t>
  </si>
  <si>
    <t>KIT-E2001-10 WITH 19X22</t>
  </si>
  <si>
    <t>DOE S/O 10 PCS E-2001(06x07,08x09,10x11,12x13,14x15,16x17,18x19,19x22,24x27,30x32)</t>
  </si>
  <si>
    <t>DOE ELLIPTICAL SET 6 PCS (6x7-16x17) E-2002</t>
  </si>
  <si>
    <t>KIT-E2002-08B</t>
  </si>
  <si>
    <t>DOE ELLIPTICAL CRV STEEL F/P BCP S/O 8 PCS (6x7-20x22MM) E-2002</t>
  </si>
  <si>
    <t>DOE SPANNER ELLIPTICAL: 24X26MM E-2002</t>
  </si>
  <si>
    <t>DOE SPANNER ELLIPTICAL: 24X27MM E-2002</t>
  </si>
  <si>
    <t>DOE SPANNER ELLIPTICAL: 25X28MM E-2002</t>
  </si>
  <si>
    <t>DOE SPANNER ELLIPTICAL: 30X32MM E-2002</t>
  </si>
  <si>
    <t>DOE RP E/B MF BCP 22X24 2001</t>
  </si>
  <si>
    <t>FRSV0015100200</t>
  </si>
  <si>
    <t>RATCHET SPANNER STRAIGHT BCP 9MM E-2257</t>
  </si>
  <si>
    <t>FRSV0015100212</t>
  </si>
  <si>
    <t>F RATCHET CV STRAIGHT STEEL FP BCP 13/16</t>
  </si>
  <si>
    <t>RATCHET SPANNER STRAIGHT BCP 8MM E-2257</t>
  </si>
  <si>
    <t>RATCHET SPANNER STRAIGHT BCP 10MM E-2257</t>
  </si>
  <si>
    <t>RATCHET SPANNER STRAIGHT BCP 11MM E-2257</t>
  </si>
  <si>
    <t>RATCHET SPANNER STRAIGHT BCP 12MM E-2257</t>
  </si>
  <si>
    <t>RATCHET SPANNER STRAIGHT BCP 13MM E-2257</t>
  </si>
  <si>
    <t>RATCHET SPANNER STRAIGHT BCP 14MM E-2257</t>
  </si>
  <si>
    <t>RATCHET SPANNER STRAIGHT BCP 15MM E-2257</t>
  </si>
  <si>
    <t>RATCHET SPANNER STRAIGHT BCP 16MM E-2257</t>
  </si>
  <si>
    <t>RATCHET SPANNER STRAIGHT BCP 17MM E-2257</t>
  </si>
  <si>
    <t>RATCHET SPANNER STRAIGHT BCP 18MM E-2257</t>
  </si>
  <si>
    <t>RATCHET SPANNER STRAIGHT BCP 19MM E-2257</t>
  </si>
  <si>
    <t>RATCHET SPANNER STRAIGHT BCP 20MM E-2257</t>
  </si>
  <si>
    <t>RATCHET SPANNER STRAIGHT BCP 21MM E-2257</t>
  </si>
  <si>
    <t>RATCHET SPANNER STRAIGHT BCP 22MM E-2257</t>
  </si>
  <si>
    <t>RATCHET SPANNER STRAIGHT BCP 23MM E-2257</t>
  </si>
  <si>
    <t>RATCHET SPANNER STRAIGHT BCP 24MM E-2257</t>
  </si>
  <si>
    <t>FILTER WRENCH 225MM E-3022</t>
  </si>
  <si>
    <t>FILTER WRENCH 300MM E-3022</t>
  </si>
  <si>
    <t>FDFBSCV3641</t>
  </si>
  <si>
    <t>FISH BOLT SPANNER (CRV) E-2003</t>
  </si>
  <si>
    <t>FDFNSCV1011</t>
  </si>
  <si>
    <t>FLARE NUT SPANNER CRV STEEL : 10X11MM E-2259</t>
  </si>
  <si>
    <t>FDFNSCV1012</t>
  </si>
  <si>
    <t>FLARE NUT SPANNER CRV STEEL: 10X12MM E-2259</t>
  </si>
  <si>
    <t>FLARE NUT SPANNER CRV STEEL FULL POLISHED CHROME PLATED : 11X13MM</t>
  </si>
  <si>
    <t>FLARE NUT SPANNER CRV STEEL FULL POLISHED CHROME PLATED : 13X14MM</t>
  </si>
  <si>
    <t>FDFNSCV1417</t>
  </si>
  <si>
    <t>FLARE NUT SPANNER CRV STEEL FULL POLISHED CHROME PLATED : 14X17MM</t>
  </si>
  <si>
    <t>FLARE NUT SPANNER CRV STEEL FULL POLISHED CHROME PLATED : 15X17MM</t>
  </si>
  <si>
    <t>FLARE NUT SPANNER CRV STEEL FULL POLISHED CHROME PLATED : 19X21MM</t>
  </si>
  <si>
    <t>FLARE NUT SPANNER : 19X22MM E-2259</t>
  </si>
  <si>
    <t>FDFNSCV0810</t>
  </si>
  <si>
    <t>FLARE NUT SPANNER CRV STEEL: 8 X 10MM E-2259</t>
  </si>
  <si>
    <t>WHEEL SPANNER 19X24 NH E-2010</t>
  </si>
  <si>
    <t>FDGGBW/OW03</t>
  </si>
  <si>
    <t>GREASE BUCKET 3KG</t>
  </si>
  <si>
    <t>GREASE BUCKET TY 10 KG W/OWHEEL E-2261</t>
  </si>
  <si>
    <t>GREASE BUCKET TY 10 KG WITH WHEEL E-2261</t>
  </si>
  <si>
    <t>GREASE BUCKET TY:15 KG WITH WHEEL 2261</t>
  </si>
  <si>
    <t>GREASE BUCKET TY 20 KG WITH WHEEL E-2261</t>
  </si>
  <si>
    <t>GREASE BUCKET TY 5 KG W/O WHEEL E-2261</t>
  </si>
  <si>
    <t>GREASE BUCKET TY 5 KG WITH WHEEL E-2261</t>
  </si>
  <si>
    <t>GREASE GUN 10PINT/300CC/6000-PSI E-2071A</t>
  </si>
  <si>
    <t>GREASE GUN 15PINT/445CC/2000-PSI E-2071A</t>
  </si>
  <si>
    <t>"GREASE GUN 15PINT/445CC/2500-PSI E-2071A</t>
  </si>
  <si>
    <t>"GREASE GUN 15PINT/445CC/7000-PSI E-2071A</t>
  </si>
  <si>
    <t>"HACKSAW BLADE 1"" X 300 18 TPI E-2263"</t>
  </si>
  <si>
    <t>"HACKSAW BLADE 1"" X 300 24 TPI E-2263"</t>
  </si>
  <si>
    <t>"HACKSAW BLADE 1/2"" X 300 24 TPI E-2263"</t>
  </si>
  <si>
    <t>"HACKSAW BLADE 1/2"" X 300 18 TPI E-2263"</t>
  </si>
  <si>
    <t>"HACKSAW FRAME 12"" RED HANDLE E-2264"</t>
  </si>
  <si>
    <t>"HACKSAW FRAME 12"" YELLOW HANDLE E-2264"</t>
  </si>
  <si>
    <t>HAND OPERATED ROTARY BARREL 90MM E-2262</t>
  </si>
  <si>
    <t>HAND OPERATED ROTARY BARREL 95MM E-2262</t>
  </si>
  <si>
    <t>FIEHRN00000215</t>
  </si>
  <si>
    <t>HAND RIVETER 215MM (NYLON HANDLE)</t>
  </si>
  <si>
    <t>HAND RIVETER 255MM E-3012</t>
  </si>
  <si>
    <t>FIEHRR00000285</t>
  </si>
  <si>
    <t>HAND RIVETER 285MM (ROTATING TYPE)</t>
  </si>
  <si>
    <t>HAND RIVETER 321MM E-3012</t>
  </si>
  <si>
    <t>HAND RIVETER 509MM E-3012</t>
  </si>
  <si>
    <t>HOME TOOL KIT 3 PCS</t>
  </si>
  <si>
    <t>HOME TOOL KIT 4 PCS ELECTRICAL</t>
  </si>
  <si>
    <t>HYDRAULIC BOTTLE JACK 10 TON E-2258</t>
  </si>
  <si>
    <t>HYDRAULIC BOTTLE JACK 2 TON E-2258</t>
  </si>
  <si>
    <t>HYDRAULIC BOTTLE JACK 3 TON E-2258</t>
  </si>
  <si>
    <t>HYDRAULIC BOTTLE JACK 5 TON E-2258</t>
  </si>
  <si>
    <t>HYDRAULIC FLOOR JACK 2 TON (HIGH PROFILE) E-3017</t>
  </si>
  <si>
    <t>HYDRAULIC FLOOR JACK 3 TON (HIGH PROFILE) E-3017</t>
  </si>
  <si>
    <t>HYD FLOOR JACK:3 TON (LOW PROFILE) 3017</t>
  </si>
  <si>
    <t>IMPACT DRIVER BIT SET 36MM (SHORT)/E-5001</t>
  </si>
  <si>
    <t>IMPACT DRIVER BIT SET 80MM LONG E-5002</t>
  </si>
  <si>
    <t>IMPACXT DRIVER SET EID-2500-01</t>
  </si>
  <si>
    <t>IMPACXT DRIVER SET EID-2500-02</t>
  </si>
  <si>
    <t>KIT L &amp; T (WIRE STRIPPER, C/S PLIER 8" &amp; BAG )</t>
  </si>
  <si>
    <t>FDLTZP0006</t>
  </si>
  <si>
    <t>L TYPE SPANNER 18 MM WITH HOLE E-2011</t>
  </si>
  <si>
    <t>L TYPE SPANNER 19 MM WITH HOLE E-2011</t>
  </si>
  <si>
    <t>L TYPE SPANNER 21 MM WITH HOLE E-2011</t>
  </si>
  <si>
    <t>"L HANDLE 1/2 X 200 (8") E-2211"</t>
  </si>
  <si>
    <t>"L HANDLE 1/2 X 250 (10") E-2211"</t>
  </si>
  <si>
    <t>"L HANDLE 1/2 X 300 (12") E-2211"</t>
  </si>
  <si>
    <t>"L HANDLE 1/2 X 450 (18") E-2211"</t>
  </si>
  <si>
    <t>"L HANDLE 3/4 X 450 (18") E-2211"</t>
  </si>
  <si>
    <t>"LOCK GRIP PLIER 10"" E-3035"</t>
  </si>
  <si>
    <t>MACHINIST HAMMER 300 GM E-3023</t>
  </si>
  <si>
    <t>MACHINIST HAMMER 500 GM E-3023</t>
  </si>
  <si>
    <t>MACHINIST HAMMER 800 GM E-3023</t>
  </si>
  <si>
    <t>N/SPAR FLAT CHISEL:16X160 MM</t>
  </si>
  <si>
    <t>N/SPARKING HALF ROUND FILE</t>
  </si>
  <si>
    <t>N/SPARKING R/SPANNER:27 X 29 MM</t>
  </si>
  <si>
    <t>N/SPARKING SLEDGE HAMMER:0.45 KG (1P)</t>
  </si>
  <si>
    <t>N/SPARKING SLEDGE HAMMER:2.3 KG (5P)</t>
  </si>
  <si>
    <t>N/SPARKING SLEDGE HAMMER:5.4 KG (12P)</t>
  </si>
  <si>
    <t>NON SPARKING DOE:27 X 29 MM</t>
  </si>
  <si>
    <t>OIL CAN WESCO TYPE:BLACK POWDER COATED 2 PINT 2072</t>
  </si>
  <si>
    <t>OIL CAN WESCO TYPE 1 PINT E-2072A</t>
  </si>
  <si>
    <t>OIL CAN WESCO TYPE 1/2 PINT E-2072A</t>
  </si>
  <si>
    <t>OIL CAN WESCO TYPE 1/4 PINT E-2072A</t>
  </si>
  <si>
    <t>OIL CAN WESCO TYPE 3/4 PINT E-2072A</t>
  </si>
  <si>
    <t>OIL FILTER WRENCH HEAVY DUTY METAL BODY SWIVEL TYPE WITH SINGLE COLOR RED DIP SLEEVE MARUTI E-3022A</t>
  </si>
  <si>
    <t>OIL FILTER WRENCH HEAVY DUTY METAL BODY SWIVEL TYPE WITH SINGLE COLOR RED DIP SLEEVE T.C E-3022A</t>
  </si>
  <si>
    <t>OIL FILTER WRENCH HEAVY DUTY METAL BODY SWIVEL TYPE WITH SINGLE COLOR RED SLEVE TATA SUMO E-3022A</t>
  </si>
  <si>
    <t>"PIPE WRENCH RIGID TYPE 18"" E-2049"</t>
  </si>
  <si>
    <t>"PIPE WRENCH RIGID TYPE 24"" E-2049"</t>
  </si>
  <si>
    <t>"PIPE WRENCH RIGID TYPE 36"" E-2049"</t>
  </si>
  <si>
    <t>PIPE WRENCH RIGID TY:48" DOMESTIC E-2049</t>
  </si>
  <si>
    <t>"PIPE WRENCH RIGID TYPE 12 E-2049"</t>
  </si>
  <si>
    <t>"PIPE WRENCH RIGID TYPE 14 E-2049"</t>
  </si>
  <si>
    <t>"PIPE WRENCH STILSON TYPE:10"" E-2048"</t>
  </si>
  <si>
    <t>"PIPE WRENCH STILSON TYPE:12"" E-2048"</t>
  </si>
  <si>
    <t>PIPE/W STILSON TYPE:12" STEEL HOUSING</t>
  </si>
  <si>
    <t>"PIPE WRENCH STILSON TYPE 14"" E-2048"</t>
  </si>
  <si>
    <t>PIPE/W STILSON TYPE:14" STEEL HOUSING</t>
  </si>
  <si>
    <t>"PIPE WRENCH STILSON TYPE 18"" E-2048"</t>
  </si>
  <si>
    <t>"PIPE WRENCH STILSON TYPE 24"" E-2048"</t>
  </si>
  <si>
    <t>"PIPE WRENCH STILSON TYPE 36"" E-2048"</t>
  </si>
  <si>
    <t>"PIPE WRENCH STILSON TYPE 48"" E-2048</t>
  </si>
  <si>
    <t>PLASTIC DRUM NUT FOR BARREL PUMP 90-95MM</t>
  </si>
  <si>
    <t>PLASTIC HAMMER 25MM E-2066</t>
  </si>
  <si>
    <t>PLASTIC HAMMER 30MM E-2066</t>
  </si>
  <si>
    <t>PLASTIC HAMMER 40MM E-2066</t>
  </si>
  <si>
    <t>PLASTIC HAMMER 50MM E-2066</t>
  </si>
  <si>
    <t>"PLASTIC TOOL BOX 17"" 2250"</t>
  </si>
  <si>
    <t>"PLASTIC TOOL BOX 19"" E-2250"</t>
  </si>
  <si>
    <t>PLUMBER TOOL BOX E-3030</t>
  </si>
  <si>
    <t>PRUNNING SHEARS CURVED 190MM E-3025</t>
  </si>
  <si>
    <t>PRUNNING SHEARS STRAIGHT 185MM E-3025</t>
  </si>
  <si>
    <t>PVC CUTTER 26 MM E-3013</t>
  </si>
  <si>
    <t>PVC CUTTER 42 MM E-3013</t>
  </si>
  <si>
    <t>PVC CUTTER 64 MM E-3013</t>
  </si>
  <si>
    <t>FDRSCVCP003</t>
  </si>
  <si>
    <t>R/S CRV H/P DEEP BCP: 1-1/8 X1-1/4 WW (E-2007)</t>
  </si>
  <si>
    <t>RING SPANNER DEEP 06X07 MM E-2006</t>
  </si>
  <si>
    <t>RING SPANNER DEEP 08X09 MM E-2006</t>
  </si>
  <si>
    <t>RING SPANNER DEEP 10X11 MM E-2006</t>
  </si>
  <si>
    <t>RING SPANNER DEEP 12X13 MM E-2006</t>
  </si>
  <si>
    <t>RING SPANNER DEEP 14X15 MM E-2006</t>
  </si>
  <si>
    <t>RING SPANNER DEEP 16X17 MM E-2006</t>
  </si>
  <si>
    <t>RING SPANNER DEEP 17X19 MM E-2006</t>
  </si>
  <si>
    <t>RING SPANNER DEEP 18X19 MM E-2006</t>
  </si>
  <si>
    <t>RING SPANNER DEEP 19X22 MM E-2006</t>
  </si>
  <si>
    <t>FDRSCVCP001</t>
  </si>
  <si>
    <t>R/S CRV H/P DEEP BCP:1X1-1/8 WW (E-2007)</t>
  </si>
  <si>
    <t>RING SPANNER DEEP 20X22 MM E-2006</t>
  </si>
  <si>
    <t>RING SPANNER DEEP 21X23 MM E-2006</t>
  </si>
  <si>
    <t>RING SPANNER DEEP 24X26 MM E-2006</t>
  </si>
  <si>
    <t>RING SPANNER DEEP 24X27 MM E-2006</t>
  </si>
  <si>
    <t>RING SPANNER DEEP 25X28 MM E-2006</t>
  </si>
  <si>
    <t>FDRSCV03478</t>
  </si>
  <si>
    <t>R/S CRV H/P DEEP BCP:3/4X7/8 WW E-2007</t>
  </si>
  <si>
    <t>RING SPANNER DEEP 30X32 MM E-2006</t>
  </si>
  <si>
    <t>R/S CRV H/P DEEP BCP:32X36 MM (E-2007)</t>
  </si>
  <si>
    <t>R/S CRV H/P DEEP BCP:34X36 MM E-2007</t>
  </si>
  <si>
    <t>R/S CRV H/P DEEP BCP:34X38 MM E-2007</t>
  </si>
  <si>
    <t>R/S CRV H/P DEEP BCP:36X38 MM E-2007</t>
  </si>
  <si>
    <t>R/S CRV H/P DEEP BCP:36X41 MM E-2007</t>
  </si>
  <si>
    <t>RING SPANNER DEEP 41X46 MM E-2007</t>
  </si>
  <si>
    <t>RING SPANNER DEEP 46X50 MM E-2007</t>
  </si>
  <si>
    <t>RING SPANNER DEEP 50X55 MM E-2007</t>
  </si>
  <si>
    <t>RING SPANNER DEEP 55X60 MM E-2007</t>
  </si>
  <si>
    <t>FDRSCV06065</t>
  </si>
  <si>
    <t>R/S CRV H/P DEEP BCP:60 X 65 MM  E-2007</t>
  </si>
  <si>
    <t>KIT-57-100R</t>
  </si>
  <si>
    <t>E-2257</t>
  </si>
  <si>
    <t>KIT-57-60R</t>
  </si>
  <si>
    <t>KIT-57-80R</t>
  </si>
  <si>
    <t>KIT-E2007-10 WITH 19x22</t>
  </si>
  <si>
    <t>RING SHALLOW SET 10 PCS E-2007 (06x07,08x09,10x11,12x13,14x15,16x17,18x19,19x22,24x27,30x32)</t>
  </si>
  <si>
    <t>FDRSWW00002</t>
  </si>
  <si>
    <t>R/S CRV H/P DEEP BCP:7/8X1 MM (E-2007)</t>
  </si>
  <si>
    <t>RING SHALLOW SET 06 PCS (6x7-16x17 MM) E-2007</t>
  </si>
  <si>
    <t>RING SHALLOW SET 08 PCS (6x7-20X22 MM) E-2007</t>
  </si>
  <si>
    <t>RING SHALLOW SET 10 PCS (6x7-24X27 MM) E-2007</t>
  </si>
  <si>
    <t>RING SHALLOW SET 12 PCS (6x7-30X32 MM) E-2007</t>
  </si>
  <si>
    <t>KIT-E2006-08D</t>
  </si>
  <si>
    <t>RING DEEP SET 08 PCS (6x7-20X22MM) E-2006</t>
  </si>
  <si>
    <t>RING DEEP SET 06 PCS (6x7-16x17MM) E-2006</t>
  </si>
  <si>
    <t>RING DEEP SET 10 PCS (6x7-24X27MM) E-2006</t>
  </si>
  <si>
    <t>RING SPANNER SHALLOW E-2007 06X07MM</t>
  </si>
  <si>
    <t>RING SPANNER SHALLOW E-2007 08X09</t>
  </si>
  <si>
    <t>FSVR1122101400</t>
  </si>
  <si>
    <t>RING SPANNER SHALLOW E-2007 1-1/8X1-1/4 WW</t>
  </si>
  <si>
    <t>RING SPANNER SHALLOW E-2007 7/16X1/2 WW</t>
  </si>
  <si>
    <t>RING SPANNER SHALLOW E-2007 1/2X9/16WW</t>
  </si>
  <si>
    <t>RING SPANNER SHALLOW E-2007 3/16X1/4 WW</t>
  </si>
  <si>
    <t>RING SPANNER SHALLOW E-2007 1/8X3/16 WW</t>
  </si>
  <si>
    <t>RING SPANNER SHALLOW E-2007 10X11MM</t>
  </si>
  <si>
    <t>RING SPANNER SHALLOW E-2007 12X13MM</t>
  </si>
  <si>
    <t>RING SPANNER SHALLOW E-2007 14X15MM</t>
  </si>
  <si>
    <t>RING SPANNER SHALLOW E-2007 16X17MM</t>
  </si>
  <si>
    <t>RING SPANNER RECESSED PANEL CRV STEEL CHROME PLATED SHALLOW OFFSET EASTMAN: 17X19MM</t>
  </si>
  <si>
    <t>RING SPANNER SHALLOW E-2007 18X19MM</t>
  </si>
  <si>
    <t>RING SPANNER SHALLOW E-2007 19X22MM</t>
  </si>
  <si>
    <t>RING SPANNER SHALLOW E-2007 1X1-1/8</t>
  </si>
  <si>
    <t>RING SPANNER SHALLOW E-2007 7/8X1 WW</t>
  </si>
  <si>
    <t>RING SPANNER SHALLOW E-2007 20X22MM</t>
  </si>
  <si>
    <t>RING SPANNER SHALLOW E-2007 21X23MM</t>
  </si>
  <si>
    <t>RING SPANNER SHALLOW E-2007 24X26MM</t>
  </si>
  <si>
    <t>RING SPANNER SHALLOW E-2007 24X27MM</t>
  </si>
  <si>
    <t>RING SPANNER SHALLOW E-2007 25X28MM</t>
  </si>
  <si>
    <t>RING SPANNER SHALLOW E-2007 5/16X3/8 WW</t>
  </si>
  <si>
    <t>RING SPANNER SHALLOW E-2007 3/8X7/16WW</t>
  </si>
  <si>
    <t>RING SPANNER SHALLOW E-2007 30X32 MM</t>
  </si>
  <si>
    <t>RING SPANNER SHALLOW E-2007 5/16X7/16WW</t>
  </si>
  <si>
    <t>RING SPANNER SHALLOW E-2007 5/8X3/4WW</t>
  </si>
  <si>
    <t>RING SPANNER SHALLOW E-2007 9/16X5/8 WW</t>
  </si>
  <si>
    <t>RING SPANNER SHALLOW E-2007 7/16X9/16WW</t>
  </si>
  <si>
    <t>RING SPANNER SHALLOW E-2007 9/16X11/16WW</t>
  </si>
  <si>
    <t>RING DEEP SET 12 PCS (6x7-30X32MM) E-2006</t>
  </si>
  <si>
    <t>RING SHALLOW SET 10 PCS SPL (6x7-30x32 MM) E-2007</t>
  </si>
  <si>
    <t>RING SPANNER SHALLOW E-2007 1/4X5/16 WW</t>
  </si>
  <si>
    <t>RING SPANNER SHALLOW WW S/O 6 PCS E-2007</t>
  </si>
  <si>
    <t>RING SPANNER SHALLOW WW S/O 9 PCS E-2007</t>
  </si>
  <si>
    <t>S TYPE RING SPANNER ELLIP. CRV CP 10X11 E-2271</t>
  </si>
  <si>
    <t>S TYPE RING SPANNER ELLIP. CRV CP 12X13 E-2271</t>
  </si>
  <si>
    <t>S TYPE RING SPANNER ELLIP. CRV CP 14X15 E-2271</t>
  </si>
  <si>
    <t>S TYPE RING SPANNER ELLIP. CRV CP 16X17 E-2271</t>
  </si>
  <si>
    <t>S TYPE RING SPANNER ELLIP. CRV CP 18X19 E-2271</t>
  </si>
  <si>
    <t>S.G. CASTING VICE FIX BASE PAINTED BODY HARDEN TAMPED JAW: 3INCH WT. 5.00 KGS. SIVFB</t>
  </si>
  <si>
    <t>S.G. CASTING VICE FIX BASE PAINTED BODY HARDEN TAMPED JAW: 4 INCH WT. 6.400 KGS. SIVFB</t>
  </si>
  <si>
    <t>S.G. CASTING VICE FIX BASE PAINTED BODY HARDEN TAMPED JAW: 6INCH WT. 13.500 KGS. SIVFB</t>
  </si>
  <si>
    <t>S.G. CASTING VICE FIX BASE PAINTED BODY HARDEN TAMPED JAW: 8 INCH WT. 15.800 KGS. SIVFB</t>
  </si>
  <si>
    <t>SCREW DRIVER ELECTRICAL 506 E-2103</t>
  </si>
  <si>
    <t>SCREW DRIVER ELECTRICAL 508 E-2103</t>
  </si>
  <si>
    <t>SCREW DRIVER ELECTRICAL 510 E-2103</t>
  </si>
  <si>
    <t>SCREW DRIVER FLAT TIP 1016 E-2101</t>
  </si>
  <si>
    <t>SCREW DRIVER FLAT TIP 1018 E-2101</t>
  </si>
  <si>
    <t>SCREW DRIVER FLAT TIP 604 E-2101</t>
  </si>
  <si>
    <t>SCREW DRIVER FLAT TIP 606 E-2101</t>
  </si>
  <si>
    <t>SCREW DRIVER FLAT TIP 608 E-2101</t>
  </si>
  <si>
    <t>SCREW DRIVER FLAT TIP 610 E-2101</t>
  </si>
  <si>
    <t>SCREW DRIVER FLAT TIP 806 E-2101</t>
  </si>
  <si>
    <t>SCREW DRIVER FLAT TIP 808 E-2101</t>
  </si>
  <si>
    <t>SCREW DRIVER FLAT TIP 810 E-2101</t>
  </si>
  <si>
    <t>SCREW DRIVER FLAT TIP 812 E-2101</t>
  </si>
  <si>
    <t>NEON TESTER BULB 500 YELLOW GRIP E-2105</t>
  </si>
  <si>
    <t>SCREW DRIVER PHILIP TIP 508 E-2102</t>
  </si>
  <si>
    <t>SCREW DRIVER PHILIP TIP 604 E-2102</t>
  </si>
  <si>
    <t>SCREW DRIVER PHILIP TIP 606 E-2102</t>
  </si>
  <si>
    <t>SCREW DRIVER PHILIP TIP 608 E-2102</t>
  </si>
  <si>
    <t>SCREW DRIVER PHILIP TIP 610 E-2102</t>
  </si>
  <si>
    <t>SCREW DRIVER PHILIP TIP 806 E-2102</t>
  </si>
  <si>
    <t>SCREW DRIVER PHILIP TIP 808 E-2102</t>
  </si>
  <si>
    <t>SCREW DRIVER PHILIP TIP 810 E-2102</t>
  </si>
  <si>
    <t>SCREW DRIVER REVERSIBLE 806R E-2104</t>
  </si>
  <si>
    <t>SCREW DRIVER REVERSIBLE 604R E-2104</t>
  </si>
  <si>
    <t>FDSDAGR0604-OEM</t>
  </si>
  <si>
    <t>SCREW DRIVER:REVERSIBLE 604 OEM(P)</t>
  </si>
  <si>
    <t>SCREW DRIVER REVERSIBLE 606R E-2104</t>
  </si>
  <si>
    <t>SCREW DRIVER REVERSIBLE 610R E-2104</t>
  </si>
  <si>
    <t>FDHSDAR604-BT</t>
  </si>
  <si>
    <t>SCREW DRIVER:REVERSIBLE E-604R-BLACK TIP E-2104E</t>
  </si>
  <si>
    <t>FDHSDAR606-BT</t>
  </si>
  <si>
    <t>SCREW DRIVER:REVERSIBLE E-606R-BLACK TIP E-2104E</t>
  </si>
  <si>
    <t>FDHSDAR608-BT</t>
  </si>
  <si>
    <t>SCREW DRIVER:REVERSIBLE E-608R-BLACK TIP E-2104E</t>
  </si>
  <si>
    <t>FDHSDAR610-BT</t>
  </si>
  <si>
    <t>SCREW DRIVER:REVERSIBLE E-610R-BLACK TIP E-2104E</t>
  </si>
  <si>
    <t>SCREW DRIVER KIT 5 PCS E-2101B</t>
  </si>
  <si>
    <t>SCREW DRIVER KIT 8 PCS E-2101A</t>
  </si>
  <si>
    <t>SIDE CUTTING PLIER 150mm E-2022</t>
  </si>
  <si>
    <t>FDSPSECP100</t>
  </si>
  <si>
    <t>SINGLE OPEN END CP:100MM E-2083</t>
  </si>
  <si>
    <t>FDSPSECP105</t>
  </si>
  <si>
    <t>SINGLE OPEN END CP:105MM E-2083</t>
  </si>
  <si>
    <t>FDSPSECP036</t>
  </si>
  <si>
    <t>SINGLE OPEN END CP:36MM E-2083</t>
  </si>
  <si>
    <t>FDSPSECP038</t>
  </si>
  <si>
    <t>SINGLE OPEN END 38MM E-2083</t>
  </si>
  <si>
    <t>SINGLE OPEN END 41MM E-2083</t>
  </si>
  <si>
    <t>SINGLE OPEN END 46MM E-2083</t>
  </si>
  <si>
    <t>SINGLE OPEN END 50MM E-2083</t>
  </si>
  <si>
    <t>SINGLE OPEN END 55MM E-2083</t>
  </si>
  <si>
    <t>SINGLE OPEN END 60MM E-2083</t>
  </si>
  <si>
    <t>SINGLE OPEN END 65MM E-2083</t>
  </si>
  <si>
    <t>SINGLE OPEN END 70MM E-2083</t>
  </si>
  <si>
    <t>SINGLE OPEN END 75MM E-2083</t>
  </si>
  <si>
    <t>SINGLE OPEN END 80MM E-2083</t>
  </si>
  <si>
    <t>SINGLE OPEN END 85MM E-2083</t>
  </si>
  <si>
    <t>FDSPSECP090</t>
  </si>
  <si>
    <t>SINGLE OPEN END CP:90MM E-2083</t>
  </si>
  <si>
    <t>FDSPSECP095</t>
  </si>
  <si>
    <t>SINGLE OPEN END CP:95MM E-2083</t>
  </si>
  <si>
    <t>SLEDGE HAMMER FIBER 2 LB E-3036 ( Handle Length=10 inch) E-3036</t>
  </si>
  <si>
    <t>SLEDGE HAMMER WITHOUT HANDLE 12LB E-2441</t>
  </si>
  <si>
    <t>SLEDGE HAMMER WITHOUT HANDLE 3LB E-2441</t>
  </si>
  <si>
    <t>SLEDGE HAMMER WITHOUT HANDLE 4LB E-2441</t>
  </si>
  <si>
    <t>SLEDGE HAMMER WITHOUT HANDLE 6LB E-2441</t>
  </si>
  <si>
    <t>SLEDGE HAMMER WITHOUT HANDLE 8LB E-2441</t>
  </si>
  <si>
    <t>SLEDGE HAMMER WITHOUT HANDLE 14LB E-2441</t>
  </si>
  <si>
    <t>SLEDGE HAMMER WITHOUT HANDLE 16LB E-2441</t>
  </si>
  <si>
    <t>SLEDGE HAMMER WITHOUT HANDLE 18LB E-2441</t>
  </si>
  <si>
    <t>SLEDGE HAMMER WITHOUT HANDLE 2LB E-2441</t>
  </si>
  <si>
    <t>SLEDGE HAMMER WITHOUT HANDLE 10LB E-2441</t>
  </si>
  <si>
    <t>FDSHWH00015</t>
  </si>
  <si>
    <t>SLEDGE HAMMER:1.5LB  ( Handle Length=10.5 inch)</t>
  </si>
  <si>
    <t>SLEDGE HAMMER 10 LB E-2440</t>
  </si>
  <si>
    <t>SLEDGE HAMMER 12 LB E-2440</t>
  </si>
  <si>
    <t>SLEDGE HAMMER 14 LB E-2440</t>
  </si>
  <si>
    <t>SLEDGE HAMMER 16 LB E-2440</t>
  </si>
  <si>
    <t>SLEDGE HAMMER 18 LB E-2440</t>
  </si>
  <si>
    <t>FDSHWH00001</t>
  </si>
  <si>
    <t>SLEDGE HAMMER:1LB  ( Handle Length=10.5 inch)</t>
  </si>
  <si>
    <t>SLEDGE HAMMER:2 LB 2440 ( Handle Length=10.5 inch)</t>
  </si>
  <si>
    <t>SLEDGE HAMMER:3 LB FIBER( Handle Length=12 inch) E-3036</t>
  </si>
  <si>
    <t>SLEDGE HAMMER 3 LB E-2440 ( Handle Length=10.5 inch)</t>
  </si>
  <si>
    <t>SLEDGE HAMMER 4 LB E-2440 ( Handle Length=13 inch)</t>
  </si>
  <si>
    <t>SLEDGE HAMMER:4 LB FIBER (Handle Length = 16 inch) E-3036</t>
  </si>
  <si>
    <t>SLEDGE HAMMER 6 LB E-2440 ( Handle Length=24 inch)</t>
  </si>
  <si>
    <t>SLEDGE HAMMER 8 LB E-2440</t>
  </si>
  <si>
    <t>"SLIDING T BAR 1/2 X 250 (10") E-2210"</t>
  </si>
  <si>
    <t>"SLIDING T BAR 1/2 X 300 (12") E-2210"</t>
  </si>
  <si>
    <t>"SLIDING T BAR 3/4 X 450 (18") E-2210"</t>
  </si>
  <si>
    <t>SLOGGING WRENCH OPEN END 100 MM E-2081</t>
  </si>
  <si>
    <t>SLOGGING WRENCH OPEN END 105 MM E-2081</t>
  </si>
  <si>
    <t>SLOGGING WRENCH OPEN END 110 MM E-2081</t>
  </si>
  <si>
    <t>SLOGGING WRENCH OPEN END 115 MM E-2081</t>
  </si>
  <si>
    <t>SLOGGING WRENCH OPEN END 120 MM E-2081</t>
  </si>
  <si>
    <t>SLOGGING WRENCH OPEN END 22 MM E-2081</t>
  </si>
  <si>
    <t>SLOGGING WRENCH OPEN END 24 MM E-2081</t>
  </si>
  <si>
    <t>SLOGGING WRENCH OPEN END 27 MM E-2081</t>
  </si>
  <si>
    <t>SLOGGING WRENCH OPEN END 30 MM E-2081</t>
  </si>
  <si>
    <t>SLOGGING WRENCH OPEN END 32 MM E-2081</t>
  </si>
  <si>
    <t>SLOGGING WRENCH OPEN END 34 MM E-2081</t>
  </si>
  <si>
    <t>SLOGGING WRENCH OPEN END 36 MM E-2081</t>
  </si>
  <si>
    <t>SLOGGING WRENCH OPEN END 38 MM E-2081</t>
  </si>
  <si>
    <t>SLOGGING WRENCH OPEN END 41 MM E-2081</t>
  </si>
  <si>
    <t>SLOGGING WRENCH OPEN END 46 MM E-2081</t>
  </si>
  <si>
    <t>SLOGGING WRENCH OPEN END 48 MM E-2081</t>
  </si>
  <si>
    <t>SLOGGING WRENCH OPEN END 50 MM E-2081</t>
  </si>
  <si>
    <t>SLOGGING WRENCH OPEN END 55 MM E-2081</t>
  </si>
  <si>
    <t>SLOGGING WRENCH OPEN END 60 MM E-2081</t>
  </si>
  <si>
    <t>SLOGGING WRENCH OPEN END 65 MM E-2081</t>
  </si>
  <si>
    <t>SLOGGING WRENCH OPEN END 70 MM E-2081</t>
  </si>
  <si>
    <t>SLOGGING WRENCH OPEN END 75 MM E-2081</t>
  </si>
  <si>
    <t>SLOGGING WRENCH OPEN END 80 MM E-2081</t>
  </si>
  <si>
    <t>SLOGGING WRENCH OPEN END 85 MM E-2081</t>
  </si>
  <si>
    <t>SLOGGING WRENCH OPEN END 90 MM E-2081</t>
  </si>
  <si>
    <t>SLOGGING WRENCH OPEN END 95 MM E-2081</t>
  </si>
  <si>
    <t>SLOGGING WRENCH RING END 100 MM E-2082</t>
  </si>
  <si>
    <t>SLOGGING WRENCH RING END 105 MM E-2082</t>
  </si>
  <si>
    <t>SLOGGING WRENCH RING END 110 MM E-2082</t>
  </si>
  <si>
    <t>SLOGGING WRENCH RING END 120 MM E-2082</t>
  </si>
  <si>
    <t>SLOGGING WRENCH RING END 22 MM E-2082</t>
  </si>
  <si>
    <t>SLOGGING WRENCH RING END 24 MM E-2082</t>
  </si>
  <si>
    <t>SLOGGING WRENCH RING END 27 MM E-2082</t>
  </si>
  <si>
    <t>SLOGGING WRENCH RING END 30 MM E-2082</t>
  </si>
  <si>
    <t>SLOGGING WRENCH RING END 32 MM E-2082</t>
  </si>
  <si>
    <t>SLOGGING WRENCH RING END 34 MM E-2082</t>
  </si>
  <si>
    <t>SLOGGING WRENCH RING END 36 MM E-2082</t>
  </si>
  <si>
    <t>SLOGGING WRENCH RING END 38 MM E-2082</t>
  </si>
  <si>
    <t>SLOGGING WRENCH RING END 41 MM E-2082</t>
  </si>
  <si>
    <t>SLOGGING WRENCH RING END 46 MM E-2082</t>
  </si>
  <si>
    <t>SLOGGING WRENCH RING END 48 MM E-2082</t>
  </si>
  <si>
    <t>SLOGGING WRENCH RING END 50 MM E-2082</t>
  </si>
  <si>
    <t>SLOGGING WRENCH RING END 55 MM E-2082</t>
  </si>
  <si>
    <t>SLOGGING WRENCH RING END 60 MM E-2082</t>
  </si>
  <si>
    <t>SLOGGING WRENCH RING END 65 MM E-2082</t>
  </si>
  <si>
    <t>SLOGGING WRENCH RING END 70 MM E-2082</t>
  </si>
  <si>
    <t>SLOGGING WRENCH RING END 75 MM E-2082</t>
  </si>
  <si>
    <t>SLOGGING WRENCH RING END 80 MM E-2082</t>
  </si>
  <si>
    <t>SLOGGING WRENCH RING END 85 MM E-2082</t>
  </si>
  <si>
    <t>SLOGGING WRENCH RING END 90 MM E-2082</t>
  </si>
  <si>
    <t>SLOGGING WRENCH RING END 95 MM E-2082</t>
  </si>
  <si>
    <t>SPARE MALLET 25 E-2066S</t>
  </si>
  <si>
    <t>SPARE MALLET 30 E-2066S</t>
  </si>
  <si>
    <t>SPARE MALLET 40 E-2066S</t>
  </si>
  <si>
    <t>SPARE MALLET 50 E-2066S</t>
  </si>
  <si>
    <t>SPIRIT LEVEL 300MM WITH MEGNET E-3009</t>
  </si>
  <si>
    <t>STRIKING SCREW DRIVER FLAT TIP 806 E-3029</t>
  </si>
  <si>
    <t>STRIKING SCREW DRIVER FLAT TIP 808 E-3029</t>
  </si>
  <si>
    <t>STRIKING SCREW DRIVER FLAT TIP 810 E-3029</t>
  </si>
  <si>
    <t>STRIKING SCREW DRIVER FLAT TIP 812 E-3029</t>
  </si>
  <si>
    <t>STUBBY REVERSIBLE 601 E-3033</t>
  </si>
  <si>
    <t>T HANDLE ALLENKEY SET OF 10 PC KIT-2409</t>
  </si>
  <si>
    <t>T HANDLE ALLENKEY 10 MM EAK-2409</t>
  </si>
  <si>
    <t>T HANDLE ALLENKEY 2 MM EAK-2409</t>
  </si>
  <si>
    <t>T HANDLE ALLENKEY 2.5 MM EAK-2409</t>
  </si>
  <si>
    <t>T HANDLE ALLENKEY 3 MM EAK-2409</t>
  </si>
  <si>
    <t>T HANDLE ALLENKEY 4 MM EAK-2409</t>
  </si>
  <si>
    <t>T HANDLE ALLENKEY 4.5 MM EAK-2409</t>
  </si>
  <si>
    <t>T HANDLE ALLENKEY 5 MM EAK-2409</t>
  </si>
  <si>
    <t>T HANDLE ALLENKEY 5.5 MM EAK-2409</t>
  </si>
  <si>
    <t>T HANDLE ALLENKEY 6 MM EAK-2409</t>
  </si>
  <si>
    <t>T HANDLE ALLENKEY 8 MM EAK-2409</t>
  </si>
  <si>
    <t>T HANDLE SOCKET WRENCH 06MM E-2218</t>
  </si>
  <si>
    <t>T HANDLE SOCKET WRENCH 07MM E-2218</t>
  </si>
  <si>
    <t>T HANDLE SOCKET WRENCH 08MM E-2218</t>
  </si>
  <si>
    <t>T HANDLE SOCKET WRENCH 09MM E-2218</t>
  </si>
  <si>
    <t>T HANDLE SOCKET WRENCH 10MM E-2218</t>
  </si>
  <si>
    <t>T HANDLE SOCKET WRENCH 11MM E-2218</t>
  </si>
  <si>
    <t>T HANDLE SOCKET WRENCH 12MM E-2218</t>
  </si>
  <si>
    <t>T HANDLE SOCKET WRENCH 13MM E-2218</t>
  </si>
  <si>
    <t>T HANDLE SOCKET WRENCH 14MM E-2218</t>
  </si>
  <si>
    <t>T HANDLE SOCKET WRENCH 15MM E-2218</t>
  </si>
  <si>
    <t>T HANDLE SOCKET WRENCH 17MM E-2218</t>
  </si>
  <si>
    <t>T HANDLE SOCKET WRENCH 19MM E-2218</t>
  </si>
  <si>
    <t>TOMMY BAR 10X190 MM E-2009</t>
  </si>
  <si>
    <t>TOMMY BAR 12X250 MM E-2009</t>
  </si>
  <si>
    <t>TOMMY BAR:12X300 MM</t>
  </si>
  <si>
    <t>CANTI LEVER TOOL BOX 3 CABINET E-2265</t>
  </si>
  <si>
    <t>CANTI LEVER TOOL BOX 5 CABINET E-2265</t>
  </si>
  <si>
    <t>TOOL TROLLEY 7 DRAWERS E-2251</t>
  </si>
  <si>
    <t>TUB.BOX SPANNER Z/PLATED HD SET OF 6 PCS 2016</t>
  </si>
  <si>
    <t>TUB.BOX SPANNER SET OF 8 PCS E-2016</t>
  </si>
  <si>
    <t>TUB.BOX SPANNER Z/PLATED HD SETOF 12 PCS 2016</t>
  </si>
  <si>
    <t>TUBULAR BOX SPANNER 06X07MM E-2016</t>
  </si>
  <si>
    <t>TUBULAR BOX SPANNER 08X09MM E-2016</t>
  </si>
  <si>
    <t>TUBULAR BOX SPANNER 10X11MM E-2016</t>
  </si>
  <si>
    <t>TUBULAR BOX SPANNER 12X13MM E-2016</t>
  </si>
  <si>
    <t>TUBULAR BOX SPANNER 14X15MM E-2016</t>
  </si>
  <si>
    <t>TUBULAR BOX SPANNER 16X17MM E-2016</t>
  </si>
  <si>
    <t>TUBULAR BOX SPANNER 18X19MM E-2016</t>
  </si>
  <si>
    <t>TUBULAR BOX SPANNER 20X22MM E-2016</t>
  </si>
  <si>
    <t>TUBULAR BOX SPANNER 21X23MM E-2016</t>
  </si>
  <si>
    <t>TUBULAR BOX SPANNERS CARBON STEEL ZINC PLATED: 22X24MM E-2016</t>
  </si>
  <si>
    <t>TUBULAR BOX SPANNER 24X26MM E-2016</t>
  </si>
  <si>
    <t>TUBULAR BOX SPANNER 24X27MM E-2016</t>
  </si>
  <si>
    <t>TUBULAR BOX SPANNER 25X28MM E-2016</t>
  </si>
  <si>
    <t>TUBULAR BOX SPANNER 27X32MM E-2016</t>
  </si>
  <si>
    <t>TUBULAR BOX SPANNER 30X32MM E-2016</t>
  </si>
  <si>
    <t>"TYRE LEVER 18" E-3021</t>
  </si>
  <si>
    <t>"TYRE LEVER 20"" E-3021"</t>
  </si>
  <si>
    <t>"TYRE LEVER 24"" E-3021"</t>
  </si>
  <si>
    <t>WATER PUMP PLIER BOX JOINT CRV DOUBLE COLOR SLEEVE 250MM WT: 420 GM E-2030E</t>
  </si>
  <si>
    <t>WATER PUMP PLIER BOX JOINT CRV SINGLE COLOR SLEEVE 250MM WT: 410 GM E-2030D</t>
  </si>
  <si>
    <t>WATER PUMP PLIER BOX JOINT CRV STEEL WITHOUT SLEEVE 250MM (10) WT: 400 GM E-2030A</t>
  </si>
  <si>
    <t>WATER PUMP PLIER SLIP JOINT TYPE 10" Without Sleeve E-2030B</t>
  </si>
  <si>
    <t>WHEEL SPANNER 24X27 NH E-2010</t>
  </si>
  <si>
    <t>KIT-E2010-3032 BCP BOP</t>
  </si>
  <si>
    <t>WHEEL SPANNER BCP 30X32 MM WITH TOMMY BAR 19x400 MM</t>
  </si>
  <si>
    <t>FDWSPC03032</t>
  </si>
  <si>
    <t>WHEEL SPANNER CARBON STEEL E-2010 BLACK : 30X32MM</t>
  </si>
  <si>
    <t>FDWSPC03033</t>
  </si>
  <si>
    <t>WHEEL SPANNER CARBON STEEL E-2010 BLACK : 30X33MM</t>
  </si>
  <si>
    <t>FDWSPC03233</t>
  </si>
  <si>
    <t>WHEEL SPANNER CARBON STEEL E-2010 BLACK : 32X33MM</t>
  </si>
  <si>
    <t>FDWSPC03333</t>
  </si>
  <si>
    <t>WHEEL SPANNER CARBON STEEL E-2010 BLACK : 33X33MM</t>
  </si>
  <si>
    <t>FDWSPC03333-20"</t>
  </si>
  <si>
    <t>WHEEL SPANNER CARBON STEEL E-2010 BLACK : 33X33MM 20INCH</t>
  </si>
  <si>
    <t>FDWSPC02730</t>
  </si>
  <si>
    <t>WHEEL SPANNER CARBON STEEL E-2010 BLACK : 27X30MM</t>
  </si>
  <si>
    <t>FDWSPC02733</t>
  </si>
  <si>
    <t>WHEEL SPANNER BLACK E-2010: 27X33MM</t>
  </si>
  <si>
    <t>FDWSPC03232</t>
  </si>
  <si>
    <t>WHEEL SPANNER CARBON STEEL E-2010 BLACK : 32X32MM</t>
  </si>
  <si>
    <t>WHEEL SPANNER 15X16/1-1/8 E-2010</t>
  </si>
  <si>
    <t>WHEEL SPANNER 27X27 E-2010</t>
  </si>
  <si>
    <t>WHEEL SPANNER 32X33 E-2010</t>
  </si>
  <si>
    <t>WIRE STRIPPER 130MM E-2024</t>
  </si>
  <si>
    <t>FDWSWSR0002</t>
  </si>
  <si>
    <t>WIRE STRIPPER CUTTER 150MM E-2024</t>
  </si>
  <si>
    <t>Y-HANDLE SOCKET:10 X 12 X 14/E-2220</t>
  </si>
  <si>
    <t>Y-HANDLE SOCKET:8 X 10 X 12/E-2220</t>
  </si>
  <si>
    <t>COGS</t>
  </si>
  <si>
    <t>Cost me</t>
  </si>
  <si>
    <t>Battery 1530</t>
  </si>
  <si>
    <t>Battery 2036</t>
  </si>
  <si>
    <t>Fusion 3</t>
  </si>
  <si>
    <t>Fusion 5</t>
  </si>
  <si>
    <t>Fusion 53</t>
  </si>
  <si>
    <t>Fusion 6</t>
  </si>
  <si>
    <t>Fusion 63</t>
  </si>
  <si>
    <t>Fusion 103</t>
  </si>
  <si>
    <t>Fusion 203</t>
  </si>
  <si>
    <t>lithum battery Ukava</t>
  </si>
  <si>
    <t>Loom Caml Battery</t>
  </si>
  <si>
    <t>Solar Panel 590</t>
  </si>
  <si>
    <t>UTL PSU LED</t>
  </si>
  <si>
    <t>UTL SMU MPPT</t>
  </si>
  <si>
    <t>UTL SMU RMPPT</t>
  </si>
  <si>
    <t>AC AL wire 2 core 10mm</t>
  </si>
  <si>
    <t>AC AL wire 2 core 16mm</t>
  </si>
  <si>
    <t>AC Wire 4mm</t>
  </si>
  <si>
    <t>AC Wire 6mm</t>
  </si>
  <si>
    <t>ACDB</t>
  </si>
  <si>
    <t>ACDB 3p</t>
  </si>
  <si>
    <t>ACDB 3p 63A</t>
  </si>
  <si>
    <t>Al wire 10mm</t>
  </si>
  <si>
    <t>Al wire 16mm</t>
  </si>
  <si>
    <t>Back Fill Cumpound</t>
  </si>
  <si>
    <t>Base Plate</t>
  </si>
  <si>
    <t>C JOINTER (Inner)</t>
  </si>
  <si>
    <t xml:space="preserve">C JOINTER PLATE </t>
  </si>
  <si>
    <t>Changeover</t>
  </si>
  <si>
    <t>Controllers</t>
  </si>
  <si>
    <t>DC Wire</t>
  </si>
  <si>
    <t>DCDB</t>
  </si>
  <si>
    <t>DCDB 2in2out 3p</t>
  </si>
  <si>
    <t>DCDB 3p</t>
  </si>
  <si>
    <t>DEGREE</t>
  </si>
  <si>
    <t>Earthing pit cover</t>
  </si>
  <si>
    <t>Earthing rod 2mt</t>
  </si>
  <si>
    <t>Earthing rod 3mt</t>
  </si>
  <si>
    <t>Earthing strip</t>
  </si>
  <si>
    <t>LA 1mt</t>
  </si>
  <si>
    <t>LA 2mt</t>
  </si>
  <si>
    <t>mc4 connector</t>
  </si>
  <si>
    <t>mc4 nile wala wrench</t>
  </si>
  <si>
    <t>mini rail 300x41x31</t>
  </si>
  <si>
    <t>mini rail 300x45x60</t>
  </si>
  <si>
    <t>Sigma 5048</t>
  </si>
  <si>
    <t>T2 connector</t>
  </si>
  <si>
    <t>Zero Export Device 1P</t>
  </si>
  <si>
    <t xml:space="preserve">FLAP DISC /FELT WHEEL </t>
  </si>
  <si>
    <t xml:space="preserve">FLAP DISC /MAT WHEEL </t>
  </si>
  <si>
    <t xml:space="preserve">FLAP DISC /VELRO PAD </t>
  </si>
  <si>
    <t>FLAP DISC 100M 6804</t>
  </si>
  <si>
    <t>Antiskid</t>
  </si>
  <si>
    <t>Butyl</t>
  </si>
  <si>
    <t>Duct</t>
  </si>
  <si>
    <t>Floor Marking</t>
  </si>
  <si>
    <t>HDPE</t>
  </si>
  <si>
    <t>Kapton</t>
  </si>
  <si>
    <t>Nano Magic</t>
  </si>
  <si>
    <t>PVC</t>
  </si>
  <si>
    <t>Reflective</t>
  </si>
  <si>
    <t>Teflon</t>
  </si>
  <si>
    <t>Thermal</t>
  </si>
  <si>
    <t>Tissue</t>
  </si>
  <si>
    <t>Tape</t>
  </si>
  <si>
    <t>Cable lug pin 10</t>
  </si>
  <si>
    <t>Cable lug pin 16</t>
  </si>
  <si>
    <t>Cable lug pin 4-6</t>
  </si>
  <si>
    <t>Cable lug ring 10</t>
  </si>
  <si>
    <t>Cable lug ring 16</t>
  </si>
  <si>
    <t>Cable lug ring 4-6</t>
  </si>
  <si>
    <t>cable tie 250x4 white</t>
  </si>
  <si>
    <t>Cable tie 500x5</t>
  </si>
  <si>
    <t>Cable tie ss 450x4.6</t>
  </si>
  <si>
    <t>FASTERNER 10MM</t>
  </si>
  <si>
    <t>Fastners</t>
  </si>
  <si>
    <t>Fastners 8mm</t>
  </si>
  <si>
    <t>GALVALUMEZM SHEET</t>
  </si>
  <si>
    <t>GI</t>
  </si>
  <si>
    <t>GI CLIP</t>
  </si>
  <si>
    <t xml:space="preserve">GI Nut, Bolt &amp; Washer </t>
  </si>
  <si>
    <t>GI Washer FLAT</t>
  </si>
  <si>
    <t>GIBRACING ANGLE</t>
  </si>
  <si>
    <t>GINut, Bolt &amp; Washer</t>
  </si>
  <si>
    <t>GISLOTTED / UNSLOTTED</t>
  </si>
  <si>
    <t>HDG Nut, Bolt &amp; Washer</t>
  </si>
  <si>
    <t>Nut Bolts</t>
  </si>
  <si>
    <t>Nut Bolts str</t>
  </si>
  <si>
    <t xml:space="preserve">PERLIN JOINTER  </t>
  </si>
  <si>
    <t>spring nut</t>
  </si>
  <si>
    <t>Sprinkler</t>
  </si>
  <si>
    <t>ss allen bolt</t>
  </si>
  <si>
    <t>u clamp set</t>
  </si>
  <si>
    <t>water drain clip</t>
  </si>
  <si>
    <t>z clamp set</t>
  </si>
  <si>
    <t>Morphy Wheel</t>
  </si>
  <si>
    <t>Mounting Point</t>
  </si>
  <si>
    <t xml:space="preserve">RIVET 1/8X1/2 </t>
  </si>
  <si>
    <t xml:space="preserve">RIVET 3/16X1/2 </t>
  </si>
  <si>
    <t xml:space="preserve">RIVET 3/16X3/4 </t>
  </si>
  <si>
    <t xml:space="preserve">RIVET 5/32X1/2 </t>
  </si>
  <si>
    <t xml:space="preserve">RIVET 5/32X3/4 </t>
  </si>
  <si>
    <t>Taparia HDC10210</t>
  </si>
  <si>
    <t>Taparia HDC10310</t>
  </si>
  <si>
    <t>Taparia HDC12210</t>
  </si>
  <si>
    <t>Taparia HDC12310</t>
  </si>
  <si>
    <t>Taparia HDC16210</t>
  </si>
  <si>
    <t>Taparia HDC16310</t>
  </si>
  <si>
    <t>Taparia HDC6210</t>
  </si>
  <si>
    <t>Taparia HDC8210</t>
  </si>
  <si>
    <t>Taparia HDC8310</t>
  </si>
  <si>
    <t>Drill Bit cement</t>
  </si>
  <si>
    <t>Nuts &amp; Iron</t>
  </si>
  <si>
    <t>Golden Drill Bit</t>
  </si>
  <si>
    <t>Drill 1/2" Golden</t>
  </si>
  <si>
    <t>Drill 1/4" Golden</t>
  </si>
  <si>
    <t>Drill 1/8" Golden</t>
  </si>
  <si>
    <t>Drill 13/32" Golden</t>
  </si>
  <si>
    <t>Drill 3/16" Golden</t>
  </si>
  <si>
    <t>Drill 3/8" Golden</t>
  </si>
  <si>
    <t>Drill 5/16" Golden</t>
  </si>
  <si>
    <t>Drill 5/32" Golden</t>
  </si>
  <si>
    <t>Drill 7/16" Golden</t>
  </si>
  <si>
    <t>Drill 9/32" Golden</t>
  </si>
  <si>
    <t>Rivet per pc</t>
  </si>
  <si>
    <t>BRUSH CUP 100M 9603</t>
  </si>
  <si>
    <t>BRUSH CUP 75M 9603</t>
  </si>
  <si>
    <t>CUTTER BT /PLANER 8203</t>
  </si>
  <si>
    <t>CUTTER WD 100M 8202</t>
  </si>
  <si>
    <t>CUTTER WD 125M 8202</t>
  </si>
  <si>
    <t>CW 5 WHEEL 6804</t>
  </si>
  <si>
    <t>DRILL CHUCK 13M 8466</t>
  </si>
  <si>
    <t>DRILL HD 10X310 8207</t>
  </si>
  <si>
    <t>Drill Set</t>
  </si>
  <si>
    <t>Plier 8"</t>
  </si>
  <si>
    <t>REGMAR VELCRO 6805</t>
  </si>
  <si>
    <t>Blades &amp; Cups</t>
  </si>
  <si>
    <t>SCREW DRIVER BIT 110M</t>
  </si>
  <si>
    <t>SCREW DRIVER BIT 65M</t>
  </si>
  <si>
    <t>Megnatic Bits</t>
  </si>
  <si>
    <t>Zed</t>
  </si>
  <si>
    <t>loom solar solar panel Shark 590</t>
  </si>
  <si>
    <t>Earthing rod</t>
  </si>
  <si>
    <t>Back Fill Cumpound Bhoomi</t>
  </si>
  <si>
    <t>CB Lightni ng Arrest or</t>
  </si>
  <si>
    <t>Loom Solar Fusion 103</t>
  </si>
  <si>
    <t>Sigma 5048 with 4 battery</t>
  </si>
  <si>
    <t>lithum battery ALI25E48100P560</t>
  </si>
  <si>
    <t>ACDB 1p</t>
  </si>
  <si>
    <t>DCDB 1p</t>
  </si>
  <si>
    <t>mc4 sibass</t>
  </si>
  <si>
    <t>mc4 nbjjh</t>
  </si>
  <si>
    <t>mc4 crimping tool</t>
  </si>
  <si>
    <t>ehi lug crimping</t>
  </si>
  <si>
    <t>mc4 wrench</t>
  </si>
  <si>
    <t>t2 connector</t>
  </si>
  <si>
    <t>SCREW DRIVER BIT 65M 8205</t>
  </si>
  <si>
    <t>SCREW DRIVER BIT 110M 8205</t>
  </si>
  <si>
    <t>FLAP DISC /VELRO PAD 6804</t>
  </si>
  <si>
    <t>RIVET 1/8X1/2 7318</t>
  </si>
  <si>
    <t>RIVET 5/32X1/2 7318</t>
  </si>
  <si>
    <t>RIVET 5/32X3/4 7318</t>
  </si>
  <si>
    <t>RIVET 3/16X1/2 7318</t>
  </si>
  <si>
    <t>RIVET 3/16X3/4 7318</t>
  </si>
  <si>
    <t>FLAP DISC /MAT WHEEL 6804</t>
  </si>
  <si>
    <t>FLAP DISC /FELT WHEEL 6804</t>
  </si>
  <si>
    <t>Drill 1/8"</t>
  </si>
  <si>
    <t>Drill 3/16"</t>
  </si>
  <si>
    <t>Drill 5/32"</t>
  </si>
  <si>
    <t>Drill 1/4"</t>
  </si>
  <si>
    <t>Drill 5/16"</t>
  </si>
  <si>
    <t>Drill 3/8"</t>
  </si>
  <si>
    <t>Drill 13/32"</t>
  </si>
  <si>
    <t>Drill 7/16"</t>
  </si>
  <si>
    <t>Drill 1/2"</t>
  </si>
  <si>
    <t>Drill 9/16"</t>
  </si>
  <si>
    <t>Drill 5/8"</t>
  </si>
  <si>
    <t>Drill 11/16"</t>
  </si>
  <si>
    <t>Drill 15mm</t>
  </si>
  <si>
    <t>Drill 18mm</t>
  </si>
  <si>
    <t>Drill 19mm</t>
  </si>
  <si>
    <t>Drill 20mm</t>
  </si>
  <si>
    <t xml:space="preserve"> Hybrid 103</t>
  </si>
  <si>
    <t>Caml Battery</t>
  </si>
  <si>
    <t>10.00</t>
  </si>
  <si>
    <t>16.50</t>
  </si>
  <si>
    <t>21.00</t>
  </si>
  <si>
    <t>12.50</t>
  </si>
  <si>
    <t>98.00</t>
  </si>
  <si>
    <t>119.00</t>
  </si>
  <si>
    <t>500.00</t>
  </si>
  <si>
    <t>625.00</t>
  </si>
  <si>
    <t>40.00</t>
  </si>
  <si>
    <t>55.00</t>
  </si>
  <si>
    <t>78.00</t>
  </si>
  <si>
    <t>13.00</t>
  </si>
  <si>
    <t>290.00</t>
  </si>
  <si>
    <t>390.00</t>
  </si>
  <si>
    <t>430.00</t>
  </si>
  <si>
    <t>495.00</t>
  </si>
  <si>
    <t>550.00</t>
  </si>
  <si>
    <t>485.00</t>
  </si>
  <si>
    <t>75.00</t>
  </si>
  <si>
    <t>32.00</t>
  </si>
  <si>
    <t>35.00</t>
  </si>
  <si>
    <t>Polishes</t>
  </si>
  <si>
    <t>Shampoo</t>
  </si>
  <si>
    <t>COATINGS</t>
  </si>
  <si>
    <t>fresheners</t>
  </si>
  <si>
    <t>WOOD PERFUME</t>
  </si>
  <si>
    <t>CAR PERFUME (GEL)</t>
  </si>
  <si>
    <t xml:space="preserve">Auto Cleaners </t>
  </si>
  <si>
    <t>Windshield Washer</t>
  </si>
  <si>
    <t>Waxes</t>
  </si>
  <si>
    <t>Tools &amp; Accessories</t>
  </si>
  <si>
    <t>Concentrates</t>
  </si>
  <si>
    <t>Compounds</t>
  </si>
  <si>
    <t>All In One - Multipurpose Polish</t>
  </si>
  <si>
    <t>All In One Polish + Sealant</t>
  </si>
  <si>
    <t>Tyre Polish (Spray Gun)</t>
  </si>
  <si>
    <t>Ultimate Tyre Polish</t>
  </si>
  <si>
    <t>Bike Polish</t>
  </si>
  <si>
    <t>Ultimate Bike Polish</t>
  </si>
  <si>
    <t>Dashboard &amp; Interior Polish</t>
  </si>
  <si>
    <t>Ultimate Polish</t>
  </si>
  <si>
    <t>Matte Finish- For Matte Surface (Spray Gun)</t>
  </si>
  <si>
    <t>Leather detailer (Spray Gun)</t>
  </si>
  <si>
    <t>Extreme shine tyre shiner (spray gun)</t>
  </si>
  <si>
    <t>All in one polish + Ceramic</t>
  </si>
  <si>
    <t>One step Rubbing compound</t>
  </si>
  <si>
    <t>Wash &amp; Gloss – Auto Shampoo – |Red |</t>
  </si>
  <si>
    <t>Foam Blaster – Auto Shampoo - |Blue |</t>
  </si>
  <si>
    <t>Wash + Wax Shampoo - |Yellow|</t>
  </si>
  <si>
    <t>Matte Auto Shampoo |Transparent|</t>
  </si>
  <si>
    <t>Graphene Ceramic Shampoo</t>
  </si>
  <si>
    <t>Colour Foam shampoo| pink, yellow, blue, green|</t>
  </si>
  <si>
    <t>Nano Ceramic coating -SIO2_x000D_
Infused</t>
  </si>
  <si>
    <t>Graphene Coating – Graphene_x000D_
Infused</t>
  </si>
  <si>
    <t>Glass &amp; Windshield coating</t>
  </si>
  <si>
    <t>Trim coating</t>
  </si>
  <si>
    <t>Ceramic spray Guard</t>
  </si>
  <si>
    <t>Graphene spray Guard</t>
  </si>
  <si>
    <t>Rain Repellent</t>
  </si>
  <si>
    <t>Pre-Treatment Spray</t>
  </si>
  <si>
    <t>REAL ROSE – Mist</t>
  </si>
  <si>
    <t>CHERRY BLAST- Mist</t>
  </si>
  <si>
    <t>SECRET SIGNATURE - Mist</t>
  </si>
  <si>
    <t>MANGOLICIOUS- Mist</t>
  </si>
  <si>
    <t>BLACK FROST - Mist</t>
  </si>
  <si>
    <t>SEA BREEZE - Mist</t>
  </si>
  <si>
    <t>AQUA MARINE - Mist</t>
  </si>
  <si>
    <t>LUSTY MELON - Mist</t>
  </si>
  <si>
    <t>MUSK</t>
  </si>
  <si>
    <t>ROSE 31</t>
  </si>
  <si>
    <t>OUD WOOD</t>
  </si>
  <si>
    <t>CITRUS</t>
  </si>
  <si>
    <t>OUD INFINI</t>
  </si>
  <si>
    <t>FRESH LEMON</t>
  </si>
  <si>
    <t>BLACK ICE</t>
  </si>
  <si>
    <t>AQUA MARINE</t>
  </si>
  <si>
    <t>Total Interior Cleaner – READY TO USE –_x000D_
(Spray Gun)</t>
  </si>
  <si>
    <t>ALL PURPOSE CLEANER &amp; DEGREASER– READY TO USE –_x000D_
(Spray Gun)</t>
  </si>
  <si>
    <t>Leather Cleaner – Ready to Use –_x000D_
(Spray Gun)</t>
  </si>
  <si>
    <t>WINDSHIELD WASHER FLUID CONCENTRATE 1:10</t>
  </si>
  <si>
    <t>GLASS CLEANER – READY TO USE_x000D_
(Spray Gun)</t>
  </si>
  <si>
    <t>Liquid Carnauba wax</t>
  </si>
  <si>
    <t>HARD WAX</t>
  </si>
  <si>
    <t>Sponge</t>
  </si>
  <si>
    <t>Spray Gun</t>
  </si>
  <si>
    <t>Mist</t>
  </si>
  <si>
    <t>Micro fiber cloth (40* 40 cm) (350gsm)</t>
  </si>
  <si>
    <t>Microfiber cloth 1200gsm (40*60cm)</t>
  </si>
  <si>
    <t>Round wax applicator</t>
  </si>
  <si>
    <t>Clay bar blocks</t>
  </si>
  <si>
    <t>Foam pads heavy/medium/final finish</t>
  </si>
  <si>
    <t>Dual Action polisher machine</t>
  </si>
  <si>
    <t>Foam sprayer 2liter</t>
  </si>
  <si>
    <t>Black detailing brushes set of 5</t>
  </si>
  <si>
    <t>Rocket Tyre cleaning brush</t>
  </si>
  <si>
    <t>Tyre/Wheel cleaning brush</t>
  </si>
  <si>
    <t>Microfiber towel 50*80 blue color</t>
  </si>
  <si>
    <t>Foam canon heavy quality</t>
  </si>
  <si>
    <t>Car detailing Black bucket</t>
  </si>
  <si>
    <t>BUCKET GRIT</t>
  </si>
  <si>
    <t>Leather Cleaning brush</t>
  </si>
  <si>
    <t>Water less wash 1:100</t>
  </si>
  <si>
    <t>ALL PURPOSE CLEANER &amp; DEGREASER 1:10</t>
  </si>
  <si>
    <t>Glass cleaner 1:10</t>
  </si>
  <si>
    <t>Heavy cut Compound</t>
  </si>
  <si>
    <t>Medium cut compound</t>
  </si>
  <si>
    <t>Final finish compound</t>
  </si>
  <si>
    <t>200ml</t>
  </si>
  <si>
    <t>500ml</t>
  </si>
  <si>
    <t>100gm/250gm</t>
  </si>
  <si>
    <t>30ml/50ml/500ml/1liter</t>
  </si>
  <si>
    <t>30ml/50ml</t>
  </si>
  <si>
    <t>50GM</t>
  </si>
  <si>
    <t>100GM</t>
  </si>
  <si>
    <t>180GM</t>
  </si>
  <si>
    <t>2.5x3.5 cm</t>
  </si>
  <si>
    <t>Black</t>
  </si>
  <si>
    <t>white</t>
  </si>
  <si>
    <t>Grey| Blue| Light Blue | Orange| Purple</t>
  </si>
  <si>
    <t>Grey both side</t>
  </si>
  <si>
    <t>Yellow / Red / Black – 4inch Diameter</t>
  </si>
  <si>
    <t>Purple – 100gm</t>
  </si>
  <si>
    <t>USA MADE – 6INCH DA/RO</t>
  </si>
  <si>
    <t>China made – 6Inch, 1100w, black</t>
  </si>
  <si>
    <t>China made – Heavy hdpe</t>
  </si>
  <si>
    <t>China made heavy quality</t>
  </si>
  <si>
    <t>China made heavy quality C green color</t>
  </si>
  <si>
    <t>China made red color</t>
  </si>
  <si>
    <t>1200gsm</t>
  </si>
  <si>
    <t>Yellow + transparent</t>
  </si>
  <si>
    <t>Black color round 20 liter with lid</t>
  </si>
  <si>
    <t>RED COLOR – 26CM DIAMETER</t>
  </si>
  <si>
    <t>PP material – Horse hair</t>
  </si>
  <si>
    <t>450ml</t>
  </si>
  <si>
    <t>Rs.100/250</t>
  </si>
  <si>
    <t>Rs. 1800 / Rs.3000/ Rs. 24000/Rs. 36000</t>
  </si>
  <si>
    <t>Rs. 2400 / Rs.4000/ Rs. 30000/Rs.44000</t>
  </si>
  <si>
    <t>Rs. 1100 / Rs.1840</t>
  </si>
  <si>
    <t>RS. 399</t>
  </si>
  <si>
    <t>RS. 699</t>
  </si>
  <si>
    <t>RS. 299</t>
  </si>
  <si>
    <t>RS. 599</t>
  </si>
  <si>
    <t>Rs. 699</t>
  </si>
  <si>
    <t>Rs. 399</t>
  </si>
  <si>
    <t>RS. 899</t>
  </si>
  <si>
    <t>Rs. 899</t>
  </si>
  <si>
    <t>RS._x000D_
1999/RS.2499</t>
  </si>
  <si>
    <t>RS._x000D_
2499/RS.2999</t>
  </si>
  <si>
    <t>RS. 1499/RS.1999</t>
  </si>
  <si>
    <t>RS. 1299</t>
  </si>
  <si>
    <t>RS. 1499</t>
  </si>
  <si>
    <t>Rs.699</t>
  </si>
  <si>
    <t>RS. 499</t>
  </si>
  <si>
    <t>Foxcare</t>
  </si>
  <si>
    <t xml:space="preserve">PRODUCT NAME </t>
  </si>
  <si>
    <t xml:space="preserve">QUALITY </t>
  </si>
  <si>
    <t>LENGTH</t>
  </si>
  <si>
    <t>PRICE [ BOTTOM ]</t>
  </si>
  <si>
    <t>THERMAL</t>
  </si>
  <si>
    <t>250 MIC</t>
  </si>
  <si>
    <t>25 MTR</t>
  </si>
  <si>
    <t>15/- PER MM</t>
  </si>
  <si>
    <t>50MTR</t>
  </si>
  <si>
    <t>30 /- PER MM</t>
  </si>
  <si>
    <t>KAPTON</t>
  </si>
  <si>
    <t>2 MIL</t>
  </si>
  <si>
    <t>33 MTR</t>
  </si>
  <si>
    <t>8/- PER MM</t>
  </si>
  <si>
    <t xml:space="preserve">MASKING </t>
  </si>
  <si>
    <t>130 MICRON</t>
  </si>
  <si>
    <t xml:space="preserve">18MTR </t>
  </si>
  <si>
    <t xml:space="preserve">0.50 /- PER MM </t>
  </si>
  <si>
    <t>VHB GREY</t>
  </si>
  <si>
    <t>0.8MM</t>
  </si>
  <si>
    <t xml:space="preserve">7 MTR </t>
  </si>
  <si>
    <t>2.90 /- PER MM</t>
  </si>
  <si>
    <t>1MM</t>
  </si>
  <si>
    <t>2.90/- PER MM</t>
  </si>
  <si>
    <t>2MM</t>
  </si>
  <si>
    <t xml:space="preserve">4.5MTR </t>
  </si>
  <si>
    <t>2.85/- PER MM</t>
  </si>
  <si>
    <t>VHB CLEAR</t>
  </si>
  <si>
    <t xml:space="preserve">10 MTR </t>
  </si>
  <si>
    <t>D/S RED POLYSTER</t>
  </si>
  <si>
    <t>130 MIC</t>
  </si>
  <si>
    <t xml:space="preserve">50MTR </t>
  </si>
  <si>
    <t xml:space="preserve">7/- PERMM </t>
  </si>
  <si>
    <t>160 MIC</t>
  </si>
  <si>
    <t>8.25/- PERMM</t>
  </si>
  <si>
    <t>210 MIC</t>
  </si>
  <si>
    <t>9.25/- PER MM</t>
  </si>
  <si>
    <t xml:space="preserve">CROSS FILAMENT </t>
  </si>
  <si>
    <t>150 MIC</t>
  </si>
  <si>
    <t xml:space="preserve">48MMX45MTR </t>
  </si>
  <si>
    <t>132/- PLUS GST PER PC. PRICE</t>
  </si>
  <si>
    <t>TEFLON H.R</t>
  </si>
  <si>
    <t>WITH RELEASER</t>
  </si>
  <si>
    <t>10.50/- PER MM</t>
  </si>
  <si>
    <t>WITHOUT RELEASER</t>
  </si>
  <si>
    <t>9.50/- PER MM</t>
  </si>
  <si>
    <t>SPF B/W</t>
  </si>
  <si>
    <t>60 MIC</t>
  </si>
  <si>
    <t>SPF  B/W</t>
  </si>
  <si>
    <t>90 MIC</t>
  </si>
  <si>
    <t>SPF CLEAR</t>
  </si>
  <si>
    <t>30 MIC</t>
  </si>
  <si>
    <t>90MIC</t>
  </si>
  <si>
    <t>SPF BLUE</t>
  </si>
  <si>
    <t>S/S POLYSTER</t>
  </si>
  <si>
    <t>55 MIC</t>
  </si>
  <si>
    <t>2 MIL [ 50 MTR]</t>
  </si>
  <si>
    <t>3.75/- PER MM</t>
  </si>
  <si>
    <t>COPPER FOIL</t>
  </si>
  <si>
    <t xml:space="preserve">25 MTR </t>
  </si>
  <si>
    <t xml:space="preserve">34/- PER MM </t>
  </si>
  <si>
    <t>ALUMINIUM</t>
  </si>
  <si>
    <t>18 MTR</t>
  </si>
  <si>
    <t xml:space="preserve">48MMX18MTR@54/- PLUS GST PER PC. </t>
  </si>
  <si>
    <t>20 MTR</t>
  </si>
  <si>
    <t xml:space="preserve">48MMX18MTR@60/- PLUS GST PER PC. </t>
  </si>
  <si>
    <t xml:space="preserve">BUTYL </t>
  </si>
  <si>
    <t>CHINESE</t>
  </si>
  <si>
    <t>5MTR</t>
  </si>
  <si>
    <t>48MMX5MTR@190/- PLUS GST PER PC.</t>
  </si>
  <si>
    <t>INDIAN</t>
  </si>
  <si>
    <t>48MMX5MTR@205/- PLUS GST PER PC.</t>
  </si>
  <si>
    <t xml:space="preserve">PVC </t>
  </si>
  <si>
    <t>NON FR</t>
  </si>
  <si>
    <t>6.5MTR</t>
  </si>
  <si>
    <t>16MMX6.5MTR@162/- PLUS GST PER MINI BOX</t>
  </si>
  <si>
    <t>FR</t>
  </si>
  <si>
    <t>16MMX6.5MTR@168/- PLUS GST PER MINI BOX</t>
  </si>
  <si>
    <t>15MTR</t>
  </si>
  <si>
    <t>16MMX15MTR@12.50/- PLUS GST PER PC. PRICE</t>
  </si>
  <si>
    <t>S/S CLOTH</t>
  </si>
  <si>
    <t>BLACK</t>
  </si>
  <si>
    <t>WHITE</t>
  </si>
  <si>
    <t>RAYON</t>
  </si>
  <si>
    <t>D/S CLOTH [ WHITE CLOTH WITH YELLOW RELEASER ]</t>
  </si>
  <si>
    <t xml:space="preserve">NORMAL </t>
  </si>
  <si>
    <t xml:space="preserve">18 MTR </t>
  </si>
  <si>
    <t>3.50/- PER MM</t>
  </si>
  <si>
    <t>D/S FOAM  [ WHITE FOAM  WITH YELLOW RELEASER ]</t>
  </si>
  <si>
    <t>2MM THICKNESS</t>
  </si>
  <si>
    <t>3 MTR</t>
  </si>
  <si>
    <t xml:space="preserve">0.40/- PER MM </t>
  </si>
  <si>
    <t xml:space="preserve">HDPE </t>
  </si>
  <si>
    <t>48MMX45MTR@125/- PLUS GST PER PC.</t>
  </si>
  <si>
    <t>COTTON FRICTION [ BLACK ]</t>
  </si>
  <si>
    <t>EVA FOAM [ D/S ] COMES IN BLUE, RED &amp; GREEN RELEASER WITH BLACK FOAM ]</t>
  </si>
  <si>
    <t xml:space="preserve"> 2MM</t>
  </si>
  <si>
    <t>10MTR / 2MM</t>
  </si>
  <si>
    <t>1.50/- PER MM</t>
  </si>
  <si>
    <t xml:space="preserve"> 3MM</t>
  </si>
  <si>
    <t>3MM</t>
  </si>
  <si>
    <t>1.85/- PER MM</t>
  </si>
  <si>
    <t xml:space="preserve"> 4 MM</t>
  </si>
  <si>
    <t>4MM</t>
  </si>
  <si>
    <t>2.25/- PER MM</t>
  </si>
  <si>
    <t>EVA FOAM [ S/S ] SPACER/GASKET</t>
  </si>
  <si>
    <t xml:space="preserve">10MTR </t>
  </si>
  <si>
    <t>1.10/- PER MM</t>
  </si>
  <si>
    <t>1.60 /- PER MM</t>
  </si>
  <si>
    <t>1.90/- PER MM</t>
  </si>
  <si>
    <t>5MM</t>
  </si>
  <si>
    <t>2.25/- PER  MM</t>
  </si>
  <si>
    <t>6MM</t>
  </si>
  <si>
    <t>2.50/- PER MM</t>
  </si>
  <si>
    <t>PE FOAM [ D/S]</t>
  </si>
  <si>
    <t>ANTI SKID[ ECO]</t>
  </si>
  <si>
    <t xml:space="preserve"> BLACK</t>
  </si>
  <si>
    <t>18MTR</t>
  </si>
  <si>
    <t>16/- PER MM</t>
  </si>
  <si>
    <t>TRANSPARENT</t>
  </si>
  <si>
    <t>YELLOW</t>
  </si>
  <si>
    <t>ZEBRA[Y/B]</t>
  </si>
  <si>
    <t>ANTI SKID[ PRO]</t>
  </si>
  <si>
    <t xml:space="preserve">20/- PER MM  </t>
  </si>
  <si>
    <t>GID</t>
  </si>
  <si>
    <t xml:space="preserve">22/- PER MM  </t>
  </si>
  <si>
    <t xml:space="preserve">SECURITY </t>
  </si>
  <si>
    <t>S/S</t>
  </si>
  <si>
    <t>5.50/- PER MM</t>
  </si>
  <si>
    <t>D/S</t>
  </si>
  <si>
    <t>7/- PER MM</t>
  </si>
  <si>
    <t>REFLECTIVE</t>
  </si>
  <si>
    <t>ECO</t>
  </si>
  <si>
    <t xml:space="preserve">45mtr </t>
  </si>
  <si>
    <t>8.50 /- PER MM</t>
  </si>
  <si>
    <t>FINE LINE MASKING</t>
  </si>
  <si>
    <t>55MTR</t>
  </si>
  <si>
    <t>17/- PER MM</t>
  </si>
  <si>
    <t>KRAFT PAPER TAPE [ ECO - FRIENDLY ]</t>
  </si>
  <si>
    <t>WRITABLE</t>
  </si>
  <si>
    <t>48MMX45MTR@103/- PLUS GST PER PC. PRICE</t>
  </si>
  <si>
    <t>NON- WRITABLE</t>
  </si>
  <si>
    <t>48MMX45MTR@93/- PLUS GST PER PC. PRICE</t>
  </si>
  <si>
    <t xml:space="preserve">REINFORCED [ WARNING ] PRINTED WITH RED COLOUR PRINT </t>
  </si>
  <si>
    <t>72MMX50MTR@415/- PLUS GST PER PC. PRICE</t>
  </si>
  <si>
    <t xml:space="preserve">KRAFT PAPER TAPE [ ECO-FRIENDLY ] REINFORCED - WATER ACTIVATED </t>
  </si>
  <si>
    <t xml:space="preserve">48MMX45MTR@123/- PLUS GST PER PC. PRICE </t>
  </si>
  <si>
    <t>DRY WALL</t>
  </si>
  <si>
    <t>48MMX45MTR@62/- PLUS GST PER PC. PRICE</t>
  </si>
  <si>
    <t>NANO DOUBLE SIDED</t>
  </si>
  <si>
    <t>4.50 /- PER MM</t>
  </si>
  <si>
    <t>5/- PER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</si>
</sst>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\ [$INR]"/>
    <numFmt numFmtId="165" formatCode="yyyy\-m"/>
  </numFmts>
  <fonts count="21">
    <font>
      <sz val="11"/>
      <color theme="1"/>
      <name val="Aptos Narrow"/>
      <family val="2"/>
      <scheme val="minor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ptos Narrow"/>
      <scheme val="minor"/>
    </font>
    <font>
      <sz val="11"/>
      <color rgb="FF000000"/>
      <name val="&quot;\0022Aptos Narrow\0022&quot;"/>
    </font>
    <font>
      <sz val="11"/>
      <color rgb="FF000000"/>
      <name val="Calibri"/>
    </font>
    <font>
      <sz val="11"/>
      <color rgb="FF000000"/>
      <name val="Arial"/>
    </font>
    <font>
      <u/>
      <sz val="10"/>
      <color rgb="FF000000"/>
      <name val="Arial"/>
    </font>
    <font>
      <u/>
      <sz val="11"/>
      <color rgb="FF000000"/>
      <name val="&quot;\0022Aptos Narrow\0022&quot;"/>
    </font>
    <font>
      <sz val="11"/>
      <color rgb="FF000000"/>
      <name val="&quot;Aptos Narrow&quot;"/>
    </font>
    <font>
      <u/>
      <sz val="10"/>
      <color rgb="FF0000FF"/>
      <name val="Arial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0"/>
      <color rgb="FF000000"/>
      <name val="Arial"/>
      <family val="2"/>
    </font>
    <font>
      <sz val="11"/>
      <color indexed="8"/>
      <name val="Calibri"/>
      <family val="2"/>
    </font>
    <font>
      <b/>
      <i/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772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5" fillId="0" borderId="0" applyNumberFormat="0" applyFill="0" applyBorder="0" applyAlignment="0" applyProtection="0"/>
    <xf numFmtId="0" fontId="16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164" fontId="2" fillId="0" borderId="0" xfId="0" applyNumberFormat="1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165" fontId="4" fillId="0" borderId="0" xfId="0" applyNumberFormat="1" applyFont="1" applyAlignment="1">
      <alignment horizontal="right"/>
    </xf>
    <xf numFmtId="0" fontId="0" fillId="0" borderId="0" xfId="0"/>
    <xf numFmtId="0" fontId="0" fillId="0" borderId="0" xfId="0"/>
    <xf numFmtId="0" fontId="11" fillId="0" borderId="0" xfId="0" applyFont="1"/>
    <xf numFmtId="0" fontId="12" fillId="0" borderId="0" xfId="0" applyFont="1"/>
    <xf numFmtId="0" fontId="11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4" fillId="0" borderId="0" xfId="0" applyFont="1"/>
    <xf numFmtId="0" fontId="12" fillId="0" borderId="0" xfId="0" applyFont="1" applyAlignment="1">
      <alignment horizontal="right"/>
    </xf>
    <xf numFmtId="3" fontId="0" fillId="0" borderId="0" xfId="0" applyNumberFormat="1"/>
    <xf numFmtId="0" fontId="0" fillId="0" borderId="0" xfId="0"/>
    <xf numFmtId="0" fontId="8" fillId="0" borderId="0" xfId="0" applyFont="1"/>
    <xf numFmtId="0" fontId="0" fillId="0" borderId="0" xfId="0"/>
    <xf numFmtId="0" fontId="2" fillId="0" borderId="0" xfId="0" applyFont="1"/>
    <xf numFmtId="0" fontId="7" fillId="0" borderId="0" xfId="0" applyFont="1"/>
    <xf numFmtId="0" fontId="4" fillId="0" borderId="0" xfId="0" applyFont="1"/>
    <xf numFmtId="0" fontId="17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10" fontId="0" fillId="0" borderId="0" xfId="0" applyNumberFormat="1"/>
    <xf numFmtId="0" fontId="19" fillId="0" borderId="0" xfId="0" applyFont="1"/>
    <xf numFmtId="0" fontId="20" fillId="0" borderId="0" xfId="2" applyFont="1"/>
    <xf numFmtId="0" fontId="16" fillId="0" borderId="0" xfId="2"/>
    <xf numFmtId="0" fontId="15" fillId="0" borderId="0" xfId="1" applyAlignment="1"/>
    <xf numFmtId="0" fontId="16" fillId="0" borderId="0" xfId="2" applyAlignment="1">
      <alignment wrapText="1"/>
    </xf>
    <xf numFmtId="0" fontId="16" fillId="0" borderId="0" xfId="2" applyAlignment="1">
      <alignment horizontal="center" wrapText="1"/>
    </xf>
  </cellXfs>
  <cellStyles count="3">
    <cellStyle name="Hyperlink" xfId="1" builtinId="8"/>
    <cellStyle name="Normal" xfId="0" builtinId="0"/>
    <cellStyle name="Normal 2" xfId="2" xr:uid="{D19B3EF1-9CC1-420F-9C70-4B0621B53E31}"/>
  </cellStyles>
  <dxfs count="1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16MMX15MTR@12.50/-%20PLUS%20GST%20PER%20PC.%20PRICE" TargetMode="External"/><Relationship Id="rId13" Type="http://schemas.openxmlformats.org/officeDocument/2006/relationships/hyperlink" Target="mailto:48MMX45MTR@123/-%20PLUS%20GST%20PER%20PC.%20PRICE" TargetMode="External"/><Relationship Id="rId3" Type="http://schemas.openxmlformats.org/officeDocument/2006/relationships/hyperlink" Target="mailto:48MMX45MTR@125/-%20PLUS%20GST%20PER%20PC." TargetMode="External"/><Relationship Id="rId7" Type="http://schemas.openxmlformats.org/officeDocument/2006/relationships/hyperlink" Target="mailto:16MMX6.5MTR@162/-%20PLUS%20GST%20PER%20MINI%20BOX" TargetMode="External"/><Relationship Id="rId12" Type="http://schemas.openxmlformats.org/officeDocument/2006/relationships/hyperlink" Target="mailto:72MMX50MTR@415/-%20PLUS%20GST%20PER%20PC.%20PRICE" TargetMode="External"/><Relationship Id="rId2" Type="http://schemas.openxmlformats.org/officeDocument/2006/relationships/hyperlink" Target="mailto:48MMX5MTR@190/-%20PLUS%20GST%20PER%20PC." TargetMode="External"/><Relationship Id="rId1" Type="http://schemas.openxmlformats.org/officeDocument/2006/relationships/hyperlink" Target="mailto:48MMX5MTR@205/-%20PLUS%20GST%20PER%20PC." TargetMode="External"/><Relationship Id="rId6" Type="http://schemas.openxmlformats.org/officeDocument/2006/relationships/hyperlink" Target="mailto:16MMX6.5MTR@168/-%20PLUS%20GST%20PER%20MINI%20BOX" TargetMode="External"/><Relationship Id="rId11" Type="http://schemas.openxmlformats.org/officeDocument/2006/relationships/hyperlink" Target="mailto:48MMX45MTR@93/-%20PLUS%20GST%20PER%20PC.%20PRICE" TargetMode="External"/><Relationship Id="rId5" Type="http://schemas.openxmlformats.org/officeDocument/2006/relationships/hyperlink" Target="mailto:48MMX18MTR@60/-%20PLUS%20GST%20PER%20PC." TargetMode="External"/><Relationship Id="rId10" Type="http://schemas.openxmlformats.org/officeDocument/2006/relationships/hyperlink" Target="mailto:48MMX45MTR@103/-%20PLUS%20GST%20PER%20PC.%20PRICE" TargetMode="External"/><Relationship Id="rId4" Type="http://schemas.openxmlformats.org/officeDocument/2006/relationships/hyperlink" Target="mailto:48MMX18MTR@54/-%20PLUS%20GST%20PER%20PC." TargetMode="External"/><Relationship Id="rId9" Type="http://schemas.openxmlformats.org/officeDocument/2006/relationships/hyperlink" Target="mailto:48MMX45MTR@62/-%20PLUS%20GST%20PER%20PC.%20PR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F2F70-D1BF-44E2-90B8-B0E4DAB2F558}">
  <dimension ref="A1:AU1202"/>
  <sheetViews>
    <sheetView topLeftCell="E1" workbookViewId="0">
      <pane ySplit="1" topLeftCell="A2" activePane="bottomLeft" state="frozen"/>
      <selection pane="bottomLeft" activeCell="W1" sqref="W1"/>
    </sheetView>
  </sheetViews>
  <sheetFormatPr defaultRowHeight="14.4"/>
  <cols>
    <col min="4" max="4" width="144" bestFit="1" customWidth="1"/>
    <col min="5" max="5" width="18.77734375" customWidth="1"/>
    <col min="6" max="19" width="8.88671875" customWidth="1"/>
    <col min="23" max="23" width="8.88671875" style="14"/>
  </cols>
  <sheetData>
    <row r="1" spans="1:4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1218</v>
      </c>
      <c r="W1" s="29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3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32</v>
      </c>
      <c r="AU1" s="1"/>
    </row>
    <row r="2" spans="1:47">
      <c r="A2" s="4"/>
      <c r="B2" s="4"/>
      <c r="C2" s="5"/>
      <c r="D2" s="5"/>
      <c r="E2" s="6"/>
      <c r="F2" s="4"/>
      <c r="G2" s="6"/>
      <c r="H2" s="7"/>
      <c r="I2" s="7"/>
      <c r="J2" s="7"/>
      <c r="K2" s="7"/>
      <c r="L2" s="7"/>
      <c r="M2" s="2"/>
      <c r="N2" s="2"/>
      <c r="O2" s="2"/>
      <c r="P2" s="2"/>
      <c r="Q2" s="8"/>
      <c r="R2" s="9"/>
      <c r="S2" s="4"/>
      <c r="T2" s="9"/>
      <c r="U2" s="9"/>
      <c r="V2" s="9"/>
      <c r="W2" s="9"/>
      <c r="X2" s="4"/>
      <c r="Y2" s="6"/>
      <c r="Z2" s="9"/>
      <c r="AA2" s="23"/>
      <c r="AB2" s="24"/>
      <c r="AC2" s="4"/>
      <c r="AD2" s="4"/>
      <c r="AE2" s="2"/>
      <c r="AF2" s="2"/>
      <c r="AG2" s="2"/>
      <c r="AH2" s="2"/>
      <c r="AI2" s="2"/>
      <c r="AJ2" s="7"/>
      <c r="AK2" s="2"/>
      <c r="AL2" s="2"/>
      <c r="AM2" s="2"/>
      <c r="AN2" s="2"/>
      <c r="AO2" s="2"/>
      <c r="AP2" s="2"/>
      <c r="AQ2" s="2"/>
      <c r="AR2" s="2"/>
      <c r="AS2" s="2"/>
      <c r="AT2" s="10"/>
      <c r="AU2" s="9"/>
    </row>
    <row r="3" spans="1:47">
      <c r="A3" s="4"/>
      <c r="B3" s="4"/>
      <c r="C3" s="5"/>
      <c r="D3" s="5"/>
      <c r="E3" s="6"/>
      <c r="F3" s="4"/>
      <c r="G3" s="6"/>
      <c r="H3" s="7"/>
      <c r="I3" s="11"/>
      <c r="J3" s="7"/>
      <c r="K3" s="7"/>
      <c r="L3" s="7"/>
      <c r="M3" s="2"/>
      <c r="N3" s="2"/>
      <c r="O3" s="2"/>
      <c r="P3" s="2"/>
      <c r="Q3" s="8"/>
      <c r="R3" s="9"/>
      <c r="S3" s="4"/>
      <c r="T3" s="9"/>
      <c r="U3" s="9"/>
      <c r="V3" s="9"/>
      <c r="W3" s="9"/>
      <c r="X3" s="4"/>
      <c r="Y3" s="6"/>
      <c r="Z3" s="4"/>
      <c r="AA3" s="4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10"/>
      <c r="AU3" s="9"/>
    </row>
    <row r="4" spans="1:47">
      <c r="A4" s="4"/>
      <c r="B4" s="4"/>
      <c r="C4" s="5"/>
      <c r="D4" s="5"/>
      <c r="E4" s="6"/>
      <c r="F4" s="4"/>
      <c r="G4" s="6"/>
      <c r="H4" s="7"/>
      <c r="I4" s="7"/>
      <c r="J4" s="7"/>
      <c r="K4" s="7"/>
      <c r="L4" s="7"/>
      <c r="M4" s="2"/>
      <c r="N4" s="2"/>
      <c r="O4" s="2"/>
      <c r="P4" s="2"/>
      <c r="Q4" s="8"/>
      <c r="R4" s="9"/>
      <c r="S4" s="4"/>
      <c r="T4" s="9"/>
      <c r="U4" s="9"/>
      <c r="V4" s="9"/>
      <c r="W4" s="9"/>
      <c r="X4" s="4"/>
      <c r="Y4" s="6"/>
      <c r="Z4" s="9"/>
      <c r="AA4" s="23"/>
      <c r="AB4" s="24"/>
      <c r="AC4" s="4"/>
      <c r="AD4" s="4"/>
      <c r="AE4" s="2"/>
      <c r="AF4" s="2"/>
      <c r="AG4" s="2"/>
      <c r="AH4" s="2"/>
      <c r="AI4" s="2"/>
      <c r="AJ4" s="7"/>
      <c r="AK4" s="2"/>
      <c r="AL4" s="2"/>
      <c r="AM4" s="2"/>
      <c r="AN4" s="2"/>
      <c r="AO4" s="2"/>
      <c r="AP4" s="2"/>
      <c r="AQ4" s="2"/>
      <c r="AR4" s="2"/>
      <c r="AS4" s="2"/>
      <c r="AT4" s="10"/>
      <c r="AU4" s="9"/>
    </row>
    <row r="5" spans="1:47">
      <c r="A5" s="4"/>
      <c r="B5" s="4"/>
      <c r="C5" s="5"/>
      <c r="D5" s="5"/>
      <c r="E5" s="6"/>
      <c r="F5" s="4"/>
      <c r="G5" s="6"/>
      <c r="H5" s="7"/>
      <c r="I5" s="7"/>
      <c r="J5" s="7"/>
      <c r="K5" s="7"/>
      <c r="L5" s="7"/>
      <c r="M5" s="2"/>
      <c r="N5" s="2"/>
      <c r="O5" s="2"/>
      <c r="P5" s="2"/>
      <c r="Q5" s="8"/>
      <c r="R5" s="9"/>
      <c r="S5" s="4"/>
      <c r="T5" s="9"/>
      <c r="U5" s="9"/>
      <c r="V5" s="9"/>
      <c r="W5" s="9"/>
      <c r="X5" s="4"/>
      <c r="Y5" s="6"/>
      <c r="Z5" s="4"/>
      <c r="AA5" s="23"/>
      <c r="AB5" s="24"/>
      <c r="AC5" s="2"/>
      <c r="AD5" s="2"/>
      <c r="AE5" s="2"/>
      <c r="AF5" s="2"/>
      <c r="AG5" s="2"/>
      <c r="AH5" s="2"/>
      <c r="AI5" s="2"/>
      <c r="AJ5" s="7"/>
      <c r="AK5" s="2"/>
      <c r="AL5" s="2"/>
      <c r="AM5" s="2"/>
      <c r="AN5" s="2"/>
      <c r="AO5" s="2"/>
      <c r="AP5" s="2"/>
      <c r="AQ5" s="2"/>
      <c r="AR5" s="2"/>
      <c r="AS5" s="2"/>
      <c r="AT5" s="10"/>
      <c r="AU5" s="9"/>
    </row>
    <row r="6" spans="1:47">
      <c r="A6" s="4"/>
      <c r="B6" s="4"/>
      <c r="C6" s="5"/>
      <c r="D6" s="5"/>
      <c r="E6" s="6"/>
      <c r="F6" s="4"/>
      <c r="G6" s="6"/>
      <c r="H6" s="7"/>
      <c r="I6" s="7"/>
      <c r="J6" s="7"/>
      <c r="K6" s="7"/>
      <c r="L6" s="7"/>
      <c r="M6" s="7"/>
      <c r="N6" s="2"/>
      <c r="O6" s="2"/>
      <c r="P6" s="2"/>
      <c r="Q6" s="8"/>
      <c r="R6" s="9"/>
      <c r="S6" s="4"/>
      <c r="T6" s="9"/>
      <c r="U6" s="9"/>
      <c r="V6" s="9"/>
      <c r="W6" s="9"/>
      <c r="X6" s="4"/>
      <c r="Y6" s="6"/>
      <c r="Z6" s="9"/>
      <c r="AA6" s="23"/>
      <c r="AB6" s="24"/>
      <c r="AC6" s="4"/>
      <c r="AD6" s="4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10"/>
      <c r="AU6" s="9"/>
    </row>
    <row r="7" spans="1:47">
      <c r="A7" s="4"/>
      <c r="B7" s="4"/>
      <c r="C7" s="5"/>
      <c r="D7" s="5"/>
      <c r="E7" s="6"/>
      <c r="F7" s="4"/>
      <c r="G7" s="6"/>
      <c r="H7" s="7"/>
      <c r="I7" s="7"/>
      <c r="J7" s="7"/>
      <c r="K7" s="7"/>
      <c r="L7" s="7"/>
      <c r="M7" s="7"/>
      <c r="N7" s="7"/>
      <c r="O7" s="7"/>
      <c r="P7" s="2"/>
      <c r="Q7" s="8"/>
      <c r="R7" s="9"/>
      <c r="S7" s="4"/>
      <c r="T7" s="9"/>
      <c r="U7" s="9"/>
      <c r="V7" s="9"/>
      <c r="W7" s="9"/>
      <c r="X7" s="4"/>
      <c r="Y7" s="6"/>
      <c r="Z7" s="4"/>
      <c r="AA7" s="23"/>
      <c r="AB7" s="24"/>
      <c r="AC7" s="2"/>
      <c r="AD7" s="2"/>
      <c r="AE7" s="2"/>
      <c r="AF7" s="2"/>
      <c r="AG7" s="2"/>
      <c r="AH7" s="2"/>
      <c r="AI7" s="2"/>
      <c r="AJ7" s="2"/>
      <c r="AK7" s="2"/>
      <c r="AL7" s="25"/>
      <c r="AM7" s="24"/>
      <c r="AN7" s="2"/>
      <c r="AO7" s="2"/>
      <c r="AP7" s="2"/>
      <c r="AQ7" s="2"/>
      <c r="AR7" s="2"/>
      <c r="AS7" s="2"/>
      <c r="AT7" s="10"/>
      <c r="AU7" s="9"/>
    </row>
    <row r="8" spans="1:47">
      <c r="A8" s="4"/>
      <c r="B8" s="4"/>
      <c r="C8" s="5"/>
      <c r="D8" s="5"/>
      <c r="E8" s="6"/>
      <c r="F8" s="4"/>
      <c r="G8" s="6"/>
      <c r="H8" s="7"/>
      <c r="I8" s="7"/>
      <c r="J8" s="7"/>
      <c r="K8" s="7"/>
      <c r="L8" s="2"/>
      <c r="M8" s="2"/>
      <c r="N8" s="2"/>
      <c r="O8" s="2"/>
      <c r="P8" s="2"/>
      <c r="Q8" s="8"/>
      <c r="R8" s="9"/>
      <c r="S8" s="4"/>
      <c r="T8" s="9"/>
      <c r="U8" s="9"/>
      <c r="V8" s="9"/>
      <c r="W8" s="9"/>
      <c r="X8" s="4"/>
      <c r="Y8" s="6"/>
      <c r="Z8" s="4"/>
      <c r="AA8" s="4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10"/>
      <c r="AU8" s="9"/>
    </row>
    <row r="9" spans="1:47">
      <c r="A9" s="4"/>
      <c r="B9" s="4"/>
      <c r="C9" s="5"/>
      <c r="D9" s="5"/>
      <c r="E9" s="6"/>
      <c r="F9" s="4"/>
      <c r="G9" s="6"/>
      <c r="H9" s="7"/>
      <c r="I9" s="7"/>
      <c r="J9" s="7"/>
      <c r="K9" s="7"/>
      <c r="L9" s="7"/>
      <c r="M9" s="2"/>
      <c r="N9" s="2"/>
      <c r="O9" s="2"/>
      <c r="P9" s="2"/>
      <c r="Q9" s="8"/>
      <c r="R9" s="9"/>
      <c r="S9" s="4"/>
      <c r="T9" s="9"/>
      <c r="U9" s="9"/>
      <c r="V9" s="9"/>
      <c r="W9" s="9"/>
      <c r="X9" s="4"/>
      <c r="Y9" s="6"/>
      <c r="Z9" s="4"/>
      <c r="AA9" s="23"/>
      <c r="AB9" s="24"/>
      <c r="AC9" s="2"/>
      <c r="AD9" s="2"/>
      <c r="AE9" s="2"/>
      <c r="AF9" s="2"/>
      <c r="AG9" s="2"/>
      <c r="AH9" s="2"/>
      <c r="AI9" s="2"/>
      <c r="AJ9" s="7"/>
      <c r="AK9" s="2"/>
      <c r="AL9" s="2"/>
      <c r="AM9" s="2"/>
      <c r="AN9" s="2"/>
      <c r="AO9" s="2"/>
      <c r="AP9" s="2"/>
      <c r="AQ9" s="2"/>
      <c r="AR9" s="2"/>
      <c r="AS9" s="2"/>
      <c r="AT9" s="10"/>
      <c r="AU9" s="9"/>
    </row>
    <row r="10" spans="1:47">
      <c r="A10" s="4"/>
      <c r="B10" s="4"/>
      <c r="C10" s="5"/>
      <c r="D10" s="5"/>
      <c r="E10" s="6"/>
      <c r="F10" s="4"/>
      <c r="G10" s="6"/>
      <c r="H10" s="7"/>
      <c r="I10" s="7"/>
      <c r="J10" s="7"/>
      <c r="K10" s="7"/>
      <c r="L10" s="7"/>
      <c r="M10" s="7"/>
      <c r="N10" s="2"/>
      <c r="O10" s="2"/>
      <c r="P10" s="2"/>
      <c r="Q10" s="8"/>
      <c r="R10" s="9"/>
      <c r="S10" s="4"/>
      <c r="T10" s="9"/>
      <c r="U10" s="9"/>
      <c r="V10" s="9"/>
      <c r="W10" s="9"/>
      <c r="X10" s="4"/>
      <c r="Y10" s="6"/>
      <c r="Z10" s="4"/>
      <c r="AA10" s="23"/>
      <c r="AB10" s="24"/>
      <c r="AC10" s="2"/>
      <c r="AD10" s="2"/>
      <c r="AE10" s="2"/>
      <c r="AF10" s="2"/>
      <c r="AG10" s="2"/>
      <c r="AH10" s="2"/>
      <c r="AI10" s="2"/>
      <c r="AJ10" s="7"/>
      <c r="AK10" s="2"/>
      <c r="AL10" s="2"/>
      <c r="AM10" s="2"/>
      <c r="AN10" s="2"/>
      <c r="AO10" s="2"/>
      <c r="AP10" s="2"/>
      <c r="AQ10" s="2"/>
      <c r="AR10" s="2"/>
      <c r="AS10" s="2"/>
      <c r="AT10" s="10"/>
      <c r="AU10" s="9"/>
    </row>
    <row r="11" spans="1:47">
      <c r="A11" s="4"/>
      <c r="B11" s="4"/>
      <c r="C11" s="5"/>
      <c r="D11" s="5"/>
      <c r="E11" s="6"/>
      <c r="F11" s="4"/>
      <c r="G11" s="6"/>
      <c r="H11" s="7"/>
      <c r="I11" s="7"/>
      <c r="J11" s="7"/>
      <c r="K11" s="7"/>
      <c r="L11" s="7"/>
      <c r="M11" s="2"/>
      <c r="N11" s="2"/>
      <c r="O11" s="2"/>
      <c r="P11" s="2"/>
      <c r="Q11" s="8"/>
      <c r="R11" s="9"/>
      <c r="S11" s="4"/>
      <c r="T11" s="9"/>
      <c r="U11" s="9"/>
      <c r="V11" s="9"/>
      <c r="W11" s="9"/>
      <c r="X11" s="4"/>
      <c r="Y11" s="6"/>
      <c r="Z11" s="9"/>
      <c r="AA11" s="23"/>
      <c r="AB11" s="24"/>
      <c r="AC11" s="4"/>
      <c r="AD11" s="4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10"/>
      <c r="AU11" s="9"/>
    </row>
    <row r="12" spans="1:47">
      <c r="A12" s="4"/>
      <c r="B12" s="4"/>
      <c r="C12" s="5"/>
      <c r="D12" s="5"/>
      <c r="E12" s="6"/>
      <c r="F12" s="4"/>
      <c r="G12" s="6"/>
      <c r="H12" s="7"/>
      <c r="I12" s="7"/>
      <c r="J12" s="7"/>
      <c r="K12" s="7"/>
      <c r="L12" s="7"/>
      <c r="M12" s="2"/>
      <c r="N12" s="2"/>
      <c r="O12" s="2"/>
      <c r="P12" s="2"/>
      <c r="Q12" s="8"/>
      <c r="R12" s="9"/>
      <c r="S12" s="4"/>
      <c r="T12" s="9"/>
      <c r="U12" s="9"/>
      <c r="V12" s="9"/>
      <c r="W12" s="9"/>
      <c r="X12" s="4"/>
      <c r="Y12" s="6"/>
      <c r="Z12" s="9"/>
      <c r="AA12" s="23"/>
      <c r="AB12" s="24"/>
      <c r="AC12" s="4"/>
      <c r="AD12" s="4"/>
      <c r="AE12" s="2"/>
      <c r="AF12" s="2"/>
      <c r="AG12" s="2"/>
      <c r="AH12" s="2"/>
      <c r="AI12" s="2"/>
      <c r="AJ12" s="7"/>
      <c r="AK12" s="2"/>
      <c r="AL12" s="2"/>
      <c r="AM12" s="2"/>
      <c r="AN12" s="2"/>
      <c r="AO12" s="2"/>
      <c r="AP12" s="2"/>
      <c r="AQ12" s="2"/>
      <c r="AR12" s="2"/>
      <c r="AS12" s="2"/>
      <c r="AT12" s="10"/>
      <c r="AU12" s="9"/>
    </row>
    <row r="13" spans="1:47">
      <c r="A13" s="4"/>
      <c r="B13" s="4"/>
      <c r="C13" s="5"/>
      <c r="D13" s="5"/>
      <c r="E13" s="6"/>
      <c r="F13" s="4"/>
      <c r="G13" s="6"/>
      <c r="H13" s="7"/>
      <c r="I13" s="7"/>
      <c r="J13" s="7"/>
      <c r="K13" s="7"/>
      <c r="L13" s="7"/>
      <c r="M13" s="2"/>
      <c r="N13" s="2"/>
      <c r="O13" s="2"/>
      <c r="P13" s="2"/>
      <c r="Q13" s="8"/>
      <c r="R13" s="9"/>
      <c r="S13" s="4"/>
      <c r="T13" s="9"/>
      <c r="U13" s="9"/>
      <c r="V13" s="9"/>
      <c r="W13" s="9"/>
      <c r="X13" s="4"/>
      <c r="Y13" s="6"/>
      <c r="Z13" s="9"/>
      <c r="AA13" s="23"/>
      <c r="AB13" s="24"/>
      <c r="AC13" s="4"/>
      <c r="AD13" s="4"/>
      <c r="AE13" s="2"/>
      <c r="AF13" s="2"/>
      <c r="AG13" s="2"/>
      <c r="AH13" s="2"/>
      <c r="AI13" s="2"/>
      <c r="AJ13" s="7"/>
      <c r="AK13" s="2"/>
      <c r="AL13" s="2"/>
      <c r="AM13" s="2"/>
      <c r="AN13" s="2"/>
      <c r="AO13" s="2"/>
      <c r="AP13" s="2"/>
      <c r="AQ13" s="2"/>
      <c r="AR13" s="2"/>
      <c r="AS13" s="2"/>
      <c r="AT13" s="10"/>
      <c r="AU13" s="9"/>
    </row>
    <row r="14" spans="1:47">
      <c r="A14" s="4"/>
      <c r="B14" s="4"/>
      <c r="C14" s="5"/>
      <c r="D14" s="5"/>
      <c r="E14" s="6"/>
      <c r="F14" s="4"/>
      <c r="G14" s="6"/>
      <c r="H14" s="7"/>
      <c r="I14" s="7"/>
      <c r="J14" s="7"/>
      <c r="K14" s="7"/>
      <c r="L14" s="7"/>
      <c r="M14" s="2"/>
      <c r="N14" s="2"/>
      <c r="O14" s="2"/>
      <c r="P14" s="2"/>
      <c r="Q14" s="8"/>
      <c r="R14" s="9"/>
      <c r="S14" s="4"/>
      <c r="T14" s="9"/>
      <c r="U14" s="9"/>
      <c r="V14" s="9"/>
      <c r="W14" s="9"/>
      <c r="X14" s="4"/>
      <c r="Y14" s="6"/>
      <c r="Z14" s="4"/>
      <c r="AA14" s="23"/>
      <c r="AB14" s="24"/>
      <c r="AC14" s="2"/>
      <c r="AD14" s="2"/>
      <c r="AE14" s="2"/>
      <c r="AF14" s="2"/>
      <c r="AG14" s="2"/>
      <c r="AH14" s="2"/>
      <c r="AI14" s="2"/>
      <c r="AJ14" s="7"/>
      <c r="AK14" s="2"/>
      <c r="AL14" s="2"/>
      <c r="AM14" s="2"/>
      <c r="AN14" s="2"/>
      <c r="AO14" s="2"/>
      <c r="AP14" s="2"/>
      <c r="AQ14" s="2"/>
      <c r="AR14" s="2"/>
      <c r="AS14" s="2"/>
      <c r="AT14" s="10"/>
      <c r="AU14" s="9"/>
    </row>
    <row r="15" spans="1:47">
      <c r="A15" s="4"/>
      <c r="B15" s="4"/>
      <c r="C15" s="5"/>
      <c r="D15" s="5"/>
      <c r="E15" s="6"/>
      <c r="F15" s="4"/>
      <c r="G15" s="6"/>
      <c r="H15" s="7"/>
      <c r="I15" s="7"/>
      <c r="J15" s="7"/>
      <c r="K15" s="7"/>
      <c r="L15" s="7"/>
      <c r="M15" s="2"/>
      <c r="N15" s="2"/>
      <c r="O15" s="2"/>
      <c r="P15" s="2"/>
      <c r="Q15" s="8"/>
      <c r="R15" s="9"/>
      <c r="S15" s="4"/>
      <c r="T15" s="9"/>
      <c r="U15" s="9"/>
      <c r="V15" s="9"/>
      <c r="W15" s="9"/>
      <c r="X15" s="4"/>
      <c r="Y15" s="6"/>
      <c r="Z15" s="9"/>
      <c r="AA15" s="23"/>
      <c r="AB15" s="24"/>
      <c r="AC15" s="4"/>
      <c r="AD15" s="4"/>
      <c r="AE15" s="2"/>
      <c r="AF15" s="2"/>
      <c r="AG15" s="2"/>
      <c r="AH15" s="2"/>
      <c r="AI15" s="2"/>
      <c r="AJ15" s="7"/>
      <c r="AK15" s="2"/>
      <c r="AL15" s="2"/>
      <c r="AM15" s="2"/>
      <c r="AN15" s="2"/>
      <c r="AO15" s="2"/>
      <c r="AP15" s="2"/>
      <c r="AQ15" s="2"/>
      <c r="AR15" s="2"/>
      <c r="AS15" s="2"/>
      <c r="AT15" s="10"/>
      <c r="AU15" s="9"/>
    </row>
    <row r="16" spans="1:47">
      <c r="A16" s="4"/>
      <c r="B16" s="4"/>
      <c r="C16" s="5"/>
      <c r="D16" s="5"/>
      <c r="E16" s="6"/>
      <c r="F16" s="4"/>
      <c r="G16" s="6"/>
      <c r="H16" s="7"/>
      <c r="I16" s="7"/>
      <c r="J16" s="7"/>
      <c r="K16" s="7"/>
      <c r="L16" s="7"/>
      <c r="M16" s="7"/>
      <c r="N16" s="2"/>
      <c r="O16" s="2"/>
      <c r="P16" s="2"/>
      <c r="Q16" s="8"/>
      <c r="R16" s="9"/>
      <c r="S16" s="4"/>
      <c r="T16" s="9"/>
      <c r="U16" s="9"/>
      <c r="V16" s="9"/>
      <c r="W16" s="9"/>
      <c r="X16" s="4"/>
      <c r="Y16" s="6"/>
      <c r="Z16" s="9"/>
      <c r="AA16" s="4"/>
      <c r="AB16" s="4"/>
      <c r="AC16" s="4"/>
      <c r="AD16" s="4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10"/>
      <c r="AU16" s="9"/>
    </row>
    <row r="17" spans="1:47">
      <c r="A17" s="4"/>
      <c r="B17" s="4"/>
      <c r="C17" s="5"/>
      <c r="D17" s="5"/>
      <c r="E17" s="6"/>
      <c r="F17" s="4"/>
      <c r="G17" s="6"/>
      <c r="H17" s="7"/>
      <c r="I17" s="7"/>
      <c r="J17" s="7"/>
      <c r="K17" s="7"/>
      <c r="L17" s="7"/>
      <c r="M17" s="2"/>
      <c r="N17" s="2"/>
      <c r="O17" s="2"/>
      <c r="P17" s="2"/>
      <c r="Q17" s="2"/>
      <c r="R17" s="9"/>
      <c r="S17" s="4"/>
      <c r="T17" s="9"/>
      <c r="U17" s="9"/>
      <c r="V17" s="9"/>
      <c r="W17" s="9"/>
      <c r="X17" s="4"/>
      <c r="Y17" s="6"/>
      <c r="Z17" s="4"/>
      <c r="AA17" s="23"/>
      <c r="AB17" s="24"/>
      <c r="AC17" s="2"/>
      <c r="AD17" s="2"/>
      <c r="AE17" s="2"/>
      <c r="AF17" s="2"/>
      <c r="AG17" s="2"/>
      <c r="AH17" s="2"/>
      <c r="AI17" s="2"/>
      <c r="AJ17" s="7"/>
      <c r="AK17" s="2"/>
      <c r="AL17" s="2"/>
      <c r="AM17" s="2"/>
      <c r="AN17" s="2"/>
      <c r="AO17" s="2"/>
      <c r="AP17" s="2"/>
      <c r="AQ17" s="2"/>
      <c r="AR17" s="2"/>
      <c r="AS17" s="2"/>
      <c r="AT17" s="10"/>
      <c r="AU17" s="9"/>
    </row>
    <row r="18" spans="1:47">
      <c r="A18" s="4"/>
      <c r="B18" s="4"/>
      <c r="C18" s="5"/>
      <c r="D18" s="5"/>
      <c r="E18" s="6"/>
      <c r="F18" s="4"/>
      <c r="G18" s="6"/>
      <c r="H18" s="7"/>
      <c r="I18" s="7"/>
      <c r="J18" s="7"/>
      <c r="K18" s="7"/>
      <c r="L18" s="7"/>
      <c r="M18" s="2"/>
      <c r="N18" s="2"/>
      <c r="O18" s="2"/>
      <c r="P18" s="2"/>
      <c r="Q18" s="2"/>
      <c r="R18" s="9"/>
      <c r="S18" s="4"/>
      <c r="T18" s="9"/>
      <c r="U18" s="9"/>
      <c r="V18" s="9"/>
      <c r="W18" s="9"/>
      <c r="X18" s="4"/>
      <c r="Y18" s="6"/>
      <c r="Z18" s="4"/>
      <c r="AA18" s="23"/>
      <c r="AB18" s="24"/>
      <c r="AC18" s="2"/>
      <c r="AD18" s="2"/>
      <c r="AE18" s="2"/>
      <c r="AF18" s="2"/>
      <c r="AG18" s="2"/>
      <c r="AH18" s="2"/>
      <c r="AI18" s="2"/>
      <c r="AJ18" s="7"/>
      <c r="AK18" s="2"/>
      <c r="AL18" s="2"/>
      <c r="AM18" s="2"/>
      <c r="AN18" s="2"/>
      <c r="AO18" s="2"/>
      <c r="AP18" s="2"/>
      <c r="AQ18" s="2"/>
      <c r="AR18" s="2"/>
      <c r="AS18" s="2"/>
      <c r="AT18" s="10"/>
      <c r="AU18" s="9"/>
    </row>
    <row r="19" spans="1:47">
      <c r="A19" s="4"/>
      <c r="B19" s="4"/>
      <c r="C19" s="5"/>
      <c r="D19" s="5"/>
      <c r="E19" s="6"/>
      <c r="F19" s="4"/>
      <c r="G19" s="6"/>
      <c r="H19" s="7"/>
      <c r="I19" s="7"/>
      <c r="J19" s="7"/>
      <c r="K19" s="7"/>
      <c r="L19" s="7"/>
      <c r="M19" s="2"/>
      <c r="N19" s="2"/>
      <c r="O19" s="2"/>
      <c r="P19" s="2"/>
      <c r="Q19" s="2"/>
      <c r="R19" s="9"/>
      <c r="S19" s="4"/>
      <c r="T19" s="9"/>
      <c r="U19" s="9"/>
      <c r="V19" s="9"/>
      <c r="W19" s="9"/>
      <c r="X19" s="4"/>
      <c r="Y19" s="6"/>
      <c r="Z19" s="9"/>
      <c r="AA19" s="23"/>
      <c r="AB19" s="24"/>
      <c r="AC19" s="4"/>
      <c r="AD19" s="4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10"/>
      <c r="AU19" s="9"/>
    </row>
    <row r="20" spans="1:47">
      <c r="A20" s="4"/>
      <c r="B20" s="4"/>
      <c r="C20" s="5"/>
      <c r="D20" s="5"/>
      <c r="E20" s="6"/>
      <c r="F20" s="4"/>
      <c r="G20" s="6"/>
      <c r="H20" s="7"/>
      <c r="I20" s="7"/>
      <c r="J20" s="7"/>
      <c r="K20" s="7"/>
      <c r="L20" s="7"/>
      <c r="M20" s="2"/>
      <c r="N20" s="2"/>
      <c r="O20" s="2"/>
      <c r="P20" s="2"/>
      <c r="Q20" s="2"/>
      <c r="R20" s="9"/>
      <c r="S20" s="4"/>
      <c r="T20" s="9"/>
      <c r="U20" s="9"/>
      <c r="V20" s="9"/>
      <c r="W20" s="9"/>
      <c r="X20" s="4"/>
      <c r="Y20" s="6"/>
      <c r="Z20" s="9"/>
      <c r="AA20" s="23"/>
      <c r="AB20" s="24"/>
      <c r="AC20" s="4"/>
      <c r="AD20" s="4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10"/>
      <c r="AU20" s="9"/>
    </row>
    <row r="21" spans="1:47">
      <c r="A21" s="4"/>
      <c r="B21" s="4"/>
      <c r="C21" s="5"/>
      <c r="D21" s="5"/>
      <c r="E21" s="6"/>
      <c r="F21" s="4"/>
      <c r="G21" s="6"/>
      <c r="H21" s="7"/>
      <c r="I21" s="7"/>
      <c r="J21" s="7"/>
      <c r="K21" s="7"/>
      <c r="L21" s="7"/>
      <c r="M21" s="2"/>
      <c r="N21" s="2"/>
      <c r="O21" s="2"/>
      <c r="P21" s="2"/>
      <c r="Q21" s="2"/>
      <c r="R21" s="9"/>
      <c r="S21" s="4"/>
      <c r="T21" s="9"/>
      <c r="U21" s="9"/>
      <c r="V21" s="9"/>
      <c r="W21" s="9"/>
      <c r="X21" s="4"/>
      <c r="Y21" s="6"/>
      <c r="Z21" s="9"/>
      <c r="AA21" s="23"/>
      <c r="AB21" s="24"/>
      <c r="AC21" s="4"/>
      <c r="AD21" s="4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10"/>
      <c r="AU21" s="9"/>
    </row>
    <row r="22" spans="1:47">
      <c r="A22" s="4"/>
      <c r="B22" s="4"/>
      <c r="C22" s="5"/>
      <c r="D22" s="5"/>
      <c r="E22" s="6"/>
      <c r="F22" s="4"/>
      <c r="G22" s="6"/>
      <c r="H22" s="7"/>
      <c r="I22" s="7"/>
      <c r="J22" s="7"/>
      <c r="K22" s="7"/>
      <c r="L22" s="7"/>
      <c r="M22" s="2"/>
      <c r="N22" s="2"/>
      <c r="O22" s="2"/>
      <c r="P22" s="2"/>
      <c r="Q22" s="2"/>
      <c r="R22" s="9"/>
      <c r="S22" s="4"/>
      <c r="T22" s="9"/>
      <c r="U22" s="9"/>
      <c r="V22" s="9"/>
      <c r="W22" s="9"/>
      <c r="X22" s="4"/>
      <c r="Y22" s="6"/>
      <c r="Z22" s="9"/>
      <c r="AA22" s="23"/>
      <c r="AB22" s="24"/>
      <c r="AC22" s="4"/>
      <c r="AD22" s="4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10"/>
      <c r="AU22" s="9"/>
    </row>
    <row r="23" spans="1:47">
      <c r="A23" s="4"/>
      <c r="B23" s="4"/>
      <c r="C23" s="5"/>
      <c r="D23" s="5"/>
      <c r="E23" s="6"/>
      <c r="F23" s="4"/>
      <c r="G23" s="6"/>
      <c r="H23" s="7"/>
      <c r="I23" s="7"/>
      <c r="J23" s="7"/>
      <c r="K23" s="7"/>
      <c r="L23" s="7"/>
      <c r="M23" s="2"/>
      <c r="N23" s="2"/>
      <c r="O23" s="2"/>
      <c r="P23" s="2"/>
      <c r="Q23" s="2"/>
      <c r="R23" s="9"/>
      <c r="S23" s="4"/>
      <c r="T23" s="9"/>
      <c r="U23" s="9"/>
      <c r="V23" s="9"/>
      <c r="W23" s="9"/>
      <c r="X23" s="4"/>
      <c r="Y23" s="6"/>
      <c r="Z23" s="9"/>
      <c r="AA23" s="23"/>
      <c r="AB23" s="24"/>
      <c r="AC23" s="4"/>
      <c r="AD23" s="4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10"/>
      <c r="AU23" s="9"/>
    </row>
    <row r="24" spans="1:47">
      <c r="A24" s="4"/>
      <c r="B24" s="4"/>
      <c r="C24" s="5"/>
      <c r="D24" s="5"/>
      <c r="E24" s="6"/>
      <c r="F24" s="4"/>
      <c r="G24" s="6"/>
      <c r="H24" s="7"/>
      <c r="I24" s="7"/>
      <c r="J24" s="7"/>
      <c r="K24" s="7"/>
      <c r="L24" s="7"/>
      <c r="M24" s="7"/>
      <c r="N24" s="7"/>
      <c r="O24" s="2"/>
      <c r="P24" s="2"/>
      <c r="Q24" s="2"/>
      <c r="R24" s="9"/>
      <c r="S24" s="4"/>
      <c r="T24" s="9"/>
      <c r="U24" s="9"/>
      <c r="V24" s="9"/>
      <c r="W24" s="9"/>
      <c r="X24" s="4"/>
      <c r="Y24" s="6"/>
      <c r="Z24" s="9"/>
      <c r="AA24" s="4"/>
      <c r="AB24" s="4"/>
      <c r="AC24" s="4"/>
      <c r="AD24" s="4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10"/>
      <c r="AU24" s="9"/>
    </row>
    <row r="25" spans="1:47">
      <c r="A25" s="4"/>
      <c r="B25" s="4"/>
      <c r="C25" s="5"/>
      <c r="D25" s="5"/>
      <c r="E25" s="6"/>
      <c r="F25" s="4"/>
      <c r="G25" s="6"/>
      <c r="H25" s="7"/>
      <c r="I25" s="7"/>
      <c r="J25" s="2"/>
      <c r="K25" s="2"/>
      <c r="L25" s="2"/>
      <c r="M25" s="2"/>
      <c r="N25" s="2"/>
      <c r="O25" s="2"/>
      <c r="P25" s="2"/>
      <c r="Q25" s="2"/>
      <c r="R25" s="9"/>
      <c r="S25" s="4"/>
      <c r="T25" s="9"/>
      <c r="U25" s="9"/>
      <c r="V25" s="9"/>
      <c r="W25" s="9"/>
      <c r="X25" s="4"/>
      <c r="Y25" s="6"/>
      <c r="Z25" s="9"/>
      <c r="AA25" s="23"/>
      <c r="AB25" s="24"/>
      <c r="AC25" s="4"/>
      <c r="AD25" s="4"/>
      <c r="AE25" s="2"/>
      <c r="AF25" s="2"/>
      <c r="AG25" s="2"/>
      <c r="AH25" s="2"/>
      <c r="AI25" s="2"/>
      <c r="AJ25" s="7"/>
      <c r="AK25" s="2"/>
      <c r="AL25" s="2"/>
      <c r="AM25" s="2"/>
      <c r="AN25" s="2"/>
      <c r="AO25" s="2"/>
      <c r="AP25" s="2"/>
      <c r="AQ25" s="2"/>
      <c r="AR25" s="2"/>
      <c r="AS25" s="2"/>
      <c r="AT25" s="10"/>
      <c r="AU25" s="9"/>
    </row>
    <row r="26" spans="1:47">
      <c r="A26" s="4"/>
      <c r="B26" s="4"/>
      <c r="C26" s="5"/>
      <c r="D26" s="5"/>
      <c r="E26" s="6"/>
      <c r="F26" s="4"/>
      <c r="G26" s="6"/>
      <c r="H26" s="7"/>
      <c r="I26" s="7"/>
      <c r="J26" s="2"/>
      <c r="K26" s="2"/>
      <c r="L26" s="2"/>
      <c r="M26" s="2"/>
      <c r="N26" s="2"/>
      <c r="O26" s="2"/>
      <c r="P26" s="2"/>
      <c r="Q26" s="2"/>
      <c r="R26" s="9"/>
      <c r="S26" s="4"/>
      <c r="T26" s="9"/>
      <c r="U26" s="9"/>
      <c r="V26" s="9"/>
      <c r="W26" s="9"/>
      <c r="X26" s="4"/>
      <c r="Y26" s="6"/>
      <c r="Z26" s="9"/>
      <c r="AA26" s="23"/>
      <c r="AB26" s="24"/>
      <c r="AC26" s="4"/>
      <c r="AD26" s="4"/>
      <c r="AE26" s="2"/>
      <c r="AF26" s="2"/>
      <c r="AG26" s="2"/>
      <c r="AH26" s="2"/>
      <c r="AI26" s="2"/>
      <c r="AJ26" s="7"/>
      <c r="AK26" s="2"/>
      <c r="AL26" s="2"/>
      <c r="AM26" s="2"/>
      <c r="AN26" s="2"/>
      <c r="AO26" s="2"/>
      <c r="AP26" s="2"/>
      <c r="AQ26" s="2"/>
      <c r="AR26" s="2"/>
      <c r="AS26" s="2"/>
      <c r="AT26" s="10"/>
      <c r="AU26" s="9"/>
    </row>
    <row r="27" spans="1:47">
      <c r="A27" s="4"/>
      <c r="B27" s="4"/>
      <c r="C27" s="5"/>
      <c r="D27" s="5"/>
      <c r="E27" s="6"/>
      <c r="F27" s="4"/>
      <c r="G27" s="6"/>
      <c r="H27" s="7"/>
      <c r="I27" s="2"/>
      <c r="J27" s="2"/>
      <c r="K27" s="2"/>
      <c r="L27" s="2"/>
      <c r="M27" s="2"/>
      <c r="N27" s="2"/>
      <c r="O27" s="2"/>
      <c r="P27" s="2"/>
      <c r="Q27" s="2"/>
      <c r="R27" s="9"/>
      <c r="S27" s="4"/>
      <c r="T27" s="9"/>
      <c r="U27" s="9"/>
      <c r="V27" s="9"/>
      <c r="W27" s="9"/>
      <c r="X27" s="4"/>
      <c r="Y27" s="6"/>
      <c r="Z27" s="9"/>
      <c r="AA27" s="23"/>
      <c r="AB27" s="24"/>
      <c r="AC27" s="4"/>
      <c r="AD27" s="4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10"/>
      <c r="AU27" s="9"/>
    </row>
    <row r="28" spans="1:47">
      <c r="A28" s="4"/>
      <c r="B28" s="4"/>
      <c r="C28" s="5"/>
      <c r="D28" s="5"/>
      <c r="E28" s="6"/>
      <c r="F28" s="4"/>
      <c r="G28" s="6"/>
      <c r="H28" s="7"/>
      <c r="I28" s="7"/>
      <c r="J28" s="7"/>
      <c r="K28" s="7"/>
      <c r="L28" s="7"/>
      <c r="M28" s="2"/>
      <c r="N28" s="2"/>
      <c r="O28" s="2"/>
      <c r="P28" s="2"/>
      <c r="Q28" s="2"/>
      <c r="R28" s="9"/>
      <c r="S28" s="4"/>
      <c r="T28" s="9"/>
      <c r="U28" s="9"/>
      <c r="V28" s="9"/>
      <c r="W28" s="9"/>
      <c r="X28" s="4"/>
      <c r="Y28" s="6"/>
      <c r="Z28" s="9"/>
      <c r="AA28" s="23"/>
      <c r="AB28" s="24"/>
      <c r="AC28" s="4"/>
      <c r="AD28" s="4"/>
      <c r="AE28" s="2"/>
      <c r="AF28" s="2"/>
      <c r="AG28" s="2"/>
      <c r="AH28" s="2"/>
      <c r="AI28" s="2"/>
      <c r="AJ28" s="7"/>
      <c r="AK28" s="2"/>
      <c r="AL28" s="2"/>
      <c r="AM28" s="2"/>
      <c r="AN28" s="2"/>
      <c r="AO28" s="2"/>
      <c r="AP28" s="2"/>
      <c r="AQ28" s="2"/>
      <c r="AR28" s="2"/>
      <c r="AS28" s="2"/>
      <c r="AT28" s="10"/>
      <c r="AU28" s="9"/>
    </row>
    <row r="29" spans="1:47">
      <c r="A29" s="4"/>
      <c r="B29" s="4"/>
      <c r="C29" s="5"/>
      <c r="D29" s="5"/>
      <c r="E29" s="6"/>
      <c r="F29" s="4"/>
      <c r="G29" s="6"/>
      <c r="H29" s="7"/>
      <c r="I29" s="2"/>
      <c r="J29" s="2"/>
      <c r="K29" s="2"/>
      <c r="L29" s="2"/>
      <c r="M29" s="2"/>
      <c r="N29" s="2"/>
      <c r="O29" s="2"/>
      <c r="P29" s="2"/>
      <c r="Q29" s="2"/>
      <c r="R29" s="9"/>
      <c r="S29" s="4"/>
      <c r="T29" s="9"/>
      <c r="U29" s="9"/>
      <c r="V29" s="9"/>
      <c r="W29" s="9"/>
      <c r="X29" s="4"/>
      <c r="Y29" s="6"/>
      <c r="Z29" s="9"/>
      <c r="AA29" s="23"/>
      <c r="AB29" s="24"/>
      <c r="AC29" s="4"/>
      <c r="AD29" s="4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10"/>
      <c r="AU29" s="9"/>
    </row>
    <row r="30" spans="1:47">
      <c r="A30" s="4"/>
      <c r="B30" s="4"/>
      <c r="C30" s="5"/>
      <c r="D30" s="5"/>
      <c r="E30" s="6"/>
      <c r="F30" s="4"/>
      <c r="G30" s="6"/>
      <c r="H30" s="7"/>
      <c r="I30" s="2"/>
      <c r="J30" s="2"/>
      <c r="K30" s="2"/>
      <c r="L30" s="2"/>
      <c r="M30" s="2"/>
      <c r="N30" s="2"/>
      <c r="O30" s="2"/>
      <c r="P30" s="2"/>
      <c r="Q30" s="2"/>
      <c r="R30" s="9"/>
      <c r="S30" s="4"/>
      <c r="T30" s="9"/>
      <c r="U30" s="9"/>
      <c r="V30" s="9"/>
      <c r="W30" s="9"/>
      <c r="X30" s="4"/>
      <c r="Y30" s="6"/>
      <c r="Z30" s="4"/>
      <c r="AA30" s="23"/>
      <c r="AB30" s="24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10"/>
      <c r="AU30" s="9"/>
    </row>
    <row r="31" spans="1:47">
      <c r="A31" s="4"/>
      <c r="B31" s="4"/>
      <c r="C31" s="5"/>
      <c r="D31" s="5"/>
      <c r="E31" s="6"/>
      <c r="F31" s="4"/>
      <c r="G31" s="6"/>
      <c r="H31" s="7"/>
      <c r="I31" s="2"/>
      <c r="J31" s="2"/>
      <c r="K31" s="2"/>
      <c r="L31" s="2"/>
      <c r="M31" s="2"/>
      <c r="N31" s="2"/>
      <c r="O31" s="2"/>
      <c r="P31" s="2"/>
      <c r="Q31" s="2"/>
      <c r="R31" s="9"/>
      <c r="S31" s="4"/>
      <c r="T31" s="9"/>
      <c r="U31" s="9"/>
      <c r="V31" s="9"/>
      <c r="W31" s="9"/>
      <c r="X31" s="4"/>
      <c r="Y31" s="6"/>
      <c r="Z31" s="9"/>
      <c r="AA31" s="23"/>
      <c r="AB31" s="24"/>
      <c r="AC31" s="4"/>
      <c r="AD31" s="4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10"/>
      <c r="AU31" s="9"/>
    </row>
    <row r="32" spans="1:47">
      <c r="A32" s="4"/>
      <c r="B32" s="4"/>
      <c r="C32" s="5"/>
      <c r="D32" s="5"/>
      <c r="E32" s="6"/>
      <c r="F32" s="4"/>
      <c r="G32" s="6"/>
      <c r="H32" s="7"/>
      <c r="I32" s="7"/>
      <c r="J32" s="7"/>
      <c r="K32" s="7"/>
      <c r="L32" s="7"/>
      <c r="M32" s="2"/>
      <c r="N32" s="2"/>
      <c r="O32" s="2"/>
      <c r="P32" s="2"/>
      <c r="Q32" s="2"/>
      <c r="R32" s="9"/>
      <c r="S32" s="4"/>
      <c r="T32" s="9"/>
      <c r="U32" s="9"/>
      <c r="V32" s="9"/>
      <c r="W32" s="9"/>
      <c r="X32" s="4"/>
      <c r="Y32" s="6"/>
      <c r="Z32" s="4"/>
      <c r="AA32" s="23"/>
      <c r="AB32" s="24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10"/>
      <c r="AU32" s="9"/>
    </row>
    <row r="33" spans="1:47">
      <c r="A33" s="4"/>
      <c r="B33" s="4"/>
      <c r="C33" s="5"/>
      <c r="D33" s="5"/>
      <c r="E33" s="6"/>
      <c r="F33" s="4"/>
      <c r="G33" s="6"/>
      <c r="H33" s="7"/>
      <c r="I33" s="7"/>
      <c r="J33" s="7"/>
      <c r="K33" s="7"/>
      <c r="L33" s="7"/>
      <c r="M33" s="2"/>
      <c r="N33" s="2"/>
      <c r="O33" s="2"/>
      <c r="P33" s="2"/>
      <c r="Q33" s="2"/>
      <c r="R33" s="9"/>
      <c r="S33" s="4"/>
      <c r="T33" s="9"/>
      <c r="U33" s="9"/>
      <c r="V33" s="9"/>
      <c r="W33" s="9"/>
      <c r="X33" s="4"/>
      <c r="Y33" s="6"/>
      <c r="Z33" s="4"/>
      <c r="AA33" s="23"/>
      <c r="AB33" s="24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10"/>
      <c r="AU33" s="9"/>
    </row>
    <row r="34" spans="1:47">
      <c r="A34" s="4"/>
      <c r="B34" s="4"/>
      <c r="C34" s="5"/>
      <c r="D34" s="5"/>
      <c r="E34" s="6"/>
      <c r="F34" s="4"/>
      <c r="G34" s="6"/>
      <c r="H34" s="7"/>
      <c r="I34" s="7"/>
      <c r="J34" s="7"/>
      <c r="K34" s="7"/>
      <c r="L34" s="7"/>
      <c r="M34" s="2"/>
      <c r="N34" s="2"/>
      <c r="O34" s="2"/>
      <c r="P34" s="2"/>
      <c r="Q34" s="2"/>
      <c r="R34" s="9"/>
      <c r="S34" s="4"/>
      <c r="T34" s="9"/>
      <c r="U34" s="9"/>
      <c r="V34" s="9"/>
      <c r="W34" s="9"/>
      <c r="X34" s="4"/>
      <c r="Y34" s="6"/>
      <c r="Z34" s="4"/>
      <c r="AA34" s="23"/>
      <c r="AB34" s="24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10"/>
      <c r="AU34" s="9"/>
    </row>
    <row r="35" spans="1:47">
      <c r="A35" s="4"/>
      <c r="B35" s="4"/>
      <c r="C35" s="5"/>
      <c r="D35" s="5"/>
      <c r="E35" s="6"/>
      <c r="F35" s="4"/>
      <c r="G35" s="6"/>
      <c r="H35" s="7"/>
      <c r="I35" s="7"/>
      <c r="J35" s="7"/>
      <c r="K35" s="7"/>
      <c r="L35" s="7"/>
      <c r="M35" s="2"/>
      <c r="N35" s="2"/>
      <c r="O35" s="2"/>
      <c r="P35" s="2"/>
      <c r="Q35" s="2"/>
      <c r="R35" s="9"/>
      <c r="S35" s="4"/>
      <c r="T35" s="9"/>
      <c r="U35" s="9"/>
      <c r="V35" s="9"/>
      <c r="W35" s="9"/>
      <c r="X35" s="4"/>
      <c r="Y35" s="6"/>
      <c r="Z35" s="4"/>
      <c r="AA35" s="23"/>
      <c r="AB35" s="24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10"/>
      <c r="AU35" s="9"/>
    </row>
    <row r="36" spans="1:47">
      <c r="A36" s="4"/>
      <c r="B36" s="4"/>
      <c r="C36" s="5"/>
      <c r="D36" s="5"/>
      <c r="E36" s="6"/>
      <c r="F36" s="4"/>
      <c r="G36" s="6"/>
      <c r="H36" s="7"/>
      <c r="I36" s="7"/>
      <c r="J36" s="7"/>
      <c r="K36" s="7"/>
      <c r="L36" s="7"/>
      <c r="M36" s="7"/>
      <c r="N36" s="2"/>
      <c r="O36" s="2"/>
      <c r="P36" s="2"/>
      <c r="Q36" s="2"/>
      <c r="R36" s="9"/>
      <c r="S36" s="4"/>
      <c r="T36" s="9"/>
      <c r="U36" s="9"/>
      <c r="V36" s="9"/>
      <c r="W36" s="9"/>
      <c r="X36" s="4"/>
      <c r="Y36" s="6"/>
      <c r="Z36" s="9"/>
      <c r="AA36" s="4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10"/>
      <c r="AU36" s="9"/>
    </row>
    <row r="37" spans="1:47">
      <c r="A37" s="4"/>
      <c r="B37" s="4"/>
      <c r="C37" s="5"/>
      <c r="D37" s="5"/>
      <c r="E37" s="6"/>
      <c r="F37" s="4"/>
      <c r="G37" s="6"/>
      <c r="H37" s="7"/>
      <c r="I37" s="7"/>
      <c r="J37" s="2"/>
      <c r="K37" s="7"/>
      <c r="L37" s="7"/>
      <c r="M37" s="7"/>
      <c r="N37" s="2"/>
      <c r="O37" s="2"/>
      <c r="P37" s="2"/>
      <c r="Q37" s="2"/>
      <c r="R37" s="9"/>
      <c r="S37" s="4"/>
      <c r="T37" s="9"/>
      <c r="U37" s="9"/>
      <c r="V37" s="9"/>
      <c r="W37" s="9"/>
      <c r="X37" s="4"/>
      <c r="Y37" s="6"/>
      <c r="Z37" s="9"/>
      <c r="AA37" s="4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10"/>
      <c r="AU37" s="9"/>
    </row>
    <row r="38" spans="1:47">
      <c r="A38" s="4"/>
      <c r="B38" s="4"/>
      <c r="C38" s="5"/>
      <c r="D38" s="5"/>
      <c r="E38" s="6"/>
      <c r="F38" s="4"/>
      <c r="G38" s="6"/>
      <c r="H38" s="7"/>
      <c r="I38" s="7"/>
      <c r="J38" s="7"/>
      <c r="K38" s="7"/>
      <c r="L38" s="7"/>
      <c r="M38" s="2"/>
      <c r="N38" s="2"/>
      <c r="O38" s="2"/>
      <c r="P38" s="2"/>
      <c r="Q38" s="2"/>
      <c r="R38" s="9"/>
      <c r="S38" s="4"/>
      <c r="T38" s="9"/>
      <c r="U38" s="9"/>
      <c r="V38" s="9"/>
      <c r="W38" s="9"/>
      <c r="X38" s="4"/>
      <c r="Y38" s="6"/>
      <c r="Z38" s="4"/>
      <c r="AA38" s="23"/>
      <c r="AB38" s="24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10"/>
      <c r="AU38" s="9"/>
    </row>
    <row r="39" spans="1:47">
      <c r="A39" s="4"/>
      <c r="B39" s="4"/>
      <c r="C39" s="5"/>
      <c r="D39" s="5"/>
      <c r="E39" s="6"/>
      <c r="F39" s="4"/>
      <c r="G39" s="6"/>
      <c r="H39" s="7"/>
      <c r="I39" s="7"/>
      <c r="J39" s="7"/>
      <c r="K39" s="7"/>
      <c r="L39" s="7"/>
      <c r="M39" s="2"/>
      <c r="N39" s="2"/>
      <c r="O39" s="2"/>
      <c r="P39" s="2"/>
      <c r="Q39" s="2"/>
      <c r="R39" s="9"/>
      <c r="S39" s="4"/>
      <c r="T39" s="9"/>
      <c r="U39" s="9"/>
      <c r="V39" s="9"/>
      <c r="W39" s="9"/>
      <c r="X39" s="4"/>
      <c r="Y39" s="6"/>
      <c r="Z39" s="4"/>
      <c r="AA39" s="23"/>
      <c r="AB39" s="24"/>
      <c r="AC39" s="2"/>
      <c r="AD39" s="2"/>
      <c r="AE39" s="2"/>
      <c r="AF39" s="2"/>
      <c r="AG39" s="2"/>
      <c r="AH39" s="2"/>
      <c r="AI39" s="2"/>
      <c r="AJ39" s="7"/>
      <c r="AK39" s="2"/>
      <c r="AL39" s="2"/>
      <c r="AM39" s="2"/>
      <c r="AN39" s="2"/>
      <c r="AO39" s="2"/>
      <c r="AP39" s="2"/>
      <c r="AQ39" s="2"/>
      <c r="AR39" s="2"/>
      <c r="AS39" s="2"/>
      <c r="AT39" s="10"/>
      <c r="AU39" s="9"/>
    </row>
    <row r="40" spans="1:47">
      <c r="A40" s="4"/>
      <c r="B40" s="4"/>
      <c r="C40" s="5"/>
      <c r="D40" s="5"/>
      <c r="E40" s="6"/>
      <c r="F40" s="4"/>
      <c r="G40" s="6"/>
      <c r="H40" s="7"/>
      <c r="I40" s="7"/>
      <c r="J40" s="7"/>
      <c r="K40" s="7"/>
      <c r="L40" s="7"/>
      <c r="M40" s="2"/>
      <c r="N40" s="2"/>
      <c r="O40" s="2"/>
      <c r="P40" s="2"/>
      <c r="Q40" s="2"/>
      <c r="R40" s="9"/>
      <c r="S40" s="4"/>
      <c r="T40" s="9"/>
      <c r="U40" s="9"/>
      <c r="V40" s="9"/>
      <c r="W40" s="9"/>
      <c r="X40" s="4"/>
      <c r="Y40" s="6"/>
      <c r="Z40" s="4"/>
      <c r="AA40" s="23"/>
      <c r="AB40" s="24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10"/>
      <c r="AU40" s="9"/>
    </row>
    <row r="41" spans="1:47">
      <c r="A41" s="4"/>
      <c r="B41" s="4"/>
      <c r="C41" s="5"/>
      <c r="D41" s="5"/>
      <c r="E41" s="6"/>
      <c r="F41" s="4"/>
      <c r="G41" s="6"/>
      <c r="H41" s="7"/>
      <c r="I41" s="7"/>
      <c r="J41" s="7"/>
      <c r="K41" s="7"/>
      <c r="L41" s="7"/>
      <c r="M41" s="2"/>
      <c r="N41" s="2"/>
      <c r="O41" s="2"/>
      <c r="P41" s="2"/>
      <c r="Q41" s="2"/>
      <c r="R41" s="9"/>
      <c r="S41" s="4"/>
      <c r="T41" s="9"/>
      <c r="U41" s="9"/>
      <c r="V41" s="9"/>
      <c r="W41" s="9"/>
      <c r="X41" s="4"/>
      <c r="Y41" s="6"/>
      <c r="Z41" s="4"/>
      <c r="AA41" s="23"/>
      <c r="AB41" s="24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10"/>
      <c r="AU41" s="9"/>
    </row>
    <row r="42" spans="1:47">
      <c r="A42" s="4"/>
      <c r="B42" s="4"/>
      <c r="C42" s="5"/>
      <c r="D42" s="5"/>
      <c r="E42" s="6"/>
      <c r="F42" s="4"/>
      <c r="G42" s="6"/>
      <c r="H42" s="7"/>
      <c r="I42" s="7"/>
      <c r="J42" s="7"/>
      <c r="K42" s="7"/>
      <c r="L42" s="7"/>
      <c r="M42" s="2"/>
      <c r="N42" s="2"/>
      <c r="O42" s="2"/>
      <c r="P42" s="2"/>
      <c r="Q42" s="2"/>
      <c r="R42" s="9"/>
      <c r="S42" s="4"/>
      <c r="T42" s="9"/>
      <c r="U42" s="9"/>
      <c r="V42" s="9"/>
      <c r="W42" s="9"/>
      <c r="X42" s="4"/>
      <c r="Y42" s="6"/>
      <c r="Z42" s="4"/>
      <c r="AA42" s="23"/>
      <c r="AB42" s="24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10"/>
      <c r="AU42" s="9"/>
    </row>
    <row r="43" spans="1:47">
      <c r="A43" s="4"/>
      <c r="B43" s="4"/>
      <c r="C43" s="5"/>
      <c r="D43" s="5"/>
      <c r="E43" s="6"/>
      <c r="F43" s="4"/>
      <c r="G43" s="6"/>
      <c r="H43" s="7"/>
      <c r="I43" s="7"/>
      <c r="J43" s="7"/>
      <c r="K43" s="7"/>
      <c r="L43" s="7"/>
      <c r="M43" s="2"/>
      <c r="N43" s="2"/>
      <c r="O43" s="2"/>
      <c r="P43" s="2"/>
      <c r="Q43" s="2"/>
      <c r="R43" s="9"/>
      <c r="S43" s="4"/>
      <c r="T43" s="9"/>
      <c r="U43" s="9"/>
      <c r="V43" s="9"/>
      <c r="W43" s="9"/>
      <c r="X43" s="4"/>
      <c r="Y43" s="6"/>
      <c r="Z43" s="4"/>
      <c r="AA43" s="23"/>
      <c r="AB43" s="24"/>
      <c r="AC43" s="24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10"/>
      <c r="AU43" s="9"/>
    </row>
    <row r="44" spans="1:47">
      <c r="A44" s="4"/>
      <c r="B44" s="4"/>
      <c r="C44" s="5"/>
      <c r="D44" s="5"/>
      <c r="E44" s="6"/>
      <c r="F44" s="4"/>
      <c r="G44" s="6"/>
      <c r="H44" s="7"/>
      <c r="I44" s="7"/>
      <c r="J44" s="7"/>
      <c r="K44" s="7"/>
      <c r="L44" s="7"/>
      <c r="M44" s="7"/>
      <c r="N44" s="7"/>
      <c r="O44" s="2"/>
      <c r="P44" s="2"/>
      <c r="Q44" s="2"/>
      <c r="R44" s="9"/>
      <c r="S44" s="4"/>
      <c r="T44" s="9"/>
      <c r="U44" s="9"/>
      <c r="V44" s="9"/>
      <c r="W44" s="9"/>
      <c r="X44" s="4"/>
      <c r="Y44" s="6"/>
      <c r="Z44" s="9"/>
      <c r="AA44" s="4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10"/>
      <c r="AU44" s="9"/>
    </row>
    <row r="45" spans="1:47">
      <c r="A45" s="4"/>
      <c r="B45" s="4"/>
      <c r="C45" s="5"/>
      <c r="D45" s="5"/>
      <c r="E45" s="6"/>
      <c r="F45" s="4"/>
      <c r="G45" s="6"/>
      <c r="H45" s="7"/>
      <c r="I45" s="7"/>
      <c r="J45" s="7"/>
      <c r="K45" s="7"/>
      <c r="L45" s="7"/>
      <c r="M45" s="2"/>
      <c r="N45" s="2"/>
      <c r="O45" s="2"/>
      <c r="P45" s="2"/>
      <c r="Q45" s="2"/>
      <c r="R45" s="9"/>
      <c r="S45" s="4"/>
      <c r="T45" s="9"/>
      <c r="U45" s="9"/>
      <c r="V45" s="9"/>
      <c r="W45" s="9"/>
      <c r="X45" s="4"/>
      <c r="Y45" s="6"/>
      <c r="Z45" s="4"/>
      <c r="AA45" s="23"/>
      <c r="AB45" s="24"/>
      <c r="AC45" s="2"/>
      <c r="AD45" s="2"/>
      <c r="AE45" s="2"/>
      <c r="AF45" s="2"/>
      <c r="AG45" s="2"/>
      <c r="AH45" s="2"/>
      <c r="AI45" s="2"/>
      <c r="AJ45" s="7"/>
      <c r="AK45" s="2"/>
      <c r="AL45" s="2"/>
      <c r="AM45" s="2"/>
      <c r="AN45" s="2"/>
      <c r="AO45" s="2"/>
      <c r="AP45" s="2"/>
      <c r="AQ45" s="2"/>
      <c r="AR45" s="2"/>
      <c r="AS45" s="2"/>
      <c r="AT45" s="10"/>
      <c r="AU45" s="9"/>
    </row>
    <row r="46" spans="1:47">
      <c r="A46" s="4"/>
      <c r="B46" s="4"/>
      <c r="C46" s="5"/>
      <c r="D46" s="5"/>
      <c r="E46" s="6"/>
      <c r="F46" s="4"/>
      <c r="G46" s="6"/>
      <c r="H46" s="7"/>
      <c r="I46" s="26"/>
      <c r="J46" s="24"/>
      <c r="K46" s="24"/>
      <c r="L46" s="24"/>
      <c r="M46" s="2"/>
      <c r="N46" s="2"/>
      <c r="O46" s="2"/>
      <c r="P46" s="2"/>
      <c r="Q46" s="2"/>
      <c r="R46" s="9"/>
      <c r="S46" s="4"/>
      <c r="T46" s="9"/>
      <c r="U46" s="9"/>
      <c r="V46" s="9"/>
      <c r="W46" s="9"/>
      <c r="X46" s="4"/>
      <c r="Y46" s="6"/>
      <c r="Z46" s="4"/>
      <c r="AA46" s="23"/>
      <c r="AB46" s="24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10"/>
      <c r="AU46" s="9"/>
    </row>
    <row r="47" spans="1:47">
      <c r="A47" s="4"/>
      <c r="B47" s="4"/>
      <c r="C47" s="5"/>
      <c r="D47" s="5"/>
      <c r="E47" s="6"/>
      <c r="F47" s="4"/>
      <c r="G47" s="6"/>
      <c r="H47" s="7"/>
      <c r="I47" s="7"/>
      <c r="J47" s="7"/>
      <c r="K47" s="7"/>
      <c r="L47" s="7"/>
      <c r="M47" s="2"/>
      <c r="N47" s="2"/>
      <c r="O47" s="2"/>
      <c r="P47" s="2"/>
      <c r="Q47" s="2"/>
      <c r="R47" s="9"/>
      <c r="S47" s="4"/>
      <c r="T47" s="9"/>
      <c r="U47" s="9"/>
      <c r="V47" s="9"/>
      <c r="W47" s="9"/>
      <c r="X47" s="4"/>
      <c r="Y47" s="6"/>
      <c r="Z47" s="4"/>
      <c r="AA47" s="23"/>
      <c r="AB47" s="24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10"/>
      <c r="AU47" s="9"/>
    </row>
    <row r="48" spans="1:47">
      <c r="A48" s="4"/>
      <c r="B48" s="4"/>
      <c r="C48" s="5"/>
      <c r="D48" s="5"/>
      <c r="E48" s="6"/>
      <c r="F48" s="4"/>
      <c r="G48" s="6"/>
      <c r="H48" s="7"/>
      <c r="I48" s="7"/>
      <c r="J48" s="7"/>
      <c r="K48" s="7"/>
      <c r="L48" s="7"/>
      <c r="M48" s="2"/>
      <c r="N48" s="2"/>
      <c r="O48" s="2"/>
      <c r="P48" s="2"/>
      <c r="Q48" s="2"/>
      <c r="R48" s="9"/>
      <c r="S48" s="4"/>
      <c r="T48" s="9"/>
      <c r="U48" s="9"/>
      <c r="V48" s="9"/>
      <c r="W48" s="9"/>
      <c r="X48" s="4"/>
      <c r="Y48" s="6"/>
      <c r="Z48" s="4"/>
      <c r="AA48" s="23"/>
      <c r="AB48" s="24"/>
      <c r="AC48" s="2"/>
      <c r="AD48" s="2"/>
      <c r="AE48" s="2"/>
      <c r="AF48" s="2"/>
      <c r="AG48" s="2"/>
      <c r="AH48" s="2"/>
      <c r="AI48" s="2"/>
      <c r="AJ48" s="7"/>
      <c r="AK48" s="2"/>
      <c r="AL48" s="2"/>
      <c r="AM48" s="2"/>
      <c r="AN48" s="2"/>
      <c r="AO48" s="2"/>
      <c r="AP48" s="2"/>
      <c r="AQ48" s="2"/>
      <c r="AR48" s="2"/>
      <c r="AS48" s="2"/>
      <c r="AT48" s="10"/>
      <c r="AU48" s="9"/>
    </row>
    <row r="49" spans="1:47">
      <c r="A49" s="4"/>
      <c r="B49" s="4"/>
      <c r="C49" s="5"/>
      <c r="D49" s="5"/>
      <c r="E49" s="6"/>
      <c r="F49" s="4"/>
      <c r="G49" s="6"/>
      <c r="H49" s="26"/>
      <c r="I49" s="24"/>
      <c r="J49" s="24"/>
      <c r="K49" s="24"/>
      <c r="L49" s="24"/>
      <c r="M49" s="2"/>
      <c r="N49" s="2"/>
      <c r="O49" s="2"/>
      <c r="P49" s="2"/>
      <c r="Q49" s="2"/>
      <c r="R49" s="9"/>
      <c r="S49" s="4"/>
      <c r="T49" s="9"/>
      <c r="U49" s="9"/>
      <c r="V49" s="9"/>
      <c r="W49" s="9"/>
      <c r="X49" s="4"/>
      <c r="Y49" s="6"/>
      <c r="Z49" s="4"/>
      <c r="AA49" s="23"/>
      <c r="AB49" s="24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10"/>
      <c r="AU49" s="9"/>
    </row>
    <row r="50" spans="1:47">
      <c r="A50" s="4"/>
      <c r="B50" s="4"/>
      <c r="C50" s="5"/>
      <c r="D50" s="5"/>
      <c r="E50" s="6"/>
      <c r="F50" s="4"/>
      <c r="G50" s="6"/>
      <c r="H50" s="7"/>
      <c r="I50" s="7"/>
      <c r="J50" s="7"/>
      <c r="K50" s="7"/>
      <c r="L50" s="7"/>
      <c r="M50" s="2"/>
      <c r="N50" s="2"/>
      <c r="O50" s="2"/>
      <c r="P50" s="2"/>
      <c r="Q50" s="2"/>
      <c r="R50" s="9"/>
      <c r="S50" s="4"/>
      <c r="T50" s="9"/>
      <c r="U50" s="9"/>
      <c r="V50" s="9"/>
      <c r="W50" s="9"/>
      <c r="X50" s="4"/>
      <c r="Y50" s="6"/>
      <c r="Z50" s="9"/>
      <c r="AA50" s="23"/>
      <c r="AB50" s="24"/>
      <c r="AC50" s="4"/>
      <c r="AD50" s="4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10"/>
      <c r="AU50" s="9"/>
    </row>
    <row r="51" spans="1:47">
      <c r="A51" s="4"/>
      <c r="B51" s="4"/>
      <c r="C51" s="5"/>
      <c r="D51" s="5"/>
      <c r="E51" s="6"/>
      <c r="F51" s="4"/>
      <c r="G51" s="6"/>
      <c r="H51" s="7"/>
      <c r="I51" s="7"/>
      <c r="J51" s="7"/>
      <c r="K51" s="7"/>
      <c r="L51" s="7"/>
      <c r="M51" s="7"/>
      <c r="N51" s="2"/>
      <c r="O51" s="2"/>
      <c r="P51" s="2"/>
      <c r="Q51" s="2"/>
      <c r="R51" s="9"/>
      <c r="S51" s="4"/>
      <c r="T51" s="9"/>
      <c r="U51" s="9"/>
      <c r="V51" s="9"/>
      <c r="W51" s="9"/>
      <c r="X51" s="4"/>
      <c r="Y51" s="6"/>
      <c r="Z51" s="9"/>
      <c r="AA51" s="4"/>
      <c r="AB51" s="4"/>
      <c r="AC51" s="4"/>
      <c r="AD51" s="4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10"/>
      <c r="AU51" s="9"/>
    </row>
    <row r="52" spans="1:47">
      <c r="A52" s="4"/>
      <c r="B52" s="4"/>
      <c r="C52" s="5"/>
      <c r="D52" s="5"/>
      <c r="E52" s="6"/>
      <c r="F52" s="4"/>
      <c r="G52" s="6"/>
      <c r="H52" s="7"/>
      <c r="I52" s="7"/>
      <c r="J52" s="7"/>
      <c r="K52" s="7"/>
      <c r="L52" s="7"/>
      <c r="M52" s="2"/>
      <c r="N52" s="2"/>
      <c r="O52" s="2"/>
      <c r="P52" s="2"/>
      <c r="Q52" s="2"/>
      <c r="R52" s="9"/>
      <c r="S52" s="4"/>
      <c r="T52" s="9"/>
      <c r="U52" s="9"/>
      <c r="V52" s="9"/>
      <c r="W52" s="9"/>
      <c r="X52" s="4"/>
      <c r="Y52" s="6"/>
      <c r="Z52" s="9"/>
      <c r="AA52" s="4"/>
      <c r="AB52" s="4"/>
      <c r="AC52" s="4"/>
      <c r="AD52" s="4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10"/>
      <c r="AU52" s="9"/>
    </row>
    <row r="53" spans="1:47">
      <c r="A53" s="4"/>
      <c r="B53" s="4"/>
      <c r="C53" s="5"/>
      <c r="D53" s="5"/>
      <c r="E53" s="6"/>
      <c r="F53" s="4"/>
      <c r="G53" s="6"/>
      <c r="H53" s="7"/>
      <c r="I53" s="7"/>
      <c r="J53" s="7"/>
      <c r="K53" s="7"/>
      <c r="L53" s="7"/>
      <c r="M53" s="7"/>
      <c r="N53" s="2"/>
      <c r="O53" s="2"/>
      <c r="P53" s="2"/>
      <c r="Q53" s="2"/>
      <c r="R53" s="9"/>
      <c r="S53" s="4"/>
      <c r="T53" s="9"/>
      <c r="U53" s="9"/>
      <c r="V53" s="9"/>
      <c r="W53" s="9"/>
      <c r="X53" s="4"/>
      <c r="Y53" s="6"/>
      <c r="Z53" s="9"/>
      <c r="AA53" s="4"/>
      <c r="AB53" s="4"/>
      <c r="AC53" s="4"/>
      <c r="AD53" s="4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10"/>
      <c r="AU53" s="9"/>
    </row>
    <row r="54" spans="1:47">
      <c r="A54" s="4"/>
      <c r="B54" s="4"/>
      <c r="C54" s="5"/>
      <c r="D54" s="5"/>
      <c r="E54" s="6"/>
      <c r="F54" s="4"/>
      <c r="G54" s="6"/>
      <c r="H54" s="7"/>
      <c r="I54" s="7"/>
      <c r="J54" s="7"/>
      <c r="K54" s="7"/>
      <c r="L54" s="7"/>
      <c r="M54" s="2"/>
      <c r="N54" s="2"/>
      <c r="O54" s="2"/>
      <c r="P54" s="2"/>
      <c r="Q54" s="2"/>
      <c r="R54" s="9"/>
      <c r="S54" s="4"/>
      <c r="T54" s="9"/>
      <c r="U54" s="9"/>
      <c r="V54" s="9"/>
      <c r="W54" s="9"/>
      <c r="X54" s="4"/>
      <c r="Y54" s="6"/>
      <c r="Z54" s="9"/>
      <c r="AA54" s="4"/>
      <c r="AB54" s="4"/>
      <c r="AC54" s="4"/>
      <c r="AD54" s="4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10"/>
      <c r="AU54" s="9"/>
    </row>
    <row r="55" spans="1:47">
      <c r="A55" s="4"/>
      <c r="B55" s="4"/>
      <c r="C55" s="5"/>
      <c r="D55" s="5"/>
      <c r="E55" s="6"/>
      <c r="F55" s="4"/>
      <c r="G55" s="6"/>
      <c r="H55" s="7"/>
      <c r="I55" s="7"/>
      <c r="J55" s="7"/>
      <c r="K55" s="7"/>
      <c r="L55" s="7"/>
      <c r="M55" s="2"/>
      <c r="N55" s="2"/>
      <c r="O55" s="2"/>
      <c r="P55" s="2"/>
      <c r="Q55" s="2"/>
      <c r="R55" s="9"/>
      <c r="S55" s="4"/>
      <c r="T55" s="9"/>
      <c r="U55" s="9"/>
      <c r="V55" s="9"/>
      <c r="W55" s="9"/>
      <c r="X55" s="4"/>
      <c r="Y55" s="6"/>
      <c r="Z55" s="9"/>
      <c r="AA55" s="23"/>
      <c r="AB55" s="24"/>
      <c r="AC55" s="4"/>
      <c r="AD55" s="4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10"/>
      <c r="AU55" s="9"/>
    </row>
    <row r="56" spans="1:47">
      <c r="A56" s="4"/>
      <c r="B56" s="4"/>
      <c r="C56" s="5"/>
      <c r="D56" s="5"/>
      <c r="E56" s="6"/>
      <c r="F56" s="4"/>
      <c r="G56" s="6"/>
      <c r="H56" s="7"/>
      <c r="I56" s="7"/>
      <c r="J56" s="7"/>
      <c r="K56" s="7"/>
      <c r="L56" s="7"/>
      <c r="M56" s="2"/>
      <c r="N56" s="2"/>
      <c r="O56" s="2"/>
      <c r="P56" s="2"/>
      <c r="Q56" s="2"/>
      <c r="R56" s="9"/>
      <c r="S56" s="4"/>
      <c r="T56" s="9"/>
      <c r="U56" s="9"/>
      <c r="V56" s="9"/>
      <c r="W56" s="9"/>
      <c r="X56" s="4"/>
      <c r="Y56" s="6"/>
      <c r="Z56" s="4"/>
      <c r="AA56" s="23"/>
      <c r="AB56" s="24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10"/>
      <c r="AU56" s="9"/>
    </row>
    <row r="57" spans="1:47">
      <c r="A57" s="4"/>
      <c r="B57" s="4"/>
      <c r="C57" s="5"/>
      <c r="D57" s="5"/>
      <c r="E57" s="6"/>
      <c r="F57" s="4"/>
      <c r="G57" s="6"/>
      <c r="H57" s="7"/>
      <c r="I57" s="7"/>
      <c r="J57" s="7"/>
      <c r="K57" s="7"/>
      <c r="L57" s="7"/>
      <c r="M57" s="7"/>
      <c r="N57" s="7"/>
      <c r="O57" s="7"/>
      <c r="P57" s="2"/>
      <c r="Q57" s="2"/>
      <c r="R57" s="9"/>
      <c r="S57" s="4"/>
      <c r="T57" s="9"/>
      <c r="U57" s="9"/>
      <c r="V57" s="9"/>
      <c r="W57" s="9"/>
      <c r="X57" s="4"/>
      <c r="Y57" s="6"/>
      <c r="Z57" s="9"/>
      <c r="AA57" s="4"/>
      <c r="AB57" s="4"/>
      <c r="AC57" s="4"/>
      <c r="AD57" s="4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10"/>
      <c r="AU57" s="9"/>
    </row>
    <row r="58" spans="1:47">
      <c r="A58" s="4"/>
      <c r="B58" s="4"/>
      <c r="C58" s="5"/>
      <c r="D58" s="5"/>
      <c r="E58" s="6"/>
      <c r="F58" s="4"/>
      <c r="G58" s="6"/>
      <c r="H58" s="7"/>
      <c r="I58" s="7"/>
      <c r="J58" s="7"/>
      <c r="K58" s="7"/>
      <c r="L58" s="7"/>
      <c r="M58" s="2"/>
      <c r="N58" s="2"/>
      <c r="O58" s="2"/>
      <c r="P58" s="2"/>
      <c r="Q58" s="2"/>
      <c r="R58" s="9"/>
      <c r="S58" s="4"/>
      <c r="T58" s="9"/>
      <c r="U58" s="9"/>
      <c r="V58" s="9"/>
      <c r="W58" s="9"/>
      <c r="X58" s="4"/>
      <c r="Y58" s="6"/>
      <c r="Z58" s="9"/>
      <c r="AA58" s="4"/>
      <c r="AB58" s="4"/>
      <c r="AC58" s="4"/>
      <c r="AD58" s="4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10"/>
      <c r="AU58" s="9"/>
    </row>
    <row r="59" spans="1:47">
      <c r="A59" s="4"/>
      <c r="B59" s="4"/>
      <c r="C59" s="5"/>
      <c r="D59" s="5"/>
      <c r="E59" s="6"/>
      <c r="F59" s="4"/>
      <c r="G59" s="6"/>
      <c r="H59" s="7"/>
      <c r="I59" s="7"/>
      <c r="J59" s="7"/>
      <c r="K59" s="7"/>
      <c r="L59" s="2"/>
      <c r="M59" s="2"/>
      <c r="N59" s="2"/>
      <c r="O59" s="2"/>
      <c r="P59" s="2"/>
      <c r="Q59" s="2"/>
      <c r="R59" s="9"/>
      <c r="S59" s="4"/>
      <c r="T59" s="9"/>
      <c r="U59" s="9"/>
      <c r="V59" s="9"/>
      <c r="W59" s="9"/>
      <c r="X59" s="4"/>
      <c r="Y59" s="6"/>
      <c r="Z59" s="9"/>
      <c r="AA59" s="4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10"/>
      <c r="AU59" s="9"/>
    </row>
    <row r="60" spans="1:47">
      <c r="A60" s="4"/>
      <c r="B60" s="4"/>
      <c r="C60" s="5"/>
      <c r="D60" s="5"/>
      <c r="E60" s="6"/>
      <c r="F60" s="4"/>
      <c r="G60" s="6"/>
      <c r="H60" s="7"/>
      <c r="I60" s="7"/>
      <c r="J60" s="7"/>
      <c r="K60" s="7"/>
      <c r="L60" s="7"/>
      <c r="M60" s="2"/>
      <c r="N60" s="2"/>
      <c r="O60" s="2"/>
      <c r="P60" s="2"/>
      <c r="Q60" s="2"/>
      <c r="R60" s="9"/>
      <c r="S60" s="4"/>
      <c r="T60" s="9"/>
      <c r="U60" s="9"/>
      <c r="V60" s="9"/>
      <c r="W60" s="9"/>
      <c r="X60" s="4"/>
      <c r="Y60" s="6"/>
      <c r="Z60" s="9"/>
      <c r="AA60" s="23"/>
      <c r="AB60" s="24"/>
      <c r="AC60" s="27"/>
      <c r="AD60" s="24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10"/>
      <c r="AU60" s="9"/>
    </row>
    <row r="61" spans="1:47">
      <c r="A61" s="4"/>
      <c r="B61" s="4"/>
      <c r="C61" s="5"/>
      <c r="D61" s="5"/>
      <c r="E61" s="6"/>
      <c r="F61" s="4"/>
      <c r="G61" s="6"/>
      <c r="H61" s="7"/>
      <c r="I61" s="7"/>
      <c r="J61" s="7"/>
      <c r="K61" s="7"/>
      <c r="L61" s="7"/>
      <c r="M61" s="2"/>
      <c r="N61" s="2"/>
      <c r="O61" s="2"/>
      <c r="P61" s="2"/>
      <c r="Q61" s="2"/>
      <c r="R61" s="9"/>
      <c r="S61" s="4"/>
      <c r="T61" s="9"/>
      <c r="U61" s="9"/>
      <c r="V61" s="9"/>
      <c r="W61" s="9"/>
      <c r="X61" s="4"/>
      <c r="Y61" s="6"/>
      <c r="Z61" s="9"/>
      <c r="AA61" s="23"/>
      <c r="AB61" s="24"/>
      <c r="AC61" s="27"/>
      <c r="AD61" s="24"/>
      <c r="AE61" s="2"/>
      <c r="AF61" s="2"/>
      <c r="AG61" s="2"/>
      <c r="AH61" s="2"/>
      <c r="AI61" s="2"/>
      <c r="AJ61" s="7"/>
      <c r="AK61" s="2"/>
      <c r="AL61" s="2"/>
      <c r="AM61" s="2"/>
      <c r="AN61" s="2"/>
      <c r="AO61" s="2"/>
      <c r="AP61" s="2"/>
      <c r="AQ61" s="2"/>
      <c r="AR61" s="2"/>
      <c r="AS61" s="2"/>
      <c r="AT61" s="10"/>
      <c r="AU61" s="9"/>
    </row>
    <row r="62" spans="1:47">
      <c r="A62" s="4"/>
      <c r="B62" s="4"/>
      <c r="C62" s="5"/>
      <c r="D62" s="5"/>
      <c r="E62" s="6"/>
      <c r="F62" s="4"/>
      <c r="G62" s="6"/>
      <c r="H62" s="7"/>
      <c r="I62" s="7"/>
      <c r="J62" s="7"/>
      <c r="K62" s="7"/>
      <c r="L62" s="7"/>
      <c r="M62" s="2"/>
      <c r="N62" s="2"/>
      <c r="O62" s="2"/>
      <c r="P62" s="2"/>
      <c r="Q62" s="2"/>
      <c r="R62" s="9"/>
      <c r="S62" s="4"/>
      <c r="T62" s="9"/>
      <c r="U62" s="9"/>
      <c r="V62" s="9"/>
      <c r="W62" s="9"/>
      <c r="X62" s="4"/>
      <c r="Y62" s="6"/>
      <c r="Z62" s="4"/>
      <c r="AA62" s="23"/>
      <c r="AB62" s="24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10"/>
      <c r="AU62" s="9"/>
    </row>
    <row r="63" spans="1:47">
      <c r="A63" s="4"/>
      <c r="B63" s="4"/>
      <c r="C63" s="5"/>
      <c r="D63" s="5"/>
      <c r="E63" s="6"/>
      <c r="F63" s="4"/>
      <c r="G63" s="6"/>
      <c r="H63" s="7"/>
      <c r="I63" s="7"/>
      <c r="J63" s="7"/>
      <c r="K63" s="7"/>
      <c r="L63" s="7"/>
      <c r="M63" s="2"/>
      <c r="N63" s="2"/>
      <c r="O63" s="2"/>
      <c r="P63" s="2"/>
      <c r="Q63" s="2"/>
      <c r="R63" s="9"/>
      <c r="S63" s="4"/>
      <c r="T63" s="9"/>
      <c r="U63" s="9"/>
      <c r="V63" s="9"/>
      <c r="W63" s="9"/>
      <c r="X63" s="4"/>
      <c r="Y63" s="6"/>
      <c r="Z63" s="4"/>
      <c r="AA63" s="23"/>
      <c r="AB63" s="24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10"/>
      <c r="AU63" s="9"/>
    </row>
    <row r="64" spans="1:47">
      <c r="A64" s="4"/>
      <c r="B64" s="4"/>
      <c r="C64" s="5"/>
      <c r="D64" s="5"/>
      <c r="E64" s="6"/>
      <c r="F64" s="4"/>
      <c r="G64" s="6"/>
      <c r="H64" s="7"/>
      <c r="I64" s="7"/>
      <c r="J64" s="7"/>
      <c r="K64" s="7"/>
      <c r="L64" s="7"/>
      <c r="M64" s="2"/>
      <c r="N64" s="2"/>
      <c r="O64" s="2"/>
      <c r="P64" s="2"/>
      <c r="Q64" s="2"/>
      <c r="R64" s="9"/>
      <c r="S64" s="4"/>
      <c r="T64" s="9"/>
      <c r="U64" s="9"/>
      <c r="V64" s="9"/>
      <c r="W64" s="9"/>
      <c r="X64" s="4"/>
      <c r="Y64" s="6"/>
      <c r="Z64" s="9"/>
      <c r="AA64" s="4"/>
      <c r="AB64" s="4"/>
      <c r="AC64" s="4"/>
      <c r="AD64" s="4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10"/>
      <c r="AU64" s="9"/>
    </row>
    <row r="65" spans="1:47">
      <c r="A65" s="4"/>
      <c r="B65" s="4"/>
      <c r="C65" s="5"/>
      <c r="D65" s="5"/>
      <c r="E65" s="6"/>
      <c r="F65" s="4"/>
      <c r="G65" s="6"/>
      <c r="H65" s="7"/>
      <c r="I65" s="7"/>
      <c r="J65" s="7"/>
      <c r="K65" s="7"/>
      <c r="L65" s="7"/>
      <c r="M65" s="2"/>
      <c r="N65" s="2"/>
      <c r="O65" s="2"/>
      <c r="P65" s="2"/>
      <c r="Q65" s="2"/>
      <c r="R65" s="9"/>
      <c r="S65" s="4"/>
      <c r="T65" s="9"/>
      <c r="U65" s="9"/>
      <c r="V65" s="9"/>
      <c r="W65" s="9"/>
      <c r="X65" s="4"/>
      <c r="Y65" s="6"/>
      <c r="Z65" s="9"/>
      <c r="AA65" s="23"/>
      <c r="AB65" s="24"/>
      <c r="AC65" s="4"/>
      <c r="AD65" s="4"/>
      <c r="AE65" s="2"/>
      <c r="AF65" s="2"/>
      <c r="AG65" s="2"/>
      <c r="AH65" s="2"/>
      <c r="AI65" s="2"/>
      <c r="AJ65" s="7"/>
      <c r="AK65" s="2"/>
      <c r="AL65" s="2"/>
      <c r="AM65" s="2"/>
      <c r="AN65" s="2"/>
      <c r="AO65" s="2"/>
      <c r="AP65" s="2"/>
      <c r="AQ65" s="2"/>
      <c r="AR65" s="2"/>
      <c r="AS65" s="2"/>
      <c r="AT65" s="10"/>
      <c r="AU65" s="9"/>
    </row>
    <row r="66" spans="1:47">
      <c r="A66" s="4"/>
      <c r="B66" s="4"/>
      <c r="C66" s="5"/>
      <c r="D66" s="5"/>
      <c r="E66" s="6"/>
      <c r="F66" s="4"/>
      <c r="G66" s="6"/>
      <c r="H66" s="7"/>
      <c r="I66" s="7"/>
      <c r="J66" s="7"/>
      <c r="K66" s="7"/>
      <c r="L66" s="7"/>
      <c r="M66" s="7"/>
      <c r="N66" s="2"/>
      <c r="O66" s="2"/>
      <c r="P66" s="2"/>
      <c r="Q66" s="2"/>
      <c r="R66" s="9"/>
      <c r="S66" s="4"/>
      <c r="T66" s="9"/>
      <c r="U66" s="9"/>
      <c r="V66" s="9"/>
      <c r="W66" s="9"/>
      <c r="X66" s="4"/>
      <c r="Y66" s="6"/>
      <c r="Z66" s="9"/>
      <c r="AA66" s="23"/>
      <c r="AB66" s="24"/>
      <c r="AC66" s="25"/>
      <c r="AD66" s="24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10"/>
      <c r="AU66" s="9"/>
    </row>
    <row r="67" spans="1:47">
      <c r="A67" s="4"/>
      <c r="B67" s="4"/>
      <c r="C67" s="5"/>
      <c r="D67" s="5"/>
      <c r="E67" s="6"/>
      <c r="F67" s="4"/>
      <c r="G67" s="6"/>
      <c r="H67" s="7"/>
      <c r="I67" s="7"/>
      <c r="J67" s="7"/>
      <c r="K67" s="7"/>
      <c r="L67" s="7"/>
      <c r="M67" s="2"/>
      <c r="N67" s="2"/>
      <c r="O67" s="2"/>
      <c r="P67" s="2"/>
      <c r="Q67" s="2"/>
      <c r="R67" s="9"/>
      <c r="S67" s="4"/>
      <c r="T67" s="9"/>
      <c r="U67" s="9"/>
      <c r="V67" s="9"/>
      <c r="W67" s="9"/>
      <c r="X67" s="4"/>
      <c r="Y67" s="6"/>
      <c r="Z67" s="9"/>
      <c r="AA67" s="23"/>
      <c r="AB67" s="24"/>
      <c r="AC67" s="4"/>
      <c r="AD67" s="4"/>
      <c r="AE67" s="2"/>
      <c r="AF67" s="2"/>
      <c r="AG67" s="2"/>
      <c r="AH67" s="2"/>
      <c r="AI67" s="2"/>
      <c r="AJ67" s="7"/>
      <c r="AK67" s="2"/>
      <c r="AL67" s="2"/>
      <c r="AM67" s="2"/>
      <c r="AN67" s="2"/>
      <c r="AO67" s="2"/>
      <c r="AP67" s="2"/>
      <c r="AQ67" s="2"/>
      <c r="AR67" s="2"/>
      <c r="AS67" s="2"/>
      <c r="AT67" s="10"/>
      <c r="AU67" s="9"/>
    </row>
    <row r="68" spans="1:47">
      <c r="A68" s="4"/>
      <c r="B68" s="4"/>
      <c r="C68" s="5"/>
      <c r="D68" s="5"/>
      <c r="E68" s="6"/>
      <c r="F68" s="4"/>
      <c r="G68" s="6"/>
      <c r="H68" s="7"/>
      <c r="I68" s="7"/>
      <c r="J68" s="7"/>
      <c r="K68" s="7"/>
      <c r="L68" s="7"/>
      <c r="M68" s="2"/>
      <c r="N68" s="2"/>
      <c r="O68" s="2"/>
      <c r="P68" s="2"/>
      <c r="Q68" s="2"/>
      <c r="R68" s="9"/>
      <c r="S68" s="4"/>
      <c r="T68" s="9"/>
      <c r="U68" s="9"/>
      <c r="V68" s="9"/>
      <c r="W68" s="9"/>
      <c r="X68" s="4"/>
      <c r="Y68" s="6"/>
      <c r="Z68" s="9"/>
      <c r="AA68" s="23"/>
      <c r="AB68" s="24"/>
      <c r="AC68" s="4"/>
      <c r="AD68" s="4"/>
      <c r="AE68" s="2"/>
      <c r="AF68" s="2"/>
      <c r="AG68" s="2"/>
      <c r="AH68" s="2"/>
      <c r="AI68" s="2"/>
      <c r="AJ68" s="7"/>
      <c r="AK68" s="2"/>
      <c r="AL68" s="2"/>
      <c r="AM68" s="2"/>
      <c r="AN68" s="2"/>
      <c r="AO68" s="2"/>
      <c r="AP68" s="2"/>
      <c r="AQ68" s="2"/>
      <c r="AR68" s="2"/>
      <c r="AS68" s="2"/>
      <c r="AT68" s="10"/>
      <c r="AU68" s="9"/>
    </row>
    <row r="69" spans="1:47">
      <c r="A69" s="4"/>
      <c r="B69" s="4"/>
      <c r="C69" s="5"/>
      <c r="D69" s="5"/>
      <c r="E69" s="6"/>
      <c r="F69" s="4"/>
      <c r="G69" s="6"/>
      <c r="H69" s="7"/>
      <c r="I69" s="7"/>
      <c r="J69" s="7"/>
      <c r="K69" s="7"/>
      <c r="L69" s="7"/>
      <c r="M69" s="7"/>
      <c r="N69" s="2"/>
      <c r="O69" s="2"/>
      <c r="P69" s="2"/>
      <c r="Q69" s="2"/>
      <c r="R69" s="9"/>
      <c r="S69" s="4"/>
      <c r="T69" s="9"/>
      <c r="U69" s="9"/>
      <c r="V69" s="9"/>
      <c r="W69" s="9"/>
      <c r="X69" s="4"/>
      <c r="Y69" s="6"/>
      <c r="Z69" s="9"/>
      <c r="AA69" s="4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10"/>
      <c r="AU69" s="9"/>
    </row>
    <row r="70" spans="1:47">
      <c r="A70" s="4"/>
      <c r="B70" s="4"/>
      <c r="C70" s="5"/>
      <c r="D70" s="5"/>
      <c r="E70" s="6"/>
      <c r="F70" s="4"/>
      <c r="G70" s="6"/>
      <c r="H70" s="7"/>
      <c r="M70" s="2"/>
      <c r="N70" s="2"/>
      <c r="O70" s="2"/>
      <c r="P70" s="2"/>
      <c r="Q70" s="2"/>
      <c r="R70" s="9"/>
      <c r="S70" s="4"/>
      <c r="T70" s="9"/>
      <c r="U70" s="9"/>
      <c r="V70" s="9"/>
      <c r="W70" s="9"/>
      <c r="X70" s="4"/>
      <c r="Y70" s="6"/>
      <c r="Z70" s="9"/>
      <c r="AA70" s="4"/>
      <c r="AB70" s="4"/>
      <c r="AC70" s="4"/>
      <c r="AD70" s="4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10"/>
      <c r="AU70" s="9"/>
    </row>
    <row r="71" spans="1:47">
      <c r="A71" s="4"/>
      <c r="B71" s="4"/>
      <c r="C71" s="5"/>
      <c r="D71" s="5"/>
      <c r="E71" s="6"/>
      <c r="F71" s="4"/>
      <c r="G71" s="6"/>
      <c r="H71" s="7"/>
      <c r="M71" s="2"/>
      <c r="N71" s="2"/>
      <c r="O71" s="2"/>
      <c r="P71" s="2"/>
      <c r="Q71" s="2"/>
      <c r="R71" s="9"/>
      <c r="S71" s="4"/>
      <c r="T71" s="9"/>
      <c r="U71" s="9"/>
      <c r="V71" s="9"/>
      <c r="W71" s="9"/>
      <c r="X71" s="4"/>
      <c r="Y71" s="6"/>
      <c r="Z71" s="9"/>
      <c r="AA71" s="4"/>
      <c r="AB71" s="4"/>
      <c r="AC71" s="4"/>
      <c r="AD71" s="4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10"/>
      <c r="AU71" s="9"/>
    </row>
    <row r="72" spans="1:47">
      <c r="A72" s="4"/>
      <c r="B72" s="4"/>
      <c r="C72" s="5"/>
      <c r="D72" s="5"/>
      <c r="E72" s="6"/>
      <c r="F72" s="4"/>
      <c r="G72" s="6"/>
      <c r="H72" s="7"/>
      <c r="I72" s="7"/>
      <c r="J72" s="7"/>
      <c r="K72" s="2"/>
      <c r="L72" s="2"/>
      <c r="M72" s="2"/>
      <c r="N72" s="2"/>
      <c r="O72" s="2"/>
      <c r="P72" s="2"/>
      <c r="Q72" s="2"/>
      <c r="R72" s="9"/>
      <c r="S72" s="4"/>
      <c r="T72" s="9"/>
      <c r="U72" s="9"/>
      <c r="V72" s="9"/>
      <c r="W72" s="9"/>
      <c r="X72" s="4"/>
      <c r="Y72" s="6"/>
      <c r="Z72" s="9"/>
      <c r="AA72" s="4"/>
      <c r="AB72" s="4"/>
      <c r="AC72" s="4"/>
      <c r="AD72" s="4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10"/>
      <c r="AU72" s="9"/>
    </row>
    <row r="73" spans="1:47">
      <c r="A73" s="4"/>
      <c r="B73" s="4"/>
      <c r="C73" s="5"/>
      <c r="D73" s="5"/>
      <c r="E73" s="6"/>
      <c r="F73" s="4"/>
      <c r="G73" s="6"/>
      <c r="H73" s="7"/>
      <c r="I73" s="7"/>
      <c r="J73" s="7"/>
      <c r="K73" s="2"/>
      <c r="L73" s="2"/>
      <c r="M73" s="2"/>
      <c r="N73" s="2"/>
      <c r="O73" s="2"/>
      <c r="P73" s="2"/>
      <c r="Q73" s="2"/>
      <c r="R73" s="9"/>
      <c r="S73" s="4"/>
      <c r="T73" s="9"/>
      <c r="U73" s="9"/>
      <c r="V73" s="9"/>
      <c r="W73" s="9"/>
      <c r="X73" s="4"/>
      <c r="Y73" s="6"/>
      <c r="Z73" s="9"/>
      <c r="AA73" s="4"/>
      <c r="AB73" s="4"/>
      <c r="AC73" s="4"/>
      <c r="AD73" s="4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10"/>
      <c r="AU73" s="9"/>
    </row>
    <row r="74" spans="1:47">
      <c r="A74" s="4"/>
      <c r="B74" s="4"/>
      <c r="C74" s="5"/>
      <c r="D74" s="5"/>
      <c r="E74" s="6"/>
      <c r="F74" s="4"/>
      <c r="G74" s="6"/>
      <c r="H74" s="7"/>
      <c r="I74" s="7"/>
      <c r="J74" s="7"/>
      <c r="K74" s="7"/>
      <c r="L74" s="7"/>
      <c r="M74" s="2"/>
      <c r="N74" s="2"/>
      <c r="O74" s="2"/>
      <c r="P74" s="2"/>
      <c r="Q74" s="2"/>
      <c r="R74" s="9"/>
      <c r="S74" s="4"/>
      <c r="T74" s="9"/>
      <c r="U74" s="9"/>
      <c r="V74" s="9"/>
      <c r="W74" s="9"/>
      <c r="X74" s="4"/>
      <c r="Y74" s="6"/>
      <c r="Z74" s="4"/>
      <c r="AA74" s="23"/>
      <c r="AB74" s="24"/>
      <c r="AC74" s="2"/>
      <c r="AD74" s="2"/>
      <c r="AE74" s="2"/>
      <c r="AF74" s="2"/>
      <c r="AG74" s="2"/>
      <c r="AH74" s="2"/>
      <c r="AI74" s="2"/>
      <c r="AJ74" s="7"/>
      <c r="AK74" s="2"/>
      <c r="AL74" s="2"/>
      <c r="AM74" s="2"/>
      <c r="AN74" s="2"/>
      <c r="AO74" s="2"/>
      <c r="AP74" s="2"/>
      <c r="AQ74" s="2"/>
      <c r="AR74" s="2"/>
      <c r="AS74" s="2"/>
      <c r="AT74" s="10"/>
      <c r="AU74" s="9"/>
    </row>
    <row r="75" spans="1:47">
      <c r="A75" s="4"/>
      <c r="B75" s="4"/>
      <c r="C75" s="5"/>
      <c r="D75" s="5"/>
      <c r="E75" s="6"/>
      <c r="F75" s="4"/>
      <c r="G75" s="6"/>
      <c r="H75" s="7"/>
      <c r="I75" s="7"/>
      <c r="J75" s="7"/>
      <c r="K75" s="7"/>
      <c r="L75" s="7"/>
      <c r="M75" s="2"/>
      <c r="N75" s="2"/>
      <c r="O75" s="2"/>
      <c r="P75" s="2"/>
      <c r="Q75" s="2"/>
      <c r="R75" s="9"/>
      <c r="S75" s="4"/>
      <c r="T75" s="9"/>
      <c r="U75" s="9"/>
      <c r="V75" s="9"/>
      <c r="W75" s="9"/>
      <c r="X75" s="4"/>
      <c r="Y75" s="6"/>
      <c r="Z75" s="9"/>
      <c r="AA75" s="23"/>
      <c r="AB75" s="24"/>
      <c r="AC75" s="4"/>
      <c r="AD75" s="4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10"/>
      <c r="AU75" s="9"/>
    </row>
    <row r="76" spans="1:47">
      <c r="A76" s="4"/>
      <c r="B76" s="4"/>
      <c r="C76" s="5"/>
      <c r="D76" s="5"/>
      <c r="E76" s="6"/>
      <c r="F76" s="4"/>
      <c r="G76" s="6"/>
      <c r="H76" s="7"/>
      <c r="I76" s="7"/>
      <c r="J76" s="7"/>
      <c r="K76" s="7"/>
      <c r="L76" s="7"/>
      <c r="M76" s="7"/>
      <c r="N76" s="7"/>
      <c r="O76" s="2"/>
      <c r="P76" s="2"/>
      <c r="Q76" s="2"/>
      <c r="R76" s="9"/>
      <c r="S76" s="4"/>
      <c r="T76" s="9"/>
      <c r="U76" s="9"/>
      <c r="V76" s="9"/>
      <c r="W76" s="9"/>
      <c r="X76" s="4"/>
      <c r="Y76" s="6"/>
      <c r="Z76" s="9"/>
      <c r="AA76" s="4"/>
      <c r="AB76" s="4"/>
      <c r="AC76" s="4"/>
      <c r="AD76" s="4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10"/>
      <c r="AU76" s="9"/>
    </row>
    <row r="77" spans="1:47">
      <c r="A77" s="4"/>
      <c r="B77" s="4"/>
      <c r="C77" s="5"/>
      <c r="D77" s="5"/>
      <c r="E77" s="6"/>
      <c r="F77" s="4"/>
      <c r="G77" s="6"/>
      <c r="H77" s="7"/>
      <c r="I77" s="7"/>
      <c r="J77" s="7"/>
      <c r="K77" s="7"/>
      <c r="L77" s="7"/>
      <c r="M77" s="7"/>
      <c r="N77" s="2"/>
      <c r="O77" s="2"/>
      <c r="P77" s="2"/>
      <c r="Q77" s="2"/>
      <c r="R77" s="9"/>
      <c r="S77" s="4"/>
      <c r="T77" s="9"/>
      <c r="U77" s="9"/>
      <c r="V77" s="9"/>
      <c r="W77" s="9"/>
      <c r="X77" s="4"/>
      <c r="Y77" s="6"/>
      <c r="Z77" s="9"/>
      <c r="AA77" s="4"/>
      <c r="AB77" s="4"/>
      <c r="AC77" s="4"/>
      <c r="AD77" s="4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10"/>
      <c r="AU77" s="9"/>
    </row>
    <row r="78" spans="1:47">
      <c r="A78" s="4"/>
      <c r="B78" s="4"/>
      <c r="C78" s="5"/>
      <c r="D78" s="5"/>
      <c r="E78" s="6"/>
      <c r="F78" s="4"/>
      <c r="G78" s="6"/>
      <c r="H78" s="7"/>
      <c r="I78" s="7"/>
      <c r="J78" s="26"/>
      <c r="K78" s="24"/>
      <c r="L78" s="24"/>
      <c r="M78" s="2"/>
      <c r="N78" s="2"/>
      <c r="O78" s="2"/>
      <c r="P78" s="2"/>
      <c r="Q78" s="2"/>
      <c r="R78" s="9"/>
      <c r="S78" s="4"/>
      <c r="T78" s="9"/>
      <c r="U78" s="9"/>
      <c r="V78" s="9"/>
      <c r="W78" s="9"/>
      <c r="X78" s="4"/>
      <c r="Y78" s="6"/>
      <c r="Z78" s="4"/>
      <c r="AA78" s="23"/>
      <c r="AB78" s="24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10"/>
      <c r="AU78" s="9"/>
    </row>
    <row r="79" spans="1:47">
      <c r="A79" s="4"/>
      <c r="B79" s="4"/>
      <c r="C79" s="5"/>
      <c r="D79" s="5"/>
      <c r="E79" s="6"/>
      <c r="F79" s="4"/>
      <c r="G79" s="6"/>
      <c r="H79" s="7"/>
      <c r="I79" s="7"/>
      <c r="J79" s="7"/>
      <c r="K79" s="7"/>
      <c r="L79" s="7"/>
      <c r="M79" s="7"/>
      <c r="N79" s="2"/>
      <c r="O79" s="2"/>
      <c r="P79" s="2"/>
      <c r="Q79" s="2"/>
      <c r="R79" s="9"/>
      <c r="S79" s="4"/>
      <c r="T79" s="9"/>
      <c r="U79" s="9"/>
      <c r="V79" s="9"/>
      <c r="W79" s="9"/>
      <c r="X79" s="4"/>
      <c r="Y79" s="6"/>
      <c r="Z79" s="9"/>
      <c r="AA79" s="4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10"/>
      <c r="AU79" s="9"/>
    </row>
    <row r="80" spans="1:47">
      <c r="A80" s="4"/>
      <c r="B80" s="4"/>
      <c r="C80" s="5"/>
      <c r="D80" s="5"/>
      <c r="E80" s="6"/>
      <c r="F80" s="4"/>
      <c r="G80" s="6"/>
      <c r="H80" s="7"/>
      <c r="I80" s="7"/>
      <c r="J80" s="7"/>
      <c r="K80" s="7"/>
      <c r="L80" s="7"/>
      <c r="M80" s="2"/>
      <c r="N80" s="2"/>
      <c r="O80" s="2"/>
      <c r="P80" s="2"/>
      <c r="Q80" s="2"/>
      <c r="R80" s="9"/>
      <c r="S80" s="4"/>
      <c r="T80" s="9"/>
      <c r="U80" s="9"/>
      <c r="V80" s="9"/>
      <c r="W80" s="9"/>
      <c r="X80" s="4"/>
      <c r="Y80" s="6"/>
      <c r="Z80" s="9"/>
      <c r="AA80" s="4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10"/>
      <c r="AU80" s="9"/>
    </row>
    <row r="81" spans="1:47">
      <c r="A81" s="4"/>
      <c r="B81" s="4"/>
      <c r="C81" s="5"/>
      <c r="D81" s="5"/>
      <c r="E81" s="6"/>
      <c r="F81" s="4"/>
      <c r="G81" s="6"/>
      <c r="H81" s="7"/>
      <c r="I81" s="7"/>
      <c r="J81" s="7"/>
      <c r="K81" s="7"/>
      <c r="L81" s="7"/>
      <c r="M81" s="2"/>
      <c r="N81" s="2"/>
      <c r="O81" s="2"/>
      <c r="P81" s="2"/>
      <c r="Q81" s="2"/>
      <c r="R81" s="9"/>
      <c r="S81" s="4"/>
      <c r="T81" s="9"/>
      <c r="U81" s="9"/>
      <c r="V81" s="9"/>
      <c r="W81" s="9"/>
      <c r="X81" s="4"/>
      <c r="Y81" s="6"/>
      <c r="Z81" s="4"/>
      <c r="AA81" s="23"/>
      <c r="AB81" s="24"/>
      <c r="AC81" s="2"/>
      <c r="AD81" s="2"/>
      <c r="AE81" s="2"/>
      <c r="AF81" s="2"/>
      <c r="AG81" s="2"/>
      <c r="AH81" s="2"/>
      <c r="AI81" s="2"/>
      <c r="AJ81" s="7"/>
      <c r="AK81" s="2"/>
      <c r="AL81" s="2"/>
      <c r="AM81" s="2"/>
      <c r="AN81" s="2"/>
      <c r="AO81" s="2"/>
      <c r="AP81" s="2"/>
      <c r="AQ81" s="2"/>
      <c r="AR81" s="2"/>
      <c r="AS81" s="2"/>
      <c r="AT81" s="10"/>
      <c r="AU81" s="9"/>
    </row>
    <row r="82" spans="1:47">
      <c r="A82" s="4"/>
      <c r="B82" s="4"/>
      <c r="C82" s="5"/>
      <c r="D82" s="5"/>
      <c r="E82" s="6"/>
      <c r="F82" s="4"/>
      <c r="G82" s="6"/>
      <c r="H82" s="7"/>
      <c r="I82" s="7"/>
      <c r="J82" s="7"/>
      <c r="K82" s="7"/>
      <c r="L82" s="7"/>
      <c r="M82" s="2"/>
      <c r="N82" s="2"/>
      <c r="O82" s="2"/>
      <c r="P82" s="2"/>
      <c r="Q82" s="2"/>
      <c r="R82" s="9"/>
      <c r="S82" s="4"/>
      <c r="T82" s="9"/>
      <c r="U82" s="9"/>
      <c r="V82" s="9"/>
      <c r="W82" s="9"/>
      <c r="X82" s="4"/>
      <c r="Y82" s="6"/>
      <c r="Z82" s="4"/>
      <c r="AA82" s="23"/>
      <c r="AB82" s="24"/>
      <c r="AC82" s="25"/>
      <c r="AD82" s="24"/>
      <c r="AE82" s="2"/>
      <c r="AF82" s="2"/>
      <c r="AG82" s="2"/>
      <c r="AH82" s="2"/>
      <c r="AI82" s="2"/>
      <c r="AJ82" s="7"/>
      <c r="AK82" s="2"/>
      <c r="AL82" s="2"/>
      <c r="AM82" s="2"/>
      <c r="AN82" s="2"/>
      <c r="AO82" s="2"/>
      <c r="AP82" s="2"/>
      <c r="AQ82" s="2"/>
      <c r="AR82" s="2"/>
      <c r="AS82" s="2"/>
      <c r="AT82" s="10"/>
      <c r="AU82" s="9"/>
    </row>
    <row r="83" spans="1:47">
      <c r="A83" s="4"/>
      <c r="B83" s="4"/>
      <c r="C83" s="5"/>
      <c r="D83" s="5"/>
      <c r="E83" s="6"/>
      <c r="F83" s="4"/>
      <c r="G83" s="6"/>
      <c r="H83" s="7"/>
      <c r="I83" s="7"/>
      <c r="J83" s="7"/>
      <c r="K83" s="7"/>
      <c r="L83" s="7"/>
      <c r="M83" s="2"/>
      <c r="N83" s="2"/>
      <c r="O83" s="2"/>
      <c r="P83" s="2"/>
      <c r="Q83" s="2"/>
      <c r="R83" s="9"/>
      <c r="S83" s="4"/>
      <c r="T83" s="9"/>
      <c r="U83" s="9"/>
      <c r="V83" s="9"/>
      <c r="W83" s="9"/>
      <c r="X83" s="4"/>
      <c r="Y83" s="6"/>
      <c r="Z83" s="4"/>
      <c r="AA83" s="23"/>
      <c r="AB83" s="24"/>
      <c r="AC83" s="25"/>
      <c r="AD83" s="24"/>
      <c r="AE83" s="2"/>
      <c r="AF83" s="2"/>
      <c r="AG83" s="2"/>
      <c r="AH83" s="2"/>
      <c r="AI83" s="2"/>
      <c r="AJ83" s="7"/>
      <c r="AK83" s="2"/>
      <c r="AL83" s="2"/>
      <c r="AM83" s="2"/>
      <c r="AN83" s="2"/>
      <c r="AO83" s="2"/>
      <c r="AP83" s="2"/>
      <c r="AQ83" s="2"/>
      <c r="AR83" s="2"/>
      <c r="AS83" s="2"/>
      <c r="AT83" s="10"/>
      <c r="AU83" s="9"/>
    </row>
    <row r="84" spans="1:47">
      <c r="A84" s="4"/>
      <c r="B84" s="4"/>
      <c r="C84" s="5"/>
      <c r="D84" s="5"/>
      <c r="E84" s="6"/>
      <c r="F84" s="4"/>
      <c r="G84" s="6"/>
      <c r="H84" s="7"/>
      <c r="I84" s="7"/>
      <c r="J84" s="7"/>
      <c r="K84" s="7"/>
      <c r="L84" s="7"/>
      <c r="M84" s="7"/>
      <c r="N84" s="2"/>
      <c r="O84" s="2"/>
      <c r="P84" s="2"/>
      <c r="Q84" s="2"/>
      <c r="R84" s="9"/>
      <c r="S84" s="4"/>
      <c r="T84" s="9"/>
      <c r="U84" s="9"/>
      <c r="V84" s="9"/>
      <c r="W84" s="9"/>
      <c r="X84" s="4"/>
      <c r="Y84" s="6"/>
      <c r="Z84" s="9"/>
      <c r="AA84" s="4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10"/>
      <c r="AU84" s="9"/>
    </row>
    <row r="85" spans="1:47">
      <c r="A85" s="4"/>
      <c r="B85" s="4"/>
      <c r="C85" s="5"/>
      <c r="D85" s="5"/>
      <c r="E85" s="6"/>
      <c r="F85" s="4"/>
      <c r="G85" s="6"/>
      <c r="H85" s="7"/>
      <c r="I85" s="7"/>
      <c r="J85" s="7"/>
      <c r="K85" s="7"/>
      <c r="L85" s="7"/>
      <c r="M85" s="2"/>
      <c r="N85" s="2"/>
      <c r="O85" s="2"/>
      <c r="P85" s="2"/>
      <c r="Q85" s="2"/>
      <c r="R85" s="9"/>
      <c r="S85" s="4"/>
      <c r="T85" s="9"/>
      <c r="U85" s="9"/>
      <c r="V85" s="9"/>
      <c r="W85" s="9"/>
      <c r="X85" s="4"/>
      <c r="Y85" s="6"/>
      <c r="Z85" s="9"/>
      <c r="AA85" s="23"/>
      <c r="AB85" s="24"/>
      <c r="AC85" s="4"/>
      <c r="AD85" s="4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10"/>
      <c r="AU85" s="9"/>
    </row>
    <row r="86" spans="1:47">
      <c r="A86" s="4"/>
      <c r="B86" s="4"/>
      <c r="C86" s="5"/>
      <c r="D86" s="5"/>
      <c r="E86" s="6"/>
      <c r="F86" s="4"/>
      <c r="G86" s="6"/>
      <c r="H86" s="7"/>
      <c r="I86" s="7"/>
      <c r="J86" s="7"/>
      <c r="K86" s="7"/>
      <c r="L86" s="7"/>
      <c r="M86" s="2"/>
      <c r="N86" s="2"/>
      <c r="O86" s="2"/>
      <c r="P86" s="2"/>
      <c r="Q86" s="2"/>
      <c r="R86" s="9"/>
      <c r="S86" s="4"/>
      <c r="T86" s="9"/>
      <c r="U86" s="9"/>
      <c r="V86" s="9"/>
      <c r="W86" s="9"/>
      <c r="X86" s="4"/>
      <c r="Y86" s="6"/>
      <c r="Z86" s="9"/>
      <c r="AA86" s="23"/>
      <c r="AB86" s="24"/>
      <c r="AC86" s="4"/>
      <c r="AD86" s="4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10"/>
      <c r="AU86" s="9"/>
    </row>
    <row r="87" spans="1:47">
      <c r="A87" s="4"/>
      <c r="B87" s="4"/>
      <c r="C87" s="5"/>
      <c r="D87" s="5"/>
      <c r="E87" s="6"/>
      <c r="F87" s="4"/>
      <c r="G87" s="6"/>
      <c r="H87" s="7"/>
      <c r="I87" s="7"/>
      <c r="J87" s="7"/>
      <c r="K87" s="7"/>
      <c r="L87" s="7"/>
      <c r="M87" s="2"/>
      <c r="N87" s="2"/>
      <c r="O87" s="2"/>
      <c r="P87" s="2"/>
      <c r="Q87" s="2"/>
      <c r="R87" s="9"/>
      <c r="S87" s="4"/>
      <c r="T87" s="9"/>
      <c r="U87" s="9"/>
      <c r="V87" s="9"/>
      <c r="W87" s="9"/>
      <c r="X87" s="4"/>
      <c r="Y87" s="6"/>
      <c r="Z87" s="4"/>
      <c r="AA87" s="23"/>
      <c r="AB87" s="24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10"/>
      <c r="AU87" s="9"/>
    </row>
    <row r="88" spans="1:47">
      <c r="A88" s="4"/>
      <c r="B88" s="4"/>
      <c r="C88" s="5"/>
      <c r="D88" s="5"/>
      <c r="E88" s="6"/>
      <c r="F88" s="4"/>
      <c r="G88" s="6"/>
      <c r="H88" s="7"/>
      <c r="I88" s="7"/>
      <c r="J88" s="7"/>
      <c r="K88" s="7"/>
      <c r="L88" s="2"/>
      <c r="M88" s="2"/>
      <c r="N88" s="2"/>
      <c r="O88" s="2"/>
      <c r="P88" s="2"/>
      <c r="Q88" s="2"/>
      <c r="R88" s="9"/>
      <c r="S88" s="4"/>
      <c r="T88" s="9"/>
      <c r="U88" s="9"/>
      <c r="V88" s="9"/>
      <c r="W88" s="9"/>
      <c r="X88" s="4"/>
      <c r="Y88" s="6"/>
      <c r="Z88" s="9"/>
      <c r="AA88" s="4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10"/>
      <c r="AU88" s="9"/>
    </row>
    <row r="89" spans="1:47">
      <c r="A89" s="4"/>
      <c r="B89" s="4"/>
      <c r="C89" s="5"/>
      <c r="D89" s="5"/>
      <c r="E89" s="6"/>
      <c r="F89" s="4"/>
      <c r="G89" s="6"/>
      <c r="H89" s="7"/>
      <c r="I89" s="7"/>
      <c r="J89" s="7"/>
      <c r="K89" s="7"/>
      <c r="L89" s="7"/>
      <c r="M89" s="2"/>
      <c r="N89" s="2"/>
      <c r="O89" s="2"/>
      <c r="P89" s="2"/>
      <c r="Q89" s="2"/>
      <c r="R89" s="9"/>
      <c r="S89" s="4"/>
      <c r="T89" s="9"/>
      <c r="U89" s="9"/>
      <c r="V89" s="9"/>
      <c r="W89" s="9"/>
      <c r="X89" s="4"/>
      <c r="Y89" s="6"/>
      <c r="Z89" s="4"/>
      <c r="AA89" s="23"/>
      <c r="AB89" s="24"/>
      <c r="AC89" s="2"/>
      <c r="AD89" s="2"/>
      <c r="AE89" s="2"/>
      <c r="AF89" s="2"/>
      <c r="AG89" s="2"/>
      <c r="AH89" s="2"/>
      <c r="AI89" s="2"/>
      <c r="AJ89" s="7"/>
      <c r="AK89" s="2"/>
      <c r="AL89" s="2"/>
      <c r="AM89" s="2"/>
      <c r="AN89" s="2"/>
      <c r="AO89" s="2"/>
      <c r="AP89" s="2"/>
      <c r="AQ89" s="2"/>
      <c r="AR89" s="2"/>
      <c r="AS89" s="2"/>
      <c r="AT89" s="10"/>
      <c r="AU89" s="9"/>
    </row>
    <row r="90" spans="1:47">
      <c r="A90" s="4"/>
      <c r="B90" s="4"/>
      <c r="C90" s="5"/>
      <c r="D90" s="5"/>
      <c r="E90" s="6"/>
      <c r="F90" s="4"/>
      <c r="G90" s="6"/>
      <c r="H90" s="7"/>
      <c r="I90" s="7"/>
      <c r="J90" s="2"/>
      <c r="K90" s="2"/>
      <c r="L90" s="2"/>
      <c r="M90" s="2"/>
      <c r="N90" s="2"/>
      <c r="O90" s="2"/>
      <c r="P90" s="2"/>
      <c r="Q90" s="2"/>
      <c r="R90" s="9"/>
      <c r="S90" s="4"/>
      <c r="T90" s="9"/>
      <c r="U90" s="9"/>
      <c r="V90" s="9"/>
      <c r="W90" s="9"/>
      <c r="X90" s="4"/>
      <c r="Y90" s="6"/>
      <c r="Z90" s="9"/>
      <c r="AA90" s="4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10"/>
      <c r="AU90" s="9"/>
    </row>
    <row r="91" spans="1:47">
      <c r="A91" s="4"/>
      <c r="B91" s="4"/>
      <c r="C91" s="5"/>
      <c r="D91" s="5"/>
      <c r="E91" s="6"/>
      <c r="F91" s="4"/>
      <c r="G91" s="6"/>
      <c r="H91" s="7"/>
      <c r="I91" s="7"/>
      <c r="J91" s="7"/>
      <c r="K91" s="2"/>
      <c r="L91" s="2"/>
      <c r="M91" s="2"/>
      <c r="N91" s="2"/>
      <c r="O91" s="2"/>
      <c r="P91" s="2"/>
      <c r="Q91" s="2"/>
      <c r="R91" s="9"/>
      <c r="S91" s="4"/>
      <c r="T91" s="9"/>
      <c r="U91" s="9"/>
      <c r="V91" s="9"/>
      <c r="W91" s="9"/>
      <c r="X91" s="4"/>
      <c r="Y91" s="6"/>
      <c r="Z91" s="9"/>
      <c r="AA91" s="4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10"/>
      <c r="AU91" s="9"/>
    </row>
    <row r="92" spans="1:47">
      <c r="A92" s="4"/>
      <c r="B92" s="4"/>
      <c r="C92" s="5"/>
      <c r="D92" s="5"/>
      <c r="E92" s="6"/>
      <c r="F92" s="4"/>
      <c r="G92" s="6"/>
      <c r="H92" s="7"/>
      <c r="I92" s="7"/>
      <c r="J92" s="7"/>
      <c r="K92" s="7"/>
      <c r="L92" s="7"/>
      <c r="M92" s="2"/>
      <c r="N92" s="2"/>
      <c r="O92" s="2"/>
      <c r="P92" s="2"/>
      <c r="Q92" s="2"/>
      <c r="R92" s="9"/>
      <c r="S92" s="4"/>
      <c r="T92" s="9"/>
      <c r="U92" s="9"/>
      <c r="V92" s="9"/>
      <c r="W92" s="9"/>
      <c r="X92" s="4"/>
      <c r="Y92" s="6"/>
      <c r="Z92" s="9"/>
      <c r="AA92" s="23"/>
      <c r="AB92" s="24"/>
      <c r="AC92" s="4"/>
      <c r="AD92" s="4"/>
      <c r="AE92" s="2"/>
      <c r="AF92" s="2"/>
      <c r="AG92" s="2"/>
      <c r="AH92" s="2"/>
      <c r="AI92" s="2"/>
      <c r="AJ92" s="7"/>
      <c r="AK92" s="2"/>
      <c r="AL92" s="25"/>
      <c r="AM92" s="24"/>
      <c r="AN92" s="2"/>
      <c r="AO92" s="2"/>
      <c r="AP92" s="2"/>
      <c r="AQ92" s="2"/>
      <c r="AR92" s="25"/>
      <c r="AS92" s="24"/>
      <c r="AT92" s="10"/>
      <c r="AU92" s="9"/>
    </row>
    <row r="93" spans="1:47">
      <c r="A93" s="4"/>
      <c r="B93" s="4"/>
      <c r="C93" s="5"/>
      <c r="D93" s="5"/>
      <c r="E93" s="6"/>
      <c r="F93" s="4"/>
      <c r="G93" s="6"/>
      <c r="H93" s="7"/>
      <c r="I93" s="7"/>
      <c r="J93" s="7"/>
      <c r="K93" s="7"/>
      <c r="L93" s="7"/>
      <c r="M93" s="2"/>
      <c r="N93" s="2"/>
      <c r="O93" s="2"/>
      <c r="P93" s="2"/>
      <c r="Q93" s="2"/>
      <c r="R93" s="9"/>
      <c r="S93" s="4"/>
      <c r="T93" s="9"/>
      <c r="U93" s="9"/>
      <c r="V93" s="9"/>
      <c r="W93" s="9"/>
      <c r="X93" s="4"/>
      <c r="Y93" s="6"/>
      <c r="Z93" s="9"/>
      <c r="AA93" s="23"/>
      <c r="AB93" s="24"/>
      <c r="AC93" s="4"/>
      <c r="AD93" s="4"/>
      <c r="AE93" s="2"/>
      <c r="AF93" s="2"/>
      <c r="AG93" s="2"/>
      <c r="AH93" s="2"/>
      <c r="AI93" s="2"/>
      <c r="AJ93" s="7"/>
      <c r="AK93" s="2"/>
      <c r="AL93" s="25"/>
      <c r="AM93" s="24"/>
      <c r="AN93" s="2"/>
      <c r="AO93" s="2"/>
      <c r="AP93" s="2"/>
      <c r="AQ93" s="2"/>
      <c r="AR93" s="25"/>
      <c r="AS93" s="24"/>
      <c r="AT93" s="10"/>
      <c r="AU93" s="9"/>
    </row>
    <row r="94" spans="1:47">
      <c r="A94" s="4"/>
      <c r="B94" s="4"/>
      <c r="C94" s="5"/>
      <c r="D94" s="5"/>
      <c r="E94" s="6"/>
      <c r="F94" s="4"/>
      <c r="G94" s="6"/>
      <c r="H94" s="7"/>
      <c r="I94" s="7"/>
      <c r="J94" s="7"/>
      <c r="K94" s="7"/>
      <c r="L94" s="7"/>
      <c r="M94" s="2"/>
      <c r="N94" s="2"/>
      <c r="O94" s="2"/>
      <c r="P94" s="2"/>
      <c r="Q94" s="2"/>
      <c r="R94" s="9"/>
      <c r="S94" s="4"/>
      <c r="T94" s="9"/>
      <c r="U94" s="9"/>
      <c r="V94" s="9"/>
      <c r="W94" s="9"/>
      <c r="X94" s="4"/>
      <c r="Y94" s="6"/>
      <c r="Z94" s="9"/>
      <c r="AA94" s="23"/>
      <c r="AB94" s="24"/>
      <c r="AC94" s="4"/>
      <c r="AD94" s="4"/>
      <c r="AE94" s="2"/>
      <c r="AF94" s="2"/>
      <c r="AG94" s="2"/>
      <c r="AH94" s="2"/>
      <c r="AI94" s="2"/>
      <c r="AJ94" s="7"/>
      <c r="AK94" s="2"/>
      <c r="AL94" s="25"/>
      <c r="AM94" s="24"/>
      <c r="AN94" s="2"/>
      <c r="AO94" s="2"/>
      <c r="AP94" s="2"/>
      <c r="AQ94" s="2"/>
      <c r="AR94" s="25"/>
      <c r="AS94" s="24"/>
      <c r="AT94" s="10"/>
      <c r="AU94" s="9"/>
    </row>
    <row r="95" spans="1:47">
      <c r="A95" s="4"/>
      <c r="B95" s="4"/>
      <c r="C95" s="5"/>
      <c r="D95" s="5"/>
      <c r="E95" s="6"/>
      <c r="F95" s="4"/>
      <c r="G95" s="6"/>
      <c r="H95" s="7"/>
      <c r="I95" s="7"/>
      <c r="J95" s="7"/>
      <c r="K95" s="7"/>
      <c r="L95" s="7"/>
      <c r="M95" s="2"/>
      <c r="N95" s="2"/>
      <c r="O95" s="2"/>
      <c r="P95" s="2"/>
      <c r="Q95" s="2"/>
      <c r="R95" s="9"/>
      <c r="S95" s="4"/>
      <c r="T95" s="9"/>
      <c r="U95" s="9"/>
      <c r="V95" s="9"/>
      <c r="W95" s="9"/>
      <c r="X95" s="4"/>
      <c r="Y95" s="6"/>
      <c r="Z95" s="9"/>
      <c r="AA95" s="23"/>
      <c r="AB95" s="24"/>
      <c r="AC95" s="4"/>
      <c r="AD95" s="4"/>
      <c r="AE95" s="2"/>
      <c r="AF95" s="2"/>
      <c r="AG95" s="2"/>
      <c r="AH95" s="2"/>
      <c r="AI95" s="2"/>
      <c r="AJ95" s="7"/>
      <c r="AK95" s="2"/>
      <c r="AL95" s="25"/>
      <c r="AM95" s="24"/>
      <c r="AN95" s="2"/>
      <c r="AO95" s="2"/>
      <c r="AP95" s="2"/>
      <c r="AQ95" s="2"/>
      <c r="AR95" s="25"/>
      <c r="AS95" s="24"/>
      <c r="AT95" s="10"/>
      <c r="AU95" s="9"/>
    </row>
    <row r="96" spans="1:47">
      <c r="A96" s="4"/>
      <c r="B96" s="4"/>
      <c r="C96" s="5"/>
      <c r="D96" s="5"/>
      <c r="E96" s="6"/>
      <c r="F96" s="4"/>
      <c r="G96" s="6"/>
      <c r="H96" s="7"/>
      <c r="I96" s="7"/>
      <c r="J96" s="7"/>
      <c r="K96" s="7"/>
      <c r="L96" s="7"/>
      <c r="M96" s="2"/>
      <c r="N96" s="2"/>
      <c r="O96" s="2"/>
      <c r="P96" s="2"/>
      <c r="Q96" s="2"/>
      <c r="R96" s="9"/>
      <c r="S96" s="4"/>
      <c r="T96" s="9"/>
      <c r="U96" s="9"/>
      <c r="V96" s="9"/>
      <c r="W96" s="9"/>
      <c r="X96" s="4"/>
      <c r="Y96" s="6"/>
      <c r="Z96" s="9"/>
      <c r="AA96" s="23"/>
      <c r="AB96" s="24"/>
      <c r="AC96" s="4"/>
      <c r="AD96" s="4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10"/>
      <c r="AU96" s="9"/>
    </row>
    <row r="97" spans="1:47">
      <c r="A97" s="4"/>
      <c r="B97" s="4"/>
      <c r="C97" s="5"/>
      <c r="D97" s="5"/>
      <c r="E97" s="6"/>
      <c r="F97" s="4"/>
      <c r="G97" s="6"/>
      <c r="H97" s="7"/>
      <c r="I97" s="7"/>
      <c r="J97" s="7"/>
      <c r="K97" s="7"/>
      <c r="L97" s="7"/>
      <c r="M97" s="2"/>
      <c r="N97" s="2"/>
      <c r="O97" s="2"/>
      <c r="P97" s="2"/>
      <c r="Q97" s="2"/>
      <c r="R97" s="9"/>
      <c r="S97" s="4"/>
      <c r="T97" s="9"/>
      <c r="U97" s="9"/>
      <c r="V97" s="9"/>
      <c r="W97" s="9"/>
      <c r="X97" s="4"/>
      <c r="Y97" s="6"/>
      <c r="Z97" s="4"/>
      <c r="AA97" s="23"/>
      <c r="AB97" s="24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10"/>
      <c r="AU97" s="9"/>
    </row>
    <row r="98" spans="1:47">
      <c r="A98" s="4"/>
      <c r="B98" s="4"/>
      <c r="C98" s="5"/>
      <c r="D98" s="5"/>
      <c r="E98" s="6"/>
      <c r="F98" s="4"/>
      <c r="G98" s="6"/>
      <c r="H98" s="7"/>
      <c r="I98" s="7"/>
      <c r="J98" s="7"/>
      <c r="K98" s="7"/>
      <c r="L98" s="7"/>
      <c r="M98" s="2"/>
      <c r="N98" s="2"/>
      <c r="O98" s="2"/>
      <c r="P98" s="2"/>
      <c r="Q98" s="2"/>
      <c r="R98" s="9"/>
      <c r="S98" s="4"/>
      <c r="T98" s="9"/>
      <c r="U98" s="9"/>
      <c r="V98" s="9"/>
      <c r="W98" s="9"/>
      <c r="X98" s="4"/>
      <c r="Y98" s="6"/>
      <c r="Z98" s="4"/>
      <c r="AA98" s="23"/>
      <c r="AB98" s="24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10"/>
      <c r="AU98" s="9"/>
    </row>
    <row r="99" spans="1:47">
      <c r="A99" s="4"/>
      <c r="B99" s="4"/>
      <c r="C99" s="5"/>
      <c r="D99" s="5"/>
      <c r="E99" s="6"/>
      <c r="F99" s="4"/>
      <c r="G99" s="6"/>
      <c r="H99" s="7"/>
      <c r="I99" s="7"/>
      <c r="J99" s="7"/>
      <c r="K99" s="7"/>
      <c r="L99" s="2"/>
      <c r="M99" s="2"/>
      <c r="N99" s="2"/>
      <c r="O99" s="2"/>
      <c r="P99" s="2"/>
      <c r="Q99" s="2"/>
      <c r="R99" s="9"/>
      <c r="S99" s="4"/>
      <c r="T99" s="9"/>
      <c r="U99" s="9"/>
      <c r="V99" s="9"/>
      <c r="W99" s="9"/>
      <c r="X99" s="4"/>
      <c r="Y99" s="6"/>
      <c r="Z99" s="9"/>
      <c r="AA99" s="4"/>
      <c r="AB99" s="4"/>
      <c r="AC99" s="4"/>
      <c r="AD99" s="4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10"/>
      <c r="AU99" s="9"/>
    </row>
    <row r="100" spans="1:47">
      <c r="A100" s="4"/>
      <c r="B100" s="4"/>
      <c r="C100" s="5"/>
      <c r="D100" s="5"/>
      <c r="E100" s="6"/>
      <c r="F100" s="4"/>
      <c r="G100" s="6"/>
      <c r="H100" s="7"/>
      <c r="I100" s="7"/>
      <c r="J100" s="2"/>
      <c r="K100" s="2"/>
      <c r="L100" s="2"/>
      <c r="M100" s="2"/>
      <c r="N100" s="2"/>
      <c r="O100" s="2"/>
      <c r="P100" s="2"/>
      <c r="Q100" s="2"/>
      <c r="R100" s="9"/>
      <c r="S100" s="4"/>
      <c r="T100" s="9"/>
      <c r="U100" s="9"/>
      <c r="V100" s="9"/>
      <c r="W100" s="9"/>
      <c r="X100" s="4"/>
      <c r="Y100" s="6"/>
      <c r="Z100" s="9"/>
      <c r="AA100" s="4"/>
      <c r="AB100" s="4"/>
      <c r="AC100" s="4"/>
      <c r="AD100" s="4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10"/>
      <c r="AU100" s="9"/>
    </row>
    <row r="101" spans="1:47">
      <c r="A101" s="4"/>
      <c r="B101" s="4"/>
      <c r="C101" s="5"/>
      <c r="D101" s="5"/>
      <c r="E101" s="6"/>
      <c r="F101" s="4"/>
      <c r="G101" s="6"/>
      <c r="H101" s="7"/>
      <c r="I101" s="7"/>
      <c r="J101" s="7"/>
      <c r="K101" s="7"/>
      <c r="L101" s="2"/>
      <c r="M101" s="2"/>
      <c r="N101" s="2"/>
      <c r="O101" s="2"/>
      <c r="P101" s="2"/>
      <c r="Q101" s="2"/>
      <c r="R101" s="9"/>
      <c r="S101" s="4"/>
      <c r="T101" s="9"/>
      <c r="U101" s="9"/>
      <c r="V101" s="9"/>
      <c r="W101" s="9"/>
      <c r="X101" s="4"/>
      <c r="Y101" s="6"/>
      <c r="Z101" s="9"/>
      <c r="AA101" s="4"/>
      <c r="AB101" s="4"/>
      <c r="AC101" s="4"/>
      <c r="AD101" s="4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10"/>
      <c r="AU101" s="9"/>
    </row>
    <row r="102" spans="1:47">
      <c r="A102" s="4"/>
      <c r="B102" s="4"/>
      <c r="C102" s="5"/>
      <c r="D102" s="5"/>
      <c r="E102" s="6"/>
      <c r="F102" s="4"/>
      <c r="G102" s="6"/>
      <c r="H102" s="7"/>
      <c r="I102" s="7"/>
      <c r="J102" s="2"/>
      <c r="K102" s="2"/>
      <c r="L102" s="2"/>
      <c r="M102" s="2"/>
      <c r="N102" s="2"/>
      <c r="O102" s="2"/>
      <c r="P102" s="2"/>
      <c r="Q102" s="2"/>
      <c r="R102" s="9"/>
      <c r="S102" s="4"/>
      <c r="T102" s="9"/>
      <c r="U102" s="9"/>
      <c r="V102" s="9"/>
      <c r="W102" s="9"/>
      <c r="X102" s="4"/>
      <c r="Y102" s="6"/>
      <c r="Z102" s="9"/>
      <c r="AA102" s="4"/>
      <c r="AB102" s="4"/>
      <c r="AC102" s="4"/>
      <c r="AD102" s="4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10"/>
      <c r="AU102" s="9"/>
    </row>
    <row r="103" spans="1:47">
      <c r="A103" s="4"/>
      <c r="B103" s="4"/>
      <c r="C103" s="5"/>
      <c r="D103" s="5"/>
      <c r="E103" s="6"/>
      <c r="F103" s="4"/>
      <c r="G103" s="6"/>
      <c r="H103" s="7"/>
      <c r="I103" s="7"/>
      <c r="J103" s="2"/>
      <c r="K103" s="2"/>
      <c r="L103" s="2"/>
      <c r="M103" s="2"/>
      <c r="N103" s="2"/>
      <c r="O103" s="2"/>
      <c r="P103" s="2"/>
      <c r="Q103" s="2"/>
      <c r="R103" s="9"/>
      <c r="S103" s="4"/>
      <c r="T103" s="9"/>
      <c r="U103" s="9"/>
      <c r="V103" s="9"/>
      <c r="W103" s="9"/>
      <c r="X103" s="4"/>
      <c r="Y103" s="6"/>
      <c r="Z103" s="9"/>
      <c r="AA103" s="4"/>
      <c r="AB103" s="4"/>
      <c r="AC103" s="4"/>
      <c r="AD103" s="4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10"/>
      <c r="AU103" s="9"/>
    </row>
    <row r="104" spans="1:47">
      <c r="A104" s="4"/>
      <c r="B104" s="4"/>
      <c r="C104" s="5"/>
      <c r="D104" s="5"/>
      <c r="E104" s="6"/>
      <c r="F104" s="4"/>
      <c r="G104" s="6"/>
      <c r="H104" s="7"/>
      <c r="I104" s="7"/>
      <c r="J104" s="7"/>
      <c r="K104" s="7"/>
      <c r="L104" s="2"/>
      <c r="M104" s="2"/>
      <c r="N104" s="2"/>
      <c r="O104" s="2"/>
      <c r="P104" s="2"/>
      <c r="Q104" s="2"/>
      <c r="R104" s="9"/>
      <c r="S104" s="4"/>
      <c r="T104" s="9"/>
      <c r="U104" s="9"/>
      <c r="V104" s="9"/>
      <c r="W104" s="9"/>
      <c r="X104" s="4"/>
      <c r="Y104" s="6"/>
      <c r="Z104" s="9"/>
      <c r="AA104" s="4"/>
      <c r="AB104" s="4"/>
      <c r="AC104" s="4"/>
      <c r="AD104" s="4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10"/>
      <c r="AU104" s="9"/>
    </row>
    <row r="105" spans="1:47">
      <c r="A105" s="4"/>
      <c r="B105" s="4"/>
      <c r="C105" s="5"/>
      <c r="D105" s="5"/>
      <c r="E105" s="6"/>
      <c r="F105" s="4"/>
      <c r="G105" s="6"/>
      <c r="H105" s="7"/>
      <c r="I105" s="7"/>
      <c r="J105" s="7"/>
      <c r="K105" s="7"/>
      <c r="L105" s="2"/>
      <c r="M105" s="2"/>
      <c r="N105" s="2"/>
      <c r="O105" s="2"/>
      <c r="P105" s="2"/>
      <c r="Q105" s="2"/>
      <c r="R105" s="9"/>
      <c r="S105" s="4"/>
      <c r="T105" s="9"/>
      <c r="U105" s="9"/>
      <c r="V105" s="9"/>
      <c r="W105" s="9"/>
      <c r="X105" s="4"/>
      <c r="Y105" s="6"/>
      <c r="Z105" s="9"/>
      <c r="AA105" s="4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10"/>
      <c r="AU105" s="9"/>
    </row>
    <row r="106" spans="1:47">
      <c r="A106" s="4"/>
      <c r="B106" s="4"/>
      <c r="C106" s="5"/>
      <c r="D106" s="5"/>
      <c r="E106" s="6"/>
      <c r="F106" s="4"/>
      <c r="G106" s="6"/>
      <c r="H106" s="7"/>
      <c r="I106" s="7"/>
      <c r="J106" s="2"/>
      <c r="K106" s="2"/>
      <c r="L106" s="2"/>
      <c r="M106" s="2"/>
      <c r="N106" s="2"/>
      <c r="O106" s="2"/>
      <c r="P106" s="2"/>
      <c r="Q106" s="2"/>
      <c r="R106" s="9"/>
      <c r="S106" s="4"/>
      <c r="T106" s="9"/>
      <c r="U106" s="9"/>
      <c r="V106" s="9"/>
      <c r="W106" s="9"/>
      <c r="X106" s="4"/>
      <c r="Y106" s="6"/>
      <c r="Z106" s="9"/>
      <c r="AA106" s="4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10"/>
      <c r="AU106" s="9"/>
    </row>
    <row r="107" spans="1:47">
      <c r="A107" s="4"/>
      <c r="B107" s="4"/>
      <c r="C107" s="5"/>
      <c r="D107" s="5"/>
      <c r="E107" s="6"/>
      <c r="F107" s="4"/>
      <c r="G107" s="6"/>
      <c r="H107" s="7"/>
      <c r="I107" s="2"/>
      <c r="J107" s="2"/>
      <c r="K107" s="2"/>
      <c r="L107" s="2"/>
      <c r="M107" s="2"/>
      <c r="N107" s="2"/>
      <c r="O107" s="2"/>
      <c r="P107" s="2"/>
      <c r="Q107" s="2"/>
      <c r="R107" s="9"/>
      <c r="S107" s="4"/>
      <c r="T107" s="9"/>
      <c r="U107" s="9"/>
      <c r="V107" s="9"/>
      <c r="W107" s="9"/>
      <c r="X107" s="4"/>
      <c r="Y107" s="6"/>
      <c r="Z107" s="9"/>
      <c r="AA107" s="4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10"/>
      <c r="AU107" s="9"/>
    </row>
    <row r="108" spans="1:47">
      <c r="A108" s="4"/>
      <c r="B108" s="4"/>
      <c r="C108" s="5"/>
      <c r="D108" s="5"/>
      <c r="E108" s="6"/>
      <c r="F108" s="4"/>
      <c r="G108" s="6"/>
      <c r="H108" s="7"/>
      <c r="I108" s="2"/>
      <c r="J108" s="2"/>
      <c r="K108" s="2"/>
      <c r="L108" s="2"/>
      <c r="M108" s="2"/>
      <c r="N108" s="2"/>
      <c r="O108" s="2"/>
      <c r="P108" s="2"/>
      <c r="Q108" s="2"/>
      <c r="R108" s="9"/>
      <c r="S108" s="4"/>
      <c r="T108" s="9"/>
      <c r="U108" s="9"/>
      <c r="V108" s="9"/>
      <c r="W108" s="9"/>
      <c r="X108" s="4"/>
      <c r="Y108" s="6"/>
      <c r="Z108" s="9"/>
      <c r="AA108" s="4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10"/>
      <c r="AU108" s="9"/>
    </row>
    <row r="109" spans="1:47">
      <c r="A109" s="4"/>
      <c r="B109" s="4"/>
      <c r="C109" s="5"/>
      <c r="D109" s="5"/>
      <c r="E109" s="6"/>
      <c r="F109" s="4"/>
      <c r="G109" s="6"/>
      <c r="H109" s="7"/>
      <c r="I109" s="2"/>
      <c r="J109" s="2"/>
      <c r="K109" s="2"/>
      <c r="L109" s="2"/>
      <c r="M109" s="2"/>
      <c r="N109" s="2"/>
      <c r="O109" s="2"/>
      <c r="P109" s="2"/>
      <c r="Q109" s="2"/>
      <c r="R109" s="9"/>
      <c r="S109" s="4"/>
      <c r="T109" s="9"/>
      <c r="U109" s="9"/>
      <c r="V109" s="9"/>
      <c r="W109" s="9"/>
      <c r="X109" s="4"/>
      <c r="Y109" s="6"/>
      <c r="Z109" s="9"/>
      <c r="AA109" s="4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10"/>
      <c r="AU109" s="9"/>
    </row>
    <row r="110" spans="1:47">
      <c r="A110" s="4"/>
      <c r="B110" s="4"/>
      <c r="C110" s="5"/>
      <c r="D110" s="5"/>
      <c r="E110" s="6"/>
      <c r="F110" s="4"/>
      <c r="G110" s="6"/>
      <c r="H110" s="7"/>
      <c r="I110" s="2"/>
      <c r="J110" s="2"/>
      <c r="K110" s="2"/>
      <c r="L110" s="2"/>
      <c r="M110" s="2"/>
      <c r="N110" s="2"/>
      <c r="O110" s="2"/>
      <c r="P110" s="2"/>
      <c r="Q110" s="2"/>
      <c r="R110" s="9"/>
      <c r="S110" s="4"/>
      <c r="T110" s="9"/>
      <c r="U110" s="9"/>
      <c r="V110" s="9"/>
      <c r="W110" s="9"/>
      <c r="X110" s="4"/>
      <c r="Y110" s="6"/>
      <c r="Z110" s="9"/>
      <c r="AA110" s="4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10"/>
      <c r="AU110" s="9"/>
    </row>
    <row r="111" spans="1:47">
      <c r="A111" s="4"/>
      <c r="B111" s="4"/>
      <c r="C111" s="5"/>
      <c r="D111" s="5"/>
      <c r="E111" s="6"/>
      <c r="F111" s="4"/>
      <c r="G111" s="6"/>
      <c r="H111" s="7"/>
      <c r="I111" s="2"/>
      <c r="J111" s="2"/>
      <c r="K111" s="2"/>
      <c r="L111" s="2"/>
      <c r="M111" s="2"/>
      <c r="N111" s="2"/>
      <c r="O111" s="2"/>
      <c r="P111" s="2"/>
      <c r="Q111" s="2"/>
      <c r="R111" s="9"/>
      <c r="S111" s="4"/>
      <c r="T111" s="9"/>
      <c r="U111" s="9"/>
      <c r="V111" s="9"/>
      <c r="W111" s="9"/>
      <c r="X111" s="4"/>
      <c r="Y111" s="6"/>
      <c r="Z111" s="9"/>
      <c r="AA111" s="4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10"/>
      <c r="AU111" s="9"/>
    </row>
    <row r="112" spans="1:47">
      <c r="A112" s="4"/>
      <c r="B112" s="4"/>
      <c r="C112" s="5"/>
      <c r="D112" s="5"/>
      <c r="E112" s="6"/>
      <c r="F112" s="4"/>
      <c r="G112" s="6"/>
      <c r="H112" s="7"/>
      <c r="I112" s="2"/>
      <c r="J112" s="2"/>
      <c r="K112" s="2"/>
      <c r="L112" s="2"/>
      <c r="M112" s="2"/>
      <c r="N112" s="2"/>
      <c r="O112" s="2"/>
      <c r="P112" s="2"/>
      <c r="Q112" s="2"/>
      <c r="R112" s="9"/>
      <c r="S112" s="4"/>
      <c r="T112" s="9"/>
      <c r="U112" s="9"/>
      <c r="V112" s="9"/>
      <c r="W112" s="9"/>
      <c r="X112" s="4"/>
      <c r="Y112" s="6"/>
      <c r="Z112" s="9"/>
      <c r="AA112" s="4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10"/>
      <c r="AU112" s="9"/>
    </row>
    <row r="113" spans="1:47">
      <c r="A113" s="4"/>
      <c r="B113" s="4"/>
      <c r="C113" s="5"/>
      <c r="D113" s="5"/>
      <c r="E113" s="6"/>
      <c r="F113" s="4"/>
      <c r="G113" s="6"/>
      <c r="H113" s="7"/>
      <c r="I113" s="2"/>
      <c r="J113" s="2"/>
      <c r="K113" s="2"/>
      <c r="L113" s="2"/>
      <c r="M113" s="2"/>
      <c r="N113" s="2"/>
      <c r="O113" s="2"/>
      <c r="P113" s="2"/>
      <c r="Q113" s="2"/>
      <c r="R113" s="9"/>
      <c r="S113" s="4"/>
      <c r="T113" s="9"/>
      <c r="U113" s="9"/>
      <c r="V113" s="9"/>
      <c r="W113" s="9"/>
      <c r="X113" s="4"/>
      <c r="Y113" s="6"/>
      <c r="Z113" s="9"/>
      <c r="AA113" s="4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10"/>
      <c r="AU113" s="9"/>
    </row>
    <row r="114" spans="1:47">
      <c r="A114" s="4"/>
      <c r="B114" s="4"/>
      <c r="C114" s="5"/>
      <c r="D114" s="5"/>
      <c r="E114" s="6"/>
      <c r="F114" s="4"/>
      <c r="G114" s="6"/>
      <c r="H114" s="7"/>
      <c r="I114" s="2"/>
      <c r="J114" s="2"/>
      <c r="K114" s="2"/>
      <c r="L114" s="2"/>
      <c r="M114" s="2"/>
      <c r="N114" s="2"/>
      <c r="O114" s="2"/>
      <c r="P114" s="2"/>
      <c r="Q114" s="2"/>
      <c r="R114" s="9"/>
      <c r="S114" s="4"/>
      <c r="T114" s="9"/>
      <c r="U114" s="9"/>
      <c r="V114" s="9"/>
      <c r="W114" s="9"/>
      <c r="X114" s="4"/>
      <c r="Y114" s="6"/>
      <c r="Z114" s="9"/>
      <c r="AA114" s="4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10"/>
      <c r="AU114" s="9"/>
    </row>
    <row r="115" spans="1:47">
      <c r="A115" s="4"/>
      <c r="B115" s="4"/>
      <c r="C115" s="5"/>
      <c r="D115" s="5"/>
      <c r="E115" s="6"/>
      <c r="F115" s="4"/>
      <c r="G115" s="6"/>
      <c r="H115" s="7"/>
      <c r="I115" s="2"/>
      <c r="J115" s="2"/>
      <c r="K115" s="2"/>
      <c r="L115" s="2"/>
      <c r="M115" s="2"/>
      <c r="N115" s="2"/>
      <c r="O115" s="2"/>
      <c r="P115" s="2"/>
      <c r="Q115" s="2"/>
      <c r="R115" s="9"/>
      <c r="S115" s="4"/>
      <c r="T115" s="9"/>
      <c r="U115" s="9"/>
      <c r="V115" s="9"/>
      <c r="W115" s="9"/>
      <c r="X115" s="4"/>
      <c r="Y115" s="6"/>
      <c r="Z115" s="9"/>
      <c r="AA115" s="4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10"/>
      <c r="AU115" s="9"/>
    </row>
    <row r="116" spans="1:47">
      <c r="A116" s="4"/>
      <c r="B116" s="4"/>
      <c r="C116" s="5"/>
      <c r="D116" s="5"/>
      <c r="E116" s="6"/>
      <c r="F116" s="4"/>
      <c r="G116" s="6"/>
      <c r="H116" s="7"/>
      <c r="I116" s="26"/>
      <c r="J116" s="24"/>
      <c r="K116" s="24"/>
      <c r="L116" s="24"/>
      <c r="M116" s="2"/>
      <c r="N116" s="2"/>
      <c r="O116" s="2"/>
      <c r="P116" s="2"/>
      <c r="Q116" s="2"/>
      <c r="R116" s="9"/>
      <c r="S116" s="4"/>
      <c r="T116" s="9"/>
      <c r="U116" s="9"/>
      <c r="V116" s="9"/>
      <c r="W116" s="9"/>
      <c r="X116" s="4"/>
      <c r="Y116" s="6"/>
      <c r="Z116" s="4"/>
      <c r="AA116" s="23"/>
      <c r="AB116" s="24"/>
      <c r="AC116" s="24"/>
      <c r="AD116" s="24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10"/>
      <c r="AU116" s="9"/>
    </row>
    <row r="117" spans="1:47">
      <c r="A117" s="4"/>
      <c r="B117" s="4"/>
      <c r="C117" s="5"/>
      <c r="D117" s="5"/>
      <c r="E117" s="6"/>
      <c r="F117" s="4"/>
      <c r="G117" s="6"/>
      <c r="H117" s="7"/>
      <c r="I117" s="2"/>
      <c r="J117" s="2"/>
      <c r="K117" s="2"/>
      <c r="L117" s="2"/>
      <c r="M117" s="2"/>
      <c r="N117" s="2"/>
      <c r="O117" s="2"/>
      <c r="P117" s="2"/>
      <c r="Q117" s="2"/>
      <c r="R117" s="9"/>
      <c r="S117" s="4"/>
      <c r="T117" s="9"/>
      <c r="U117" s="9"/>
      <c r="V117" s="9"/>
      <c r="W117" s="9"/>
      <c r="X117" s="4"/>
      <c r="Y117" s="6"/>
      <c r="Z117" s="9"/>
      <c r="AA117" s="4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10"/>
      <c r="AU117" s="9"/>
    </row>
    <row r="118" spans="1:47">
      <c r="A118" s="4"/>
      <c r="B118" s="4"/>
      <c r="C118" s="5"/>
      <c r="D118" s="5"/>
      <c r="E118" s="6"/>
      <c r="F118" s="4"/>
      <c r="G118" s="6"/>
      <c r="H118" s="7"/>
      <c r="I118" s="2"/>
      <c r="J118" s="2"/>
      <c r="K118" s="2"/>
      <c r="L118" s="2"/>
      <c r="M118" s="2"/>
      <c r="N118" s="2"/>
      <c r="O118" s="2"/>
      <c r="P118" s="2"/>
      <c r="Q118" s="2"/>
      <c r="R118" s="9"/>
      <c r="S118" s="4"/>
      <c r="T118" s="9"/>
      <c r="U118" s="9"/>
      <c r="V118" s="9"/>
      <c r="W118" s="9"/>
      <c r="X118" s="4"/>
      <c r="Y118" s="6"/>
      <c r="Z118" s="9"/>
      <c r="AA118" s="4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10"/>
      <c r="AU118" s="9"/>
    </row>
    <row r="119" spans="1:47">
      <c r="A119" s="4"/>
      <c r="B119" s="4"/>
      <c r="C119" s="5"/>
      <c r="D119" s="5"/>
      <c r="E119" s="6"/>
      <c r="F119" s="4"/>
      <c r="G119" s="6"/>
      <c r="H119" s="7"/>
      <c r="I119" s="2"/>
      <c r="J119" s="2"/>
      <c r="K119" s="2"/>
      <c r="L119" s="2"/>
      <c r="M119" s="2"/>
      <c r="N119" s="2"/>
      <c r="O119" s="2"/>
      <c r="P119" s="2"/>
      <c r="Q119" s="2"/>
      <c r="R119" s="9"/>
      <c r="S119" s="4"/>
      <c r="T119" s="9"/>
      <c r="U119" s="9"/>
      <c r="V119" s="9"/>
      <c r="W119" s="9"/>
      <c r="X119" s="4"/>
      <c r="Y119" s="6"/>
      <c r="Z119" s="9"/>
      <c r="AA119" s="4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10"/>
      <c r="AU119" s="9"/>
    </row>
    <row r="120" spans="1:47">
      <c r="A120" s="4"/>
      <c r="B120" s="4"/>
      <c r="C120" s="5"/>
      <c r="D120" s="5"/>
      <c r="E120" s="6"/>
      <c r="F120" s="4"/>
      <c r="G120" s="6"/>
      <c r="H120" s="7"/>
      <c r="I120" s="2"/>
      <c r="J120" s="2"/>
      <c r="K120" s="2"/>
      <c r="L120" s="2"/>
      <c r="M120" s="2"/>
      <c r="N120" s="2"/>
      <c r="O120" s="2"/>
      <c r="P120" s="2"/>
      <c r="Q120" s="2"/>
      <c r="R120" s="9"/>
      <c r="S120" s="4"/>
      <c r="T120" s="9"/>
      <c r="U120" s="9"/>
      <c r="V120" s="9"/>
      <c r="W120" s="9"/>
      <c r="X120" s="4"/>
      <c r="Y120" s="6"/>
      <c r="Z120" s="9"/>
      <c r="AA120" s="4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10"/>
      <c r="AU120" s="9"/>
    </row>
    <row r="121" spans="1:47">
      <c r="A121" s="4"/>
      <c r="B121" s="4"/>
      <c r="C121" s="5"/>
      <c r="D121" s="5"/>
      <c r="E121" s="6"/>
      <c r="F121" s="4"/>
      <c r="G121" s="6"/>
      <c r="H121" s="7"/>
      <c r="I121" s="2"/>
      <c r="J121" s="2"/>
      <c r="K121" s="2"/>
      <c r="L121" s="2"/>
      <c r="M121" s="2"/>
      <c r="N121" s="2"/>
      <c r="O121" s="2"/>
      <c r="P121" s="2"/>
      <c r="Q121" s="2"/>
      <c r="R121" s="9"/>
      <c r="S121" s="4"/>
      <c r="T121" s="9"/>
      <c r="U121" s="9"/>
      <c r="V121" s="9"/>
      <c r="W121" s="9"/>
      <c r="X121" s="4"/>
      <c r="Y121" s="6"/>
      <c r="Z121" s="9"/>
      <c r="AA121" s="4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10"/>
      <c r="AU121" s="9"/>
    </row>
    <row r="122" spans="1:47">
      <c r="A122" s="4"/>
      <c r="B122" s="4"/>
      <c r="C122" s="5"/>
      <c r="D122" s="5"/>
      <c r="E122" s="6"/>
      <c r="F122" s="4"/>
      <c r="G122" s="6"/>
      <c r="H122" s="7"/>
      <c r="I122" s="2"/>
      <c r="J122" s="2"/>
      <c r="K122" s="2"/>
      <c r="L122" s="2"/>
      <c r="M122" s="2"/>
      <c r="N122" s="2"/>
      <c r="O122" s="2"/>
      <c r="P122" s="2"/>
      <c r="Q122" s="2"/>
      <c r="R122" s="9"/>
      <c r="S122" s="4"/>
      <c r="T122" s="9"/>
      <c r="U122" s="9"/>
      <c r="V122" s="9"/>
      <c r="W122" s="9"/>
      <c r="X122" s="4"/>
      <c r="Y122" s="6"/>
      <c r="Z122" s="9"/>
      <c r="AA122" s="4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10"/>
      <c r="AU122" s="9"/>
    </row>
    <row r="123" spans="1:47">
      <c r="A123" s="4"/>
      <c r="B123" s="4"/>
      <c r="C123" s="5"/>
      <c r="D123" s="5"/>
      <c r="E123" s="6"/>
      <c r="F123" s="4"/>
      <c r="G123" s="6"/>
      <c r="H123" s="7"/>
      <c r="I123" s="2"/>
      <c r="J123" s="2"/>
      <c r="K123" s="2"/>
      <c r="L123" s="2"/>
      <c r="M123" s="2"/>
      <c r="N123" s="2"/>
      <c r="O123" s="2"/>
      <c r="P123" s="2"/>
      <c r="Q123" s="2"/>
      <c r="R123" s="9"/>
      <c r="S123" s="4"/>
      <c r="T123" s="9"/>
      <c r="U123" s="9"/>
      <c r="V123" s="9"/>
      <c r="W123" s="9"/>
      <c r="X123" s="4"/>
      <c r="Y123" s="6"/>
      <c r="Z123" s="9"/>
      <c r="AA123" s="4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10"/>
      <c r="AU123" s="9"/>
    </row>
    <row r="124" spans="1:47">
      <c r="A124" s="4"/>
      <c r="B124" s="4"/>
      <c r="C124" s="5"/>
      <c r="D124" s="5"/>
      <c r="E124" s="6"/>
      <c r="F124" s="4"/>
      <c r="G124" s="6"/>
      <c r="H124" s="7"/>
      <c r="I124" s="2"/>
      <c r="J124" s="2"/>
      <c r="K124" s="2"/>
      <c r="L124" s="2"/>
      <c r="M124" s="2"/>
      <c r="N124" s="2"/>
      <c r="O124" s="2"/>
      <c r="P124" s="2"/>
      <c r="Q124" s="2"/>
      <c r="R124" s="9"/>
      <c r="S124" s="4"/>
      <c r="T124" s="9"/>
      <c r="U124" s="9"/>
      <c r="V124" s="9"/>
      <c r="W124" s="9"/>
      <c r="X124" s="4"/>
      <c r="Y124" s="6"/>
      <c r="Z124" s="9"/>
      <c r="AA124" s="4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10"/>
      <c r="AU124" s="9"/>
    </row>
    <row r="125" spans="1:47">
      <c r="A125" s="4"/>
      <c r="B125" s="4"/>
      <c r="C125" s="5"/>
      <c r="D125" s="5"/>
      <c r="E125" s="6"/>
      <c r="F125" s="4"/>
      <c r="G125" s="6"/>
      <c r="H125" s="7"/>
      <c r="I125" s="2"/>
      <c r="J125" s="2"/>
      <c r="K125" s="2"/>
      <c r="L125" s="2"/>
      <c r="M125" s="2"/>
      <c r="N125" s="2"/>
      <c r="O125" s="2"/>
      <c r="P125" s="2"/>
      <c r="Q125" s="2"/>
      <c r="R125" s="9"/>
      <c r="S125" s="4"/>
      <c r="T125" s="9"/>
      <c r="U125" s="9"/>
      <c r="V125" s="9"/>
      <c r="W125" s="9"/>
      <c r="X125" s="4"/>
      <c r="Y125" s="6"/>
      <c r="Z125" s="9"/>
      <c r="AA125" s="4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10"/>
      <c r="AU125" s="9"/>
    </row>
    <row r="126" spans="1:47">
      <c r="A126" s="4"/>
      <c r="B126" s="4"/>
      <c r="C126" s="5"/>
      <c r="D126" s="5"/>
      <c r="E126" s="6"/>
      <c r="F126" s="4"/>
      <c r="G126" s="6"/>
      <c r="H126" s="7"/>
      <c r="I126" s="7"/>
      <c r="J126" s="7"/>
      <c r="K126" s="7"/>
      <c r="L126" s="2"/>
      <c r="M126" s="2"/>
      <c r="N126" s="2"/>
      <c r="O126" s="2"/>
      <c r="P126" s="2"/>
      <c r="Q126" s="2"/>
      <c r="R126" s="9"/>
      <c r="S126" s="4"/>
      <c r="T126" s="9"/>
      <c r="U126" s="9"/>
      <c r="V126" s="9"/>
      <c r="W126" s="9"/>
      <c r="X126" s="4"/>
      <c r="Y126" s="6"/>
      <c r="Z126" s="9"/>
      <c r="AA126" s="4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10"/>
      <c r="AU126" s="9"/>
    </row>
    <row r="127" spans="1:47">
      <c r="A127" s="4"/>
      <c r="B127" s="4"/>
      <c r="C127" s="5"/>
      <c r="D127" s="5"/>
      <c r="E127" s="6"/>
      <c r="F127" s="4"/>
      <c r="G127" s="6"/>
      <c r="H127" s="7"/>
      <c r="I127" s="7"/>
      <c r="J127" s="7"/>
      <c r="K127" s="7"/>
      <c r="L127" s="7"/>
      <c r="M127" s="7"/>
      <c r="N127" s="7"/>
      <c r="O127" s="2"/>
      <c r="P127" s="2"/>
      <c r="Q127" s="2"/>
      <c r="R127" s="9"/>
      <c r="S127" s="4"/>
      <c r="T127" s="9"/>
      <c r="U127" s="9"/>
      <c r="V127" s="9"/>
      <c r="W127" s="9"/>
      <c r="X127" s="4"/>
      <c r="Y127" s="6"/>
      <c r="Z127" s="9"/>
      <c r="AA127" s="4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10"/>
      <c r="AU127" s="9"/>
    </row>
    <row r="128" spans="1:47">
      <c r="A128" s="4"/>
      <c r="B128" s="4"/>
      <c r="C128" s="5"/>
      <c r="D128" s="5"/>
      <c r="E128" s="6"/>
      <c r="F128" s="4"/>
      <c r="G128" s="6"/>
      <c r="H128" s="7"/>
      <c r="I128" s="2"/>
      <c r="J128" s="2"/>
      <c r="K128" s="2"/>
      <c r="L128" s="2"/>
      <c r="M128" s="2"/>
      <c r="N128" s="2"/>
      <c r="O128" s="2"/>
      <c r="P128" s="2"/>
      <c r="Q128" s="2"/>
      <c r="R128" s="9"/>
      <c r="S128" s="4"/>
      <c r="T128" s="9"/>
      <c r="U128" s="9"/>
      <c r="V128" s="9"/>
      <c r="W128" s="9"/>
      <c r="X128" s="4"/>
      <c r="Y128" s="6"/>
      <c r="Z128" s="9"/>
      <c r="AA128" s="4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10"/>
      <c r="AU128" s="9"/>
    </row>
    <row r="129" spans="1:47">
      <c r="A129" s="4"/>
      <c r="B129" s="4"/>
      <c r="C129" s="5"/>
      <c r="D129" s="5"/>
      <c r="E129" s="6"/>
      <c r="F129" s="4"/>
      <c r="G129" s="6"/>
      <c r="H129" s="7"/>
      <c r="I129" s="2"/>
      <c r="J129" s="2"/>
      <c r="K129" s="2"/>
      <c r="L129" s="2"/>
      <c r="M129" s="2"/>
      <c r="N129" s="2"/>
      <c r="O129" s="2"/>
      <c r="P129" s="2"/>
      <c r="Q129" s="2"/>
      <c r="R129" s="9"/>
      <c r="S129" s="4"/>
      <c r="T129" s="9"/>
      <c r="U129" s="9"/>
      <c r="V129" s="9"/>
      <c r="W129" s="9"/>
      <c r="X129" s="4"/>
      <c r="Y129" s="6"/>
      <c r="Z129" s="9"/>
      <c r="AA129" s="4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10"/>
      <c r="AU129" s="9"/>
    </row>
    <row r="130" spans="1:47">
      <c r="A130" s="4"/>
      <c r="B130" s="4"/>
      <c r="C130" s="5"/>
      <c r="D130" s="5"/>
      <c r="E130" s="6"/>
      <c r="F130" s="4"/>
      <c r="G130" s="6"/>
      <c r="H130" s="7"/>
      <c r="I130" s="7"/>
      <c r="J130" s="7"/>
      <c r="K130" s="7"/>
      <c r="L130" s="7"/>
      <c r="M130" s="2"/>
      <c r="N130" s="2"/>
      <c r="O130" s="2"/>
      <c r="P130" s="2"/>
      <c r="Q130" s="2"/>
      <c r="R130" s="9"/>
      <c r="S130" s="4"/>
      <c r="T130" s="9"/>
      <c r="U130" s="9"/>
      <c r="V130" s="9"/>
      <c r="W130" s="9"/>
      <c r="X130" s="4"/>
      <c r="Y130" s="6"/>
      <c r="Z130" s="9"/>
      <c r="AA130" s="4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10"/>
      <c r="AU130" s="9"/>
    </row>
    <row r="131" spans="1:47">
      <c r="A131" s="4"/>
      <c r="B131" s="4"/>
      <c r="C131" s="5"/>
      <c r="D131" s="5"/>
      <c r="E131" s="6"/>
      <c r="F131" s="4"/>
      <c r="G131" s="6"/>
      <c r="H131" s="7"/>
      <c r="I131" s="7"/>
      <c r="J131" s="7"/>
      <c r="K131" s="7"/>
      <c r="L131" s="7"/>
      <c r="M131" s="2"/>
      <c r="N131" s="2"/>
      <c r="O131" s="2"/>
      <c r="P131" s="2"/>
      <c r="Q131" s="2"/>
      <c r="R131" s="9"/>
      <c r="S131" s="4"/>
      <c r="T131" s="9"/>
      <c r="U131" s="9"/>
      <c r="V131" s="9"/>
      <c r="W131" s="9"/>
      <c r="X131" s="4"/>
      <c r="Y131" s="6"/>
      <c r="Z131" s="9"/>
      <c r="AA131" s="4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10"/>
      <c r="AU131" s="9"/>
    </row>
    <row r="132" spans="1:47">
      <c r="A132" s="4"/>
      <c r="B132" s="4"/>
      <c r="C132" s="5"/>
      <c r="D132" s="5"/>
      <c r="E132" s="6"/>
      <c r="F132" s="4"/>
      <c r="G132" s="6"/>
      <c r="H132" s="7"/>
      <c r="I132" s="7"/>
      <c r="J132" s="7"/>
      <c r="K132" s="7"/>
      <c r="L132" s="7"/>
      <c r="M132" s="2"/>
      <c r="N132" s="2"/>
      <c r="O132" s="2"/>
      <c r="P132" s="2"/>
      <c r="Q132" s="2"/>
      <c r="R132" s="9"/>
      <c r="S132" s="4"/>
      <c r="T132" s="9"/>
      <c r="U132" s="9"/>
      <c r="V132" s="9"/>
      <c r="W132" s="9"/>
      <c r="X132" s="4"/>
      <c r="Y132" s="6"/>
      <c r="Z132" s="9"/>
      <c r="AA132" s="4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10"/>
      <c r="AU132" s="9"/>
    </row>
    <row r="133" spans="1:47">
      <c r="A133" s="4"/>
      <c r="B133" s="4"/>
      <c r="C133" s="5"/>
      <c r="D133" s="5"/>
      <c r="E133" s="6"/>
      <c r="F133" s="4"/>
      <c r="G133" s="6"/>
      <c r="H133" s="7"/>
      <c r="I133" s="7"/>
      <c r="J133" s="2"/>
      <c r="K133" s="2"/>
      <c r="L133" s="2"/>
      <c r="M133" s="2"/>
      <c r="N133" s="2"/>
      <c r="O133" s="2"/>
      <c r="P133" s="2"/>
      <c r="Q133" s="2"/>
      <c r="R133" s="9"/>
      <c r="S133" s="4"/>
      <c r="T133" s="9"/>
      <c r="U133" s="9"/>
      <c r="V133" s="9"/>
      <c r="W133" s="9"/>
      <c r="X133" s="4"/>
      <c r="Y133" s="6"/>
      <c r="Z133" s="9"/>
      <c r="AA133" s="4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10"/>
      <c r="AU133" s="9"/>
    </row>
    <row r="134" spans="1:47">
      <c r="A134" s="4"/>
      <c r="B134" s="4"/>
      <c r="C134" s="5"/>
      <c r="D134" s="5"/>
      <c r="E134" s="6"/>
      <c r="F134" s="4"/>
      <c r="G134" s="6"/>
      <c r="H134" s="7"/>
      <c r="I134" s="7"/>
      <c r="J134" s="2"/>
      <c r="K134" s="2"/>
      <c r="L134" s="2"/>
      <c r="M134" s="2"/>
      <c r="N134" s="2"/>
      <c r="O134" s="2"/>
      <c r="P134" s="2"/>
      <c r="Q134" s="2"/>
      <c r="R134" s="9"/>
      <c r="S134" s="4"/>
      <c r="T134" s="9"/>
      <c r="U134" s="9"/>
      <c r="V134" s="9"/>
      <c r="W134" s="9"/>
      <c r="X134" s="4"/>
      <c r="Y134" s="6"/>
      <c r="Z134" s="9"/>
      <c r="AA134" s="4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10"/>
      <c r="AU134" s="9"/>
    </row>
    <row r="135" spans="1:47">
      <c r="A135" s="4"/>
      <c r="B135" s="4"/>
      <c r="C135" s="5"/>
      <c r="D135" s="5"/>
      <c r="E135" s="6"/>
      <c r="F135" s="4"/>
      <c r="G135" s="6"/>
      <c r="H135" s="7"/>
      <c r="I135" s="7"/>
      <c r="J135" s="2"/>
      <c r="K135" s="2"/>
      <c r="L135" s="2"/>
      <c r="M135" s="2"/>
      <c r="N135" s="2"/>
      <c r="O135" s="2"/>
      <c r="P135" s="2"/>
      <c r="Q135" s="2"/>
      <c r="R135" s="9"/>
      <c r="S135" s="4"/>
      <c r="T135" s="9"/>
      <c r="U135" s="9"/>
      <c r="V135" s="9"/>
      <c r="W135" s="9"/>
      <c r="X135" s="4"/>
      <c r="Y135" s="6"/>
      <c r="Z135" s="9"/>
      <c r="AA135" s="4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10"/>
      <c r="AU135" s="9"/>
    </row>
    <row r="136" spans="1:47">
      <c r="A136" s="4"/>
      <c r="B136" s="4"/>
      <c r="C136" s="5"/>
      <c r="D136" s="5"/>
      <c r="E136" s="6"/>
      <c r="F136" s="4"/>
      <c r="G136" s="6"/>
      <c r="H136" s="7"/>
      <c r="I136" s="2"/>
      <c r="J136" s="2"/>
      <c r="K136" s="2"/>
      <c r="L136" s="2"/>
      <c r="M136" s="2"/>
      <c r="N136" s="2"/>
      <c r="O136" s="2"/>
      <c r="P136" s="2"/>
      <c r="Q136" s="2"/>
      <c r="R136" s="9"/>
      <c r="S136" s="4"/>
      <c r="T136" s="9"/>
      <c r="U136" s="9"/>
      <c r="V136" s="9"/>
      <c r="W136" s="9"/>
      <c r="X136" s="4"/>
      <c r="Y136" s="6"/>
      <c r="Z136" s="9"/>
      <c r="AA136" s="4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10"/>
      <c r="AU136" s="9"/>
    </row>
    <row r="137" spans="1:47">
      <c r="A137" s="4"/>
      <c r="B137" s="4"/>
      <c r="C137" s="5"/>
      <c r="D137" s="5"/>
      <c r="E137" s="6"/>
      <c r="F137" s="4"/>
      <c r="G137" s="6"/>
      <c r="H137" s="7"/>
      <c r="I137" s="2"/>
      <c r="J137" s="2"/>
      <c r="K137" s="2"/>
      <c r="L137" s="2"/>
      <c r="M137" s="2"/>
      <c r="N137" s="2"/>
      <c r="O137" s="2"/>
      <c r="P137" s="2"/>
      <c r="Q137" s="2"/>
      <c r="R137" s="9"/>
      <c r="S137" s="4"/>
      <c r="T137" s="9"/>
      <c r="U137" s="9"/>
      <c r="V137" s="9"/>
      <c r="W137" s="9"/>
      <c r="X137" s="4"/>
      <c r="Y137" s="6"/>
      <c r="Z137" s="9"/>
      <c r="AA137" s="4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10"/>
      <c r="AU137" s="9"/>
    </row>
    <row r="138" spans="1:47">
      <c r="A138" s="4"/>
      <c r="B138" s="4"/>
      <c r="C138" s="5"/>
      <c r="D138" s="5"/>
      <c r="E138" s="6"/>
      <c r="F138" s="4"/>
      <c r="G138" s="6"/>
      <c r="H138" s="7"/>
      <c r="I138" s="2"/>
      <c r="J138" s="2"/>
      <c r="K138" s="2"/>
      <c r="L138" s="2"/>
      <c r="M138" s="2"/>
      <c r="N138" s="2"/>
      <c r="O138" s="2"/>
      <c r="P138" s="2"/>
      <c r="Q138" s="2"/>
      <c r="R138" s="9"/>
      <c r="S138" s="4"/>
      <c r="T138" s="9"/>
      <c r="U138" s="9"/>
      <c r="V138" s="9"/>
      <c r="W138" s="9"/>
      <c r="X138" s="4"/>
      <c r="Y138" s="6"/>
      <c r="Z138" s="9"/>
      <c r="AA138" s="4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10"/>
      <c r="AU138" s="9"/>
    </row>
    <row r="139" spans="1:47">
      <c r="A139" s="4"/>
      <c r="B139" s="4"/>
      <c r="C139" s="5"/>
      <c r="D139" s="5"/>
      <c r="E139" s="6"/>
      <c r="F139" s="4"/>
      <c r="G139" s="6"/>
      <c r="H139" s="7"/>
      <c r="I139" s="2"/>
      <c r="J139" s="2"/>
      <c r="K139" s="2"/>
      <c r="L139" s="2"/>
      <c r="M139" s="2"/>
      <c r="N139" s="2"/>
      <c r="O139" s="2"/>
      <c r="P139" s="2"/>
      <c r="Q139" s="2"/>
      <c r="R139" s="9"/>
      <c r="S139" s="4"/>
      <c r="T139" s="9"/>
      <c r="U139" s="9"/>
      <c r="V139" s="9"/>
      <c r="W139" s="9"/>
      <c r="X139" s="4"/>
      <c r="Y139" s="6"/>
      <c r="Z139" s="9"/>
      <c r="AA139" s="4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10"/>
      <c r="AU139" s="9"/>
    </row>
    <row r="140" spans="1:47">
      <c r="A140" s="4"/>
      <c r="B140" s="4"/>
      <c r="C140" s="5"/>
      <c r="D140" s="5"/>
      <c r="E140" s="6"/>
      <c r="F140" s="4"/>
      <c r="G140" s="6"/>
      <c r="H140" s="7"/>
      <c r="I140" s="2"/>
      <c r="J140" s="2"/>
      <c r="K140" s="2"/>
      <c r="L140" s="2"/>
      <c r="M140" s="2"/>
      <c r="N140" s="2"/>
      <c r="O140" s="2"/>
      <c r="P140" s="2"/>
      <c r="Q140" s="2"/>
      <c r="R140" s="9"/>
      <c r="S140" s="4"/>
      <c r="T140" s="9"/>
      <c r="U140" s="9"/>
      <c r="V140" s="9"/>
      <c r="W140" s="9"/>
      <c r="X140" s="4"/>
      <c r="Y140" s="6"/>
      <c r="Z140" s="9"/>
      <c r="AA140" s="4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10"/>
      <c r="AU140" s="9"/>
    </row>
    <row r="141" spans="1:47">
      <c r="A141" s="4"/>
      <c r="B141" s="4"/>
      <c r="C141" s="5"/>
      <c r="D141" s="5"/>
      <c r="E141" s="6"/>
      <c r="F141" s="4"/>
      <c r="G141" s="6"/>
      <c r="H141" s="7"/>
      <c r="I141" s="11"/>
      <c r="J141" s="7"/>
      <c r="K141" s="2"/>
      <c r="L141" s="2"/>
      <c r="M141" s="2"/>
      <c r="N141" s="2"/>
      <c r="O141" s="2"/>
      <c r="P141" s="2"/>
      <c r="Q141" s="2"/>
      <c r="R141" s="9"/>
      <c r="S141" s="4"/>
      <c r="T141" s="9"/>
      <c r="U141" s="9"/>
      <c r="V141" s="9"/>
      <c r="W141" s="9"/>
      <c r="X141" s="4"/>
      <c r="Y141" s="6"/>
      <c r="Z141" s="9"/>
      <c r="AA141" s="4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10"/>
      <c r="AU141" s="9"/>
    </row>
    <row r="142" spans="1:47">
      <c r="A142" s="4"/>
      <c r="B142" s="4"/>
      <c r="C142" s="5"/>
      <c r="D142" s="5"/>
      <c r="E142" s="6"/>
      <c r="F142" s="4"/>
      <c r="G142" s="6"/>
      <c r="H142" s="7"/>
      <c r="I142" s="2"/>
      <c r="J142" s="2"/>
      <c r="K142" s="2"/>
      <c r="L142" s="2"/>
      <c r="M142" s="2"/>
      <c r="N142" s="2"/>
      <c r="O142" s="2"/>
      <c r="P142" s="2"/>
      <c r="Q142" s="2"/>
      <c r="R142" s="9"/>
      <c r="S142" s="4"/>
      <c r="T142" s="9"/>
      <c r="U142" s="9"/>
      <c r="V142" s="9"/>
      <c r="W142" s="9"/>
      <c r="X142" s="4"/>
      <c r="Y142" s="6"/>
      <c r="Z142" s="9"/>
      <c r="AA142" s="4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10"/>
      <c r="AU142" s="9"/>
    </row>
    <row r="143" spans="1:47">
      <c r="A143" s="4"/>
      <c r="B143" s="4"/>
      <c r="C143" s="5"/>
      <c r="D143" s="5"/>
      <c r="E143" s="6"/>
      <c r="F143" s="4"/>
      <c r="G143" s="6"/>
      <c r="H143" s="7"/>
      <c r="I143" s="2"/>
      <c r="J143" s="2"/>
      <c r="K143" s="2"/>
      <c r="L143" s="2"/>
      <c r="M143" s="2"/>
      <c r="N143" s="2"/>
      <c r="O143" s="2"/>
      <c r="P143" s="2"/>
      <c r="Q143" s="2"/>
      <c r="R143" s="9"/>
      <c r="S143" s="4"/>
      <c r="T143" s="9"/>
      <c r="U143" s="9"/>
      <c r="V143" s="9"/>
      <c r="W143" s="9"/>
      <c r="X143" s="4"/>
      <c r="Y143" s="6"/>
      <c r="Z143" s="9"/>
      <c r="AA143" s="4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10"/>
      <c r="AU143" s="9"/>
    </row>
    <row r="144" spans="1:47">
      <c r="A144" s="4"/>
      <c r="B144" s="4"/>
      <c r="C144" s="5"/>
      <c r="D144" s="5"/>
      <c r="E144" s="6"/>
      <c r="F144" s="4"/>
      <c r="G144" s="6"/>
      <c r="H144" s="7"/>
      <c r="I144" s="7"/>
      <c r="J144" s="2"/>
      <c r="K144" s="2"/>
      <c r="L144" s="2"/>
      <c r="M144" s="2"/>
      <c r="N144" s="2"/>
      <c r="O144" s="2"/>
      <c r="P144" s="2"/>
      <c r="Q144" s="2"/>
      <c r="R144" s="9"/>
      <c r="S144" s="4"/>
      <c r="T144" s="9"/>
      <c r="U144" s="9"/>
      <c r="V144" s="9"/>
      <c r="W144" s="9"/>
      <c r="X144" s="4"/>
      <c r="Y144" s="6"/>
      <c r="Z144" s="9"/>
      <c r="AA144" s="4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10"/>
      <c r="AU144" s="9"/>
    </row>
    <row r="145" spans="1:47">
      <c r="A145" s="4"/>
      <c r="B145" s="4"/>
      <c r="C145" s="5"/>
      <c r="D145" s="5"/>
      <c r="E145" s="6"/>
      <c r="F145" s="4"/>
      <c r="G145" s="6"/>
      <c r="H145" s="7"/>
      <c r="I145" s="7"/>
      <c r="J145" s="7"/>
      <c r="K145" s="7"/>
      <c r="L145" s="7"/>
      <c r="M145" s="2"/>
      <c r="N145" s="2"/>
      <c r="O145" s="2"/>
      <c r="P145" s="2"/>
      <c r="Q145" s="2"/>
      <c r="R145" s="9"/>
      <c r="S145" s="4"/>
      <c r="T145" s="9"/>
      <c r="U145" s="9"/>
      <c r="V145" s="9"/>
      <c r="W145" s="9"/>
      <c r="X145" s="4"/>
      <c r="Y145" s="6"/>
      <c r="Z145" s="9"/>
      <c r="AA145" s="4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10"/>
      <c r="AU145" s="9"/>
    </row>
    <row r="146" spans="1:47">
      <c r="A146" s="4"/>
      <c r="B146" s="4"/>
      <c r="C146" s="5"/>
      <c r="D146" s="5"/>
      <c r="E146" s="6"/>
      <c r="F146" s="4"/>
      <c r="G146" s="6"/>
      <c r="H146" s="7"/>
      <c r="I146" s="7"/>
      <c r="J146" s="7"/>
      <c r="K146" s="7"/>
      <c r="L146" s="7"/>
      <c r="M146" s="2"/>
      <c r="N146" s="2"/>
      <c r="O146" s="2"/>
      <c r="P146" s="2"/>
      <c r="Q146" s="2"/>
      <c r="R146" s="9"/>
      <c r="S146" s="4"/>
      <c r="T146" s="9"/>
      <c r="U146" s="9"/>
      <c r="V146" s="9"/>
      <c r="W146" s="9"/>
      <c r="X146" s="4"/>
      <c r="Y146" s="6"/>
      <c r="Z146" s="4"/>
      <c r="AA146" s="23"/>
      <c r="AB146" s="24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10"/>
      <c r="AU146" s="9"/>
    </row>
    <row r="147" spans="1:47">
      <c r="A147" s="4"/>
      <c r="B147" s="4"/>
      <c r="C147" s="5"/>
      <c r="D147" s="5"/>
      <c r="E147" s="6"/>
      <c r="F147" s="4"/>
      <c r="G147" s="6"/>
      <c r="H147" s="7"/>
      <c r="I147" s="7"/>
      <c r="J147" s="7"/>
      <c r="K147" s="7"/>
      <c r="L147" s="7"/>
      <c r="M147" s="7"/>
      <c r="N147" s="2"/>
      <c r="O147" s="2"/>
      <c r="P147" s="2"/>
      <c r="Q147" s="2"/>
      <c r="R147" s="9"/>
      <c r="S147" s="4"/>
      <c r="T147" s="9"/>
      <c r="U147" s="9"/>
      <c r="V147" s="9"/>
      <c r="W147" s="9"/>
      <c r="X147" s="4"/>
      <c r="Y147" s="6"/>
      <c r="Z147" s="9"/>
      <c r="AA147" s="4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10"/>
      <c r="AU147" s="9"/>
    </row>
    <row r="148" spans="1:47">
      <c r="A148" s="4"/>
      <c r="B148" s="4"/>
      <c r="C148" s="5"/>
      <c r="D148" s="5"/>
      <c r="E148" s="6"/>
      <c r="F148" s="4"/>
      <c r="G148" s="6"/>
      <c r="H148" s="7"/>
      <c r="I148" s="7"/>
      <c r="J148" s="7"/>
      <c r="K148" s="7"/>
      <c r="L148" s="7"/>
      <c r="M148" s="2"/>
      <c r="N148" s="2"/>
      <c r="O148" s="2"/>
      <c r="P148" s="2"/>
      <c r="Q148" s="2"/>
      <c r="R148" s="9"/>
      <c r="S148" s="4"/>
      <c r="T148" s="9"/>
      <c r="U148" s="9"/>
      <c r="V148" s="9"/>
      <c r="W148" s="9"/>
      <c r="X148" s="4"/>
      <c r="Y148" s="6"/>
      <c r="Z148" s="4"/>
      <c r="AA148" s="23"/>
      <c r="AB148" s="24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10"/>
      <c r="AU148" s="9"/>
    </row>
    <row r="149" spans="1:47">
      <c r="A149" s="4"/>
      <c r="B149" s="4"/>
      <c r="C149" s="5"/>
      <c r="D149" s="5"/>
      <c r="E149" s="6"/>
      <c r="F149" s="4"/>
      <c r="G149" s="6"/>
      <c r="H149" s="7"/>
      <c r="I149" s="7"/>
      <c r="J149" s="7"/>
      <c r="K149" s="2"/>
      <c r="L149" s="2"/>
      <c r="M149" s="2"/>
      <c r="N149" s="2"/>
      <c r="O149" s="2"/>
      <c r="P149" s="2"/>
      <c r="Q149" s="2"/>
      <c r="R149" s="9"/>
      <c r="S149" s="4"/>
      <c r="T149" s="9"/>
      <c r="U149" s="9"/>
      <c r="V149" s="9"/>
      <c r="W149" s="9"/>
      <c r="X149" s="4"/>
      <c r="Y149" s="6"/>
      <c r="Z149" s="9"/>
      <c r="AA149" s="4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10"/>
      <c r="AU149" s="9"/>
    </row>
    <row r="150" spans="1:47">
      <c r="A150" s="4"/>
      <c r="B150" s="4"/>
      <c r="C150" s="5"/>
      <c r="D150" s="5"/>
      <c r="E150" s="6"/>
      <c r="F150" s="4"/>
      <c r="G150" s="6"/>
      <c r="H150" s="7"/>
      <c r="I150" s="7"/>
      <c r="J150" s="7"/>
      <c r="K150" s="7"/>
      <c r="L150" s="7"/>
      <c r="M150" s="2"/>
      <c r="N150" s="2"/>
      <c r="O150" s="2"/>
      <c r="P150" s="2"/>
      <c r="Q150" s="2"/>
      <c r="R150" s="9"/>
      <c r="S150" s="4"/>
      <c r="T150" s="9"/>
      <c r="U150" s="9"/>
      <c r="V150" s="9"/>
      <c r="W150" s="9"/>
      <c r="X150" s="4"/>
      <c r="Y150" s="6"/>
      <c r="Z150" s="9"/>
      <c r="AA150" s="4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10"/>
      <c r="AU150" s="9"/>
    </row>
    <row r="151" spans="1:47">
      <c r="A151" s="4"/>
      <c r="B151" s="4"/>
      <c r="C151" s="5"/>
      <c r="D151" s="5"/>
      <c r="E151" s="6"/>
      <c r="F151" s="4"/>
      <c r="G151" s="6"/>
      <c r="H151" s="7"/>
      <c r="I151" s="7"/>
      <c r="J151" s="7"/>
      <c r="K151" s="7"/>
      <c r="L151" s="7"/>
      <c r="M151" s="2"/>
      <c r="N151" s="2"/>
      <c r="O151" s="2"/>
      <c r="P151" s="2"/>
      <c r="Q151" s="2"/>
      <c r="R151" s="9"/>
      <c r="S151" s="4"/>
      <c r="T151" s="9"/>
      <c r="U151" s="9"/>
      <c r="V151" s="9"/>
      <c r="W151" s="9"/>
      <c r="X151" s="4"/>
      <c r="Y151" s="6"/>
      <c r="Z151" s="9"/>
      <c r="AA151" s="4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10"/>
      <c r="AU151" s="9"/>
    </row>
    <row r="152" spans="1:47">
      <c r="A152" s="4"/>
      <c r="B152" s="4"/>
      <c r="C152" s="5"/>
      <c r="D152" s="5"/>
      <c r="E152" s="6"/>
      <c r="F152" s="4"/>
      <c r="G152" s="6"/>
      <c r="H152" s="7"/>
      <c r="I152" s="7"/>
      <c r="J152" s="7"/>
      <c r="K152" s="7"/>
      <c r="L152" s="7"/>
      <c r="M152" s="2"/>
      <c r="N152" s="2"/>
      <c r="O152" s="2"/>
      <c r="P152" s="2"/>
      <c r="Q152" s="2"/>
      <c r="R152" s="9"/>
      <c r="S152" s="4"/>
      <c r="T152" s="9"/>
      <c r="U152" s="9"/>
      <c r="V152" s="9"/>
      <c r="W152" s="9"/>
      <c r="X152" s="4"/>
      <c r="Y152" s="6"/>
      <c r="Z152" s="9"/>
      <c r="AA152" s="4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10"/>
      <c r="AU152" s="9"/>
    </row>
    <row r="153" spans="1:47">
      <c r="A153" s="4"/>
      <c r="B153" s="4"/>
      <c r="C153" s="5"/>
      <c r="D153" s="5"/>
      <c r="E153" s="6"/>
      <c r="F153" s="4"/>
      <c r="G153" s="6"/>
      <c r="H153" s="7"/>
      <c r="I153" s="7"/>
      <c r="J153" s="7"/>
      <c r="K153" s="7"/>
      <c r="L153" s="7"/>
      <c r="M153" s="2"/>
      <c r="N153" s="2"/>
      <c r="O153" s="2"/>
      <c r="P153" s="2"/>
      <c r="Q153" s="2"/>
      <c r="R153" s="9"/>
      <c r="S153" s="4"/>
      <c r="T153" s="9"/>
      <c r="U153" s="9"/>
      <c r="V153" s="9"/>
      <c r="W153" s="9"/>
      <c r="X153" s="4"/>
      <c r="Y153" s="6"/>
      <c r="Z153" s="9"/>
      <c r="AA153" s="4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10"/>
      <c r="AU153" s="9"/>
    </row>
    <row r="154" spans="1:47">
      <c r="A154" s="4"/>
      <c r="B154" s="4"/>
      <c r="C154" s="5"/>
      <c r="D154" s="5"/>
      <c r="E154" s="6"/>
      <c r="F154" s="4"/>
      <c r="G154" s="6"/>
      <c r="H154" s="7"/>
      <c r="I154" s="7"/>
      <c r="J154" s="7"/>
      <c r="K154" s="7"/>
      <c r="L154" s="7"/>
      <c r="M154" s="2"/>
      <c r="N154" s="2"/>
      <c r="O154" s="2"/>
      <c r="P154" s="2"/>
      <c r="Q154" s="2"/>
      <c r="R154" s="9"/>
      <c r="S154" s="4"/>
      <c r="T154" s="9"/>
      <c r="U154" s="9"/>
      <c r="V154" s="9"/>
      <c r="W154" s="9"/>
      <c r="X154" s="4"/>
      <c r="Y154" s="6"/>
      <c r="Z154" s="9"/>
      <c r="AA154" s="4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10"/>
      <c r="AU154" s="9"/>
    </row>
    <row r="155" spans="1:47">
      <c r="A155" s="4"/>
      <c r="B155" s="4"/>
      <c r="C155" s="5"/>
      <c r="D155" s="5"/>
      <c r="E155" s="6"/>
      <c r="F155" s="4"/>
      <c r="G155" s="6"/>
      <c r="H155" s="7"/>
      <c r="I155" s="7"/>
      <c r="J155" s="2"/>
      <c r="K155" s="2"/>
      <c r="L155" s="2"/>
      <c r="M155" s="2"/>
      <c r="N155" s="2"/>
      <c r="O155" s="2"/>
      <c r="P155" s="2"/>
      <c r="Q155" s="2"/>
      <c r="R155" s="9"/>
      <c r="S155" s="4"/>
      <c r="T155" s="9"/>
      <c r="U155" s="9"/>
      <c r="V155" s="9"/>
      <c r="W155" s="9"/>
      <c r="X155" s="4"/>
      <c r="Y155" s="6"/>
      <c r="Z155" s="9"/>
      <c r="AA155" s="4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10"/>
      <c r="AU155" s="9"/>
    </row>
    <row r="156" spans="1:47">
      <c r="A156" s="4"/>
      <c r="B156" s="4"/>
      <c r="C156" s="5"/>
      <c r="D156" s="5"/>
      <c r="E156" s="6"/>
      <c r="F156" s="4"/>
      <c r="G156" s="6"/>
      <c r="H156" s="7"/>
      <c r="I156" s="7"/>
      <c r="J156" s="2"/>
      <c r="K156" s="2"/>
      <c r="L156" s="2"/>
      <c r="M156" s="2"/>
      <c r="N156" s="2"/>
      <c r="O156" s="2"/>
      <c r="P156" s="2"/>
      <c r="Q156" s="2"/>
      <c r="R156" s="9"/>
      <c r="S156" s="4"/>
      <c r="T156" s="9"/>
      <c r="U156" s="9"/>
      <c r="V156" s="9"/>
      <c r="W156" s="9"/>
      <c r="X156" s="4"/>
      <c r="Y156" s="6"/>
      <c r="Z156" s="9"/>
      <c r="AA156" s="4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10"/>
      <c r="AU156" s="9"/>
    </row>
    <row r="157" spans="1:47">
      <c r="A157" s="4"/>
      <c r="B157" s="4"/>
      <c r="C157" s="5"/>
      <c r="D157" s="5"/>
      <c r="E157" s="6"/>
      <c r="F157" s="4"/>
      <c r="G157" s="6"/>
      <c r="H157" s="7"/>
      <c r="I157" s="7"/>
      <c r="J157" s="2"/>
      <c r="K157" s="2"/>
      <c r="L157" s="2"/>
      <c r="M157" s="2"/>
      <c r="N157" s="2"/>
      <c r="O157" s="2"/>
      <c r="P157" s="2"/>
      <c r="Q157" s="2"/>
      <c r="R157" s="9"/>
      <c r="S157" s="4"/>
      <c r="T157" s="9"/>
      <c r="U157" s="9"/>
      <c r="V157" s="9"/>
      <c r="W157" s="9"/>
      <c r="X157" s="4"/>
      <c r="Y157" s="6"/>
      <c r="Z157" s="9"/>
      <c r="AA157" s="4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10"/>
      <c r="AU157" s="9"/>
    </row>
    <row r="158" spans="1:47">
      <c r="A158" s="4"/>
      <c r="B158" s="4"/>
      <c r="C158" s="5"/>
      <c r="D158" s="5"/>
      <c r="E158" s="6"/>
      <c r="F158" s="4"/>
      <c r="G158" s="6"/>
      <c r="H158" s="7"/>
      <c r="I158" s="7"/>
      <c r="J158" s="2"/>
      <c r="K158" s="2"/>
      <c r="L158" s="2"/>
      <c r="M158" s="2"/>
      <c r="N158" s="2"/>
      <c r="O158" s="2"/>
      <c r="P158" s="2"/>
      <c r="Q158" s="2"/>
      <c r="R158" s="9"/>
      <c r="S158" s="4"/>
      <c r="T158" s="9"/>
      <c r="U158" s="9"/>
      <c r="V158" s="9"/>
      <c r="W158" s="9"/>
      <c r="X158" s="4"/>
      <c r="Y158" s="6"/>
      <c r="Z158" s="9"/>
      <c r="AA158" s="4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10"/>
      <c r="AU158" s="9"/>
    </row>
    <row r="159" spans="1:47">
      <c r="A159" s="4"/>
      <c r="B159" s="4"/>
      <c r="C159" s="5"/>
      <c r="D159" s="5"/>
      <c r="E159" s="6"/>
      <c r="F159" s="4"/>
      <c r="G159" s="6"/>
      <c r="H159" s="7"/>
      <c r="I159" s="7"/>
      <c r="J159" s="2"/>
      <c r="K159" s="2"/>
      <c r="L159" s="2"/>
      <c r="M159" s="2"/>
      <c r="N159" s="2"/>
      <c r="O159" s="2"/>
      <c r="P159" s="2"/>
      <c r="Q159" s="2"/>
      <c r="R159" s="9"/>
      <c r="S159" s="4"/>
      <c r="T159" s="9"/>
      <c r="U159" s="9"/>
      <c r="V159" s="9"/>
      <c r="W159" s="9"/>
      <c r="X159" s="4"/>
      <c r="Y159" s="6"/>
      <c r="Z159" s="9"/>
      <c r="AA159" s="4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10"/>
      <c r="AU159" s="9"/>
    </row>
    <row r="160" spans="1:47">
      <c r="A160" s="4"/>
      <c r="B160" s="4"/>
      <c r="C160" s="5"/>
      <c r="D160" s="5"/>
      <c r="E160" s="6"/>
      <c r="F160" s="4"/>
      <c r="G160" s="6"/>
      <c r="H160" s="7"/>
      <c r="I160" s="7"/>
      <c r="J160" s="2"/>
      <c r="K160" s="2"/>
      <c r="L160" s="2"/>
      <c r="M160" s="2"/>
      <c r="N160" s="2"/>
      <c r="O160" s="2"/>
      <c r="P160" s="2"/>
      <c r="Q160" s="2"/>
      <c r="R160" s="9"/>
      <c r="S160" s="4"/>
      <c r="T160" s="9"/>
      <c r="U160" s="9"/>
      <c r="V160" s="9"/>
      <c r="W160" s="9"/>
      <c r="X160" s="4"/>
      <c r="Y160" s="6"/>
      <c r="Z160" s="9"/>
      <c r="AA160" s="4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10"/>
      <c r="AU160" s="9"/>
    </row>
    <row r="161" spans="1:47">
      <c r="A161" s="4"/>
      <c r="B161" s="4"/>
      <c r="C161" s="5"/>
      <c r="D161" s="5"/>
      <c r="E161" s="6"/>
      <c r="F161" s="4"/>
      <c r="G161" s="6"/>
      <c r="H161" s="7"/>
      <c r="I161" s="7"/>
      <c r="J161" s="2"/>
      <c r="K161" s="2"/>
      <c r="L161" s="2"/>
      <c r="M161" s="2"/>
      <c r="N161" s="2"/>
      <c r="O161" s="2"/>
      <c r="P161" s="2"/>
      <c r="Q161" s="2"/>
      <c r="R161" s="9"/>
      <c r="S161" s="4"/>
      <c r="T161" s="9"/>
      <c r="U161" s="9"/>
      <c r="V161" s="9"/>
      <c r="W161" s="9"/>
      <c r="X161" s="4"/>
      <c r="Y161" s="6"/>
      <c r="Z161" s="9"/>
      <c r="AA161" s="4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10"/>
      <c r="AU161" s="9"/>
    </row>
    <row r="162" spans="1:47">
      <c r="A162" s="4"/>
      <c r="B162" s="4"/>
      <c r="C162" s="5"/>
      <c r="D162" s="5"/>
      <c r="E162" s="6"/>
      <c r="F162" s="4"/>
      <c r="G162" s="6"/>
      <c r="H162" s="7"/>
      <c r="I162" s="7"/>
      <c r="J162" s="2"/>
      <c r="K162" s="2"/>
      <c r="L162" s="2"/>
      <c r="M162" s="2"/>
      <c r="N162" s="2"/>
      <c r="O162" s="2"/>
      <c r="P162" s="2"/>
      <c r="Q162" s="2"/>
      <c r="R162" s="9"/>
      <c r="S162" s="4"/>
      <c r="T162" s="9"/>
      <c r="U162" s="9"/>
      <c r="V162" s="9"/>
      <c r="W162" s="9"/>
      <c r="X162" s="4"/>
      <c r="Y162" s="6"/>
      <c r="Z162" s="9"/>
      <c r="AA162" s="4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10"/>
      <c r="AU162" s="9"/>
    </row>
    <row r="163" spans="1:47">
      <c r="A163" s="4"/>
      <c r="B163" s="4"/>
      <c r="C163" s="5"/>
      <c r="D163" s="5"/>
      <c r="E163" s="6"/>
      <c r="F163" s="4"/>
      <c r="G163" s="6"/>
      <c r="H163" s="7"/>
      <c r="I163" s="7"/>
      <c r="J163" s="2"/>
      <c r="K163" s="2"/>
      <c r="L163" s="2"/>
      <c r="M163" s="2"/>
      <c r="N163" s="2"/>
      <c r="O163" s="2"/>
      <c r="P163" s="2"/>
      <c r="Q163" s="2"/>
      <c r="R163" s="9"/>
      <c r="S163" s="4"/>
      <c r="T163" s="9"/>
      <c r="U163" s="9"/>
      <c r="V163" s="9"/>
      <c r="W163" s="9"/>
      <c r="X163" s="4"/>
      <c r="Y163" s="6"/>
      <c r="Z163" s="9"/>
      <c r="AA163" s="4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10"/>
      <c r="AU163" s="9"/>
    </row>
    <row r="164" spans="1:47">
      <c r="A164" s="4"/>
      <c r="B164" s="4"/>
      <c r="C164" s="5"/>
      <c r="D164" s="5"/>
      <c r="E164" s="6"/>
      <c r="F164" s="4"/>
      <c r="G164" s="6"/>
      <c r="H164" s="7"/>
      <c r="I164" s="7"/>
      <c r="J164" s="2"/>
      <c r="K164" s="2"/>
      <c r="L164" s="2"/>
      <c r="M164" s="2"/>
      <c r="N164" s="2"/>
      <c r="O164" s="2"/>
      <c r="P164" s="2"/>
      <c r="Q164" s="2"/>
      <c r="R164" s="9"/>
      <c r="S164" s="4"/>
      <c r="T164" s="9"/>
      <c r="U164" s="9"/>
      <c r="V164" s="9"/>
      <c r="W164" s="9"/>
      <c r="X164" s="4"/>
      <c r="Y164" s="6"/>
      <c r="Z164" s="9"/>
      <c r="AA164" s="4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10"/>
      <c r="AU164" s="9"/>
    </row>
    <row r="165" spans="1:47">
      <c r="A165" s="4"/>
      <c r="B165" s="4"/>
      <c r="C165" s="5"/>
      <c r="D165" s="5"/>
      <c r="E165" s="6"/>
      <c r="F165" s="4"/>
      <c r="G165" s="6"/>
      <c r="H165" s="7"/>
      <c r="I165" s="7"/>
      <c r="J165" s="2"/>
      <c r="K165" s="2"/>
      <c r="L165" s="2"/>
      <c r="M165" s="2"/>
      <c r="N165" s="2"/>
      <c r="O165" s="2"/>
      <c r="P165" s="2"/>
      <c r="Q165" s="2"/>
      <c r="R165" s="9"/>
      <c r="S165" s="4"/>
      <c r="T165" s="9"/>
      <c r="U165" s="9"/>
      <c r="V165" s="9"/>
      <c r="W165" s="9"/>
      <c r="X165" s="4"/>
      <c r="Y165" s="6"/>
      <c r="Z165" s="9"/>
      <c r="AA165" s="4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10"/>
      <c r="AU165" s="9"/>
    </row>
    <row r="166" spans="1:47">
      <c r="A166" s="4"/>
      <c r="B166" s="4"/>
      <c r="C166" s="5"/>
      <c r="D166" s="5"/>
      <c r="E166" s="6"/>
      <c r="F166" s="4"/>
      <c r="G166" s="6"/>
      <c r="H166" s="7"/>
      <c r="I166" s="7"/>
      <c r="J166" s="2"/>
      <c r="K166" s="2"/>
      <c r="L166" s="2"/>
      <c r="M166" s="2"/>
      <c r="N166" s="2"/>
      <c r="O166" s="2"/>
      <c r="P166" s="2"/>
      <c r="Q166" s="2"/>
      <c r="R166" s="9"/>
      <c r="S166" s="4"/>
      <c r="T166" s="9"/>
      <c r="U166" s="9"/>
      <c r="V166" s="9"/>
      <c r="W166" s="9"/>
      <c r="X166" s="4"/>
      <c r="Y166" s="6"/>
      <c r="Z166" s="9"/>
      <c r="AA166" s="4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10"/>
      <c r="AU166" s="9"/>
    </row>
    <row r="167" spans="1:47">
      <c r="A167" s="4"/>
      <c r="B167" s="4"/>
      <c r="C167" s="5"/>
      <c r="D167" s="5"/>
      <c r="E167" s="6"/>
      <c r="F167" s="4"/>
      <c r="G167" s="6"/>
      <c r="H167" s="7"/>
      <c r="I167" s="7"/>
      <c r="J167" s="2"/>
      <c r="K167" s="2"/>
      <c r="L167" s="2"/>
      <c r="M167" s="2"/>
      <c r="N167" s="2"/>
      <c r="O167" s="2"/>
      <c r="P167" s="2"/>
      <c r="Q167" s="2"/>
      <c r="R167" s="9"/>
      <c r="S167" s="4"/>
      <c r="T167" s="9"/>
      <c r="U167" s="9"/>
      <c r="V167" s="9"/>
      <c r="W167" s="9"/>
      <c r="X167" s="4"/>
      <c r="Y167" s="6"/>
      <c r="Z167" s="9"/>
      <c r="AA167" s="4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10"/>
      <c r="AU167" s="9"/>
    </row>
    <row r="168" spans="1:47">
      <c r="A168" s="4"/>
      <c r="B168" s="4"/>
      <c r="C168" s="5"/>
      <c r="D168" s="5"/>
      <c r="E168" s="6"/>
      <c r="F168" s="4"/>
      <c r="G168" s="6"/>
      <c r="H168" s="7"/>
      <c r="I168" s="7"/>
      <c r="J168" s="2"/>
      <c r="K168" s="2"/>
      <c r="L168" s="2"/>
      <c r="M168" s="2"/>
      <c r="N168" s="2"/>
      <c r="O168" s="2"/>
      <c r="P168" s="2"/>
      <c r="Q168" s="2"/>
      <c r="R168" s="9"/>
      <c r="S168" s="4"/>
      <c r="T168" s="9"/>
      <c r="U168" s="9"/>
      <c r="V168" s="9"/>
      <c r="W168" s="9"/>
      <c r="X168" s="4"/>
      <c r="Y168" s="6"/>
      <c r="Z168" s="9"/>
      <c r="AA168" s="4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10"/>
      <c r="AU168" s="9"/>
    </row>
    <row r="169" spans="1:47">
      <c r="A169" s="4"/>
      <c r="B169" s="4"/>
      <c r="C169" s="5"/>
      <c r="D169" s="5"/>
      <c r="E169" s="6"/>
      <c r="F169" s="4"/>
      <c r="G169" s="6"/>
      <c r="H169" s="7"/>
      <c r="I169" s="7"/>
      <c r="J169" s="2"/>
      <c r="K169" s="2"/>
      <c r="L169" s="2"/>
      <c r="M169" s="2"/>
      <c r="N169" s="2"/>
      <c r="O169" s="2"/>
      <c r="P169" s="2"/>
      <c r="Q169" s="2"/>
      <c r="R169" s="9"/>
      <c r="S169" s="4"/>
      <c r="T169" s="9"/>
      <c r="U169" s="9"/>
      <c r="V169" s="9"/>
      <c r="W169" s="9"/>
      <c r="X169" s="4"/>
      <c r="Y169" s="6"/>
      <c r="Z169" s="9"/>
      <c r="AA169" s="4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10"/>
      <c r="AU169" s="9"/>
    </row>
    <row r="170" spans="1:47">
      <c r="A170" s="4"/>
      <c r="B170" s="4"/>
      <c r="C170" s="5"/>
      <c r="D170" s="5"/>
      <c r="E170" s="6"/>
      <c r="F170" s="4"/>
      <c r="G170" s="6"/>
      <c r="H170" s="7"/>
      <c r="I170" s="7"/>
      <c r="J170" s="2"/>
      <c r="K170" s="2"/>
      <c r="L170" s="2"/>
      <c r="M170" s="2"/>
      <c r="N170" s="2"/>
      <c r="O170" s="2"/>
      <c r="P170" s="2"/>
      <c r="Q170" s="2"/>
      <c r="R170" s="9"/>
      <c r="S170" s="4"/>
      <c r="T170" s="9"/>
      <c r="U170" s="9"/>
      <c r="V170" s="9"/>
      <c r="W170" s="9"/>
      <c r="X170" s="4"/>
      <c r="Y170" s="6"/>
      <c r="Z170" s="9"/>
      <c r="AA170" s="4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10"/>
      <c r="AU170" s="9"/>
    </row>
    <row r="171" spans="1:47">
      <c r="A171" s="4"/>
      <c r="B171" s="4"/>
      <c r="C171" s="5"/>
      <c r="D171" s="5"/>
      <c r="E171" s="6"/>
      <c r="F171" s="4"/>
      <c r="G171" s="6"/>
      <c r="H171" s="7"/>
      <c r="I171" s="2"/>
      <c r="J171" s="2"/>
      <c r="K171" s="2"/>
      <c r="L171" s="2"/>
      <c r="M171" s="2"/>
      <c r="N171" s="2"/>
      <c r="O171" s="2"/>
      <c r="P171" s="2"/>
      <c r="Q171" s="2"/>
      <c r="R171" s="9"/>
      <c r="S171" s="4"/>
      <c r="T171" s="9"/>
      <c r="U171" s="9"/>
      <c r="V171" s="9"/>
      <c r="W171" s="9"/>
      <c r="X171" s="4"/>
      <c r="Y171" s="6"/>
      <c r="Z171" s="9"/>
      <c r="AA171" s="4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10"/>
      <c r="AU171" s="9"/>
    </row>
    <row r="172" spans="1:47">
      <c r="A172" s="4"/>
      <c r="B172" s="4"/>
      <c r="C172" s="5"/>
      <c r="D172" s="5"/>
      <c r="E172" s="6"/>
      <c r="F172" s="4"/>
      <c r="G172" s="6"/>
      <c r="H172" s="7"/>
      <c r="I172" s="2"/>
      <c r="J172" s="2"/>
      <c r="K172" s="2"/>
      <c r="L172" s="2"/>
      <c r="M172" s="2"/>
      <c r="N172" s="2"/>
      <c r="O172" s="2"/>
      <c r="P172" s="2"/>
      <c r="Q172" s="2"/>
      <c r="R172" s="9"/>
      <c r="S172" s="4"/>
      <c r="T172" s="9"/>
      <c r="U172" s="9"/>
      <c r="V172" s="9"/>
      <c r="W172" s="9"/>
      <c r="X172" s="4"/>
      <c r="Y172" s="6"/>
      <c r="Z172" s="9"/>
      <c r="AA172" s="4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10"/>
      <c r="AU172" s="9"/>
    </row>
    <row r="173" spans="1:47">
      <c r="A173" s="4"/>
      <c r="B173" s="4"/>
      <c r="C173" s="5"/>
      <c r="D173" s="5"/>
      <c r="E173" s="6"/>
      <c r="F173" s="4"/>
      <c r="G173" s="6"/>
      <c r="H173" s="7"/>
      <c r="I173" s="2"/>
      <c r="J173" s="2"/>
      <c r="K173" s="2"/>
      <c r="L173" s="2"/>
      <c r="M173" s="2"/>
      <c r="N173" s="2"/>
      <c r="O173" s="2"/>
      <c r="P173" s="2"/>
      <c r="Q173" s="2"/>
      <c r="R173" s="9"/>
      <c r="S173" s="4"/>
      <c r="T173" s="9"/>
      <c r="U173" s="9"/>
      <c r="V173" s="9"/>
      <c r="W173" s="9"/>
      <c r="X173" s="4"/>
      <c r="Y173" s="6"/>
      <c r="Z173" s="9"/>
      <c r="AA173" s="4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10"/>
      <c r="AU173" s="9"/>
    </row>
    <row r="174" spans="1:47">
      <c r="A174" s="4"/>
      <c r="B174" s="4"/>
      <c r="C174" s="5"/>
      <c r="D174" s="5"/>
      <c r="E174" s="6"/>
      <c r="F174" s="4"/>
      <c r="G174" s="6"/>
      <c r="H174" s="7"/>
      <c r="I174" s="2"/>
      <c r="J174" s="2"/>
      <c r="K174" s="2"/>
      <c r="L174" s="2"/>
      <c r="M174" s="2"/>
      <c r="N174" s="2"/>
      <c r="O174" s="2"/>
      <c r="P174" s="2"/>
      <c r="Q174" s="2"/>
      <c r="R174" s="9"/>
      <c r="S174" s="4"/>
      <c r="T174" s="9"/>
      <c r="U174" s="9"/>
      <c r="V174" s="9"/>
      <c r="W174" s="9"/>
      <c r="X174" s="4"/>
      <c r="Y174" s="6"/>
      <c r="Z174" s="9"/>
      <c r="AA174" s="4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10"/>
      <c r="AU174" s="9"/>
    </row>
    <row r="175" spans="1:47">
      <c r="A175" s="4"/>
      <c r="B175" s="4"/>
      <c r="C175" s="5"/>
      <c r="D175" s="5"/>
      <c r="E175" s="6"/>
      <c r="F175" s="4"/>
      <c r="G175" s="6"/>
      <c r="H175" s="7"/>
      <c r="I175" s="2"/>
      <c r="J175" s="2"/>
      <c r="K175" s="2"/>
      <c r="L175" s="2"/>
      <c r="M175" s="2"/>
      <c r="N175" s="2"/>
      <c r="O175" s="2"/>
      <c r="P175" s="2"/>
      <c r="Q175" s="2"/>
      <c r="R175" s="9"/>
      <c r="S175" s="4"/>
      <c r="T175" s="9"/>
      <c r="U175" s="9"/>
      <c r="V175" s="9"/>
      <c r="W175" s="9"/>
      <c r="X175" s="4"/>
      <c r="Y175" s="6"/>
      <c r="Z175" s="9"/>
      <c r="AA175" s="4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10"/>
      <c r="AU175" s="9"/>
    </row>
    <row r="176" spans="1:47">
      <c r="A176" s="4"/>
      <c r="B176" s="4"/>
      <c r="C176" s="5"/>
      <c r="D176" s="5"/>
      <c r="E176" s="6"/>
      <c r="F176" s="4"/>
      <c r="G176" s="6"/>
      <c r="H176" s="7"/>
      <c r="I176" s="2"/>
      <c r="J176" s="2"/>
      <c r="K176" s="2"/>
      <c r="L176" s="2"/>
      <c r="M176" s="2"/>
      <c r="N176" s="2"/>
      <c r="O176" s="2"/>
      <c r="P176" s="2"/>
      <c r="Q176" s="2"/>
      <c r="R176" s="9"/>
      <c r="S176" s="4"/>
      <c r="T176" s="9"/>
      <c r="U176" s="9"/>
      <c r="V176" s="9"/>
      <c r="W176" s="9"/>
      <c r="X176" s="4"/>
      <c r="Y176" s="6"/>
      <c r="Z176" s="9"/>
      <c r="AA176" s="4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10"/>
      <c r="AU176" s="9"/>
    </row>
    <row r="177" spans="1:47">
      <c r="A177" s="4"/>
      <c r="B177" s="4"/>
      <c r="C177" s="5"/>
      <c r="D177" s="5"/>
      <c r="E177" s="6"/>
      <c r="F177" s="4"/>
      <c r="G177" s="6"/>
      <c r="H177" s="7"/>
      <c r="I177" s="2"/>
      <c r="J177" s="2"/>
      <c r="K177" s="2"/>
      <c r="L177" s="2"/>
      <c r="M177" s="2"/>
      <c r="N177" s="2"/>
      <c r="O177" s="2"/>
      <c r="P177" s="2"/>
      <c r="Q177" s="2"/>
      <c r="R177" s="9"/>
      <c r="S177" s="4"/>
      <c r="T177" s="9"/>
      <c r="U177" s="9"/>
      <c r="V177" s="9"/>
      <c r="W177" s="9"/>
      <c r="X177" s="4"/>
      <c r="Y177" s="6"/>
      <c r="Z177" s="9"/>
      <c r="AA177" s="4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10"/>
      <c r="AU177" s="9"/>
    </row>
    <row r="178" spans="1:47">
      <c r="A178" s="4"/>
      <c r="B178" s="4"/>
      <c r="C178" s="5"/>
      <c r="D178" s="5"/>
      <c r="E178" s="6"/>
      <c r="F178" s="4"/>
      <c r="G178" s="6"/>
      <c r="H178" s="7"/>
      <c r="I178" s="2"/>
      <c r="J178" s="2"/>
      <c r="K178" s="2"/>
      <c r="L178" s="2"/>
      <c r="M178" s="2"/>
      <c r="N178" s="2"/>
      <c r="O178" s="2"/>
      <c r="P178" s="2"/>
      <c r="Q178" s="2"/>
      <c r="R178" s="9"/>
      <c r="S178" s="4"/>
      <c r="T178" s="9"/>
      <c r="U178" s="9"/>
      <c r="V178" s="9"/>
      <c r="W178" s="9"/>
      <c r="X178" s="4"/>
      <c r="Y178" s="6"/>
      <c r="Z178" s="9"/>
      <c r="AA178" s="4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10"/>
      <c r="AU178" s="9"/>
    </row>
    <row r="179" spans="1:47">
      <c r="A179" s="4"/>
      <c r="B179" s="4"/>
      <c r="C179" s="5"/>
      <c r="D179" s="5"/>
      <c r="E179" s="6"/>
      <c r="F179" s="4"/>
      <c r="G179" s="6"/>
      <c r="H179" s="7"/>
      <c r="I179" s="2"/>
      <c r="J179" s="2"/>
      <c r="K179" s="2"/>
      <c r="L179" s="2"/>
      <c r="M179" s="2"/>
      <c r="N179" s="2"/>
      <c r="O179" s="2"/>
      <c r="P179" s="2"/>
      <c r="Q179" s="2"/>
      <c r="R179" s="9"/>
      <c r="S179" s="4"/>
      <c r="T179" s="9"/>
      <c r="U179" s="9"/>
      <c r="V179" s="9"/>
      <c r="W179" s="9"/>
      <c r="X179" s="4"/>
      <c r="Y179" s="6"/>
      <c r="Z179" s="9"/>
      <c r="AA179" s="4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10"/>
      <c r="AU179" s="9"/>
    </row>
    <row r="180" spans="1:47">
      <c r="A180" s="4"/>
      <c r="B180" s="4"/>
      <c r="C180" s="5"/>
      <c r="D180" s="5"/>
      <c r="E180" s="6"/>
      <c r="F180" s="4"/>
      <c r="G180" s="6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9"/>
      <c r="S180" s="4"/>
      <c r="T180" s="9"/>
      <c r="U180" s="9"/>
      <c r="V180" s="9"/>
      <c r="W180" s="9"/>
      <c r="X180" s="4"/>
      <c r="Y180" s="6"/>
      <c r="Z180" s="9"/>
      <c r="AA180" s="4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10"/>
      <c r="AU180" s="9"/>
    </row>
    <row r="181" spans="1:47">
      <c r="A181" s="4"/>
      <c r="B181" s="4"/>
      <c r="C181" s="5"/>
      <c r="D181" s="5"/>
      <c r="E181" s="6"/>
      <c r="F181" s="4"/>
      <c r="G181" s="6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9"/>
      <c r="S181" s="4"/>
      <c r="T181" s="9"/>
      <c r="U181" s="9"/>
      <c r="V181" s="9"/>
      <c r="W181" s="9"/>
      <c r="X181" s="4"/>
      <c r="Y181" s="6"/>
      <c r="Z181" s="9"/>
      <c r="AA181" s="4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10"/>
      <c r="AU181" s="9"/>
    </row>
    <row r="182" spans="1:47">
      <c r="A182" s="4"/>
      <c r="B182" s="4"/>
      <c r="C182" s="5"/>
      <c r="D182" s="5"/>
      <c r="E182" s="6"/>
      <c r="F182" s="4"/>
      <c r="G182" s="6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9"/>
      <c r="S182" s="4"/>
      <c r="T182" s="9"/>
      <c r="U182" s="9"/>
      <c r="V182" s="9"/>
      <c r="W182" s="9"/>
      <c r="X182" s="4"/>
      <c r="Y182" s="6"/>
      <c r="Z182" s="9"/>
      <c r="AA182" s="4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10"/>
      <c r="AU182" s="9"/>
    </row>
    <row r="183" spans="1:47">
      <c r="A183" s="4"/>
      <c r="B183" s="4"/>
      <c r="C183" s="5"/>
      <c r="D183" s="5"/>
      <c r="E183" s="6"/>
      <c r="F183" s="4"/>
      <c r="G183" s="6"/>
      <c r="H183" s="7"/>
      <c r="I183" s="2"/>
      <c r="J183" s="2"/>
      <c r="K183" s="2"/>
      <c r="L183" s="2"/>
      <c r="M183" s="2"/>
      <c r="N183" s="2"/>
      <c r="O183" s="2"/>
      <c r="P183" s="2"/>
      <c r="Q183" s="2"/>
      <c r="R183" s="9"/>
      <c r="S183" s="4"/>
      <c r="T183" s="9"/>
      <c r="U183" s="9"/>
      <c r="V183" s="9"/>
      <c r="W183" s="9"/>
      <c r="X183" s="4"/>
      <c r="Y183" s="6"/>
      <c r="Z183" s="9"/>
      <c r="AA183" s="4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10"/>
      <c r="AU183" s="9"/>
    </row>
    <row r="184" spans="1:47">
      <c r="A184" s="4"/>
      <c r="B184" s="4"/>
      <c r="C184" s="5"/>
      <c r="D184" s="5"/>
      <c r="E184" s="6"/>
      <c r="F184" s="4"/>
      <c r="G184" s="6"/>
      <c r="H184" s="7"/>
      <c r="I184" s="2"/>
      <c r="J184" s="2"/>
      <c r="K184" s="2"/>
      <c r="L184" s="2"/>
      <c r="M184" s="2"/>
      <c r="N184" s="2"/>
      <c r="O184" s="2"/>
      <c r="P184" s="2"/>
      <c r="Q184" s="2"/>
      <c r="R184" s="9"/>
      <c r="S184" s="4"/>
      <c r="T184" s="9"/>
      <c r="U184" s="9"/>
      <c r="V184" s="9"/>
      <c r="W184" s="9"/>
      <c r="X184" s="4"/>
      <c r="Y184" s="6"/>
      <c r="Z184" s="9"/>
      <c r="AA184" s="4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10"/>
      <c r="AU184" s="9"/>
    </row>
    <row r="185" spans="1:47">
      <c r="A185" s="4"/>
      <c r="B185" s="4"/>
      <c r="C185" s="5"/>
      <c r="D185" s="5"/>
      <c r="E185" s="6"/>
      <c r="F185" s="4"/>
      <c r="G185" s="6"/>
      <c r="H185" s="7"/>
      <c r="I185" s="2"/>
      <c r="J185" s="2"/>
      <c r="K185" s="2"/>
      <c r="L185" s="2"/>
      <c r="M185" s="2"/>
      <c r="N185" s="2"/>
      <c r="O185" s="2"/>
      <c r="P185" s="2"/>
      <c r="Q185" s="2"/>
      <c r="R185" s="9"/>
      <c r="S185" s="4"/>
      <c r="T185" s="9"/>
      <c r="U185" s="9"/>
      <c r="V185" s="9"/>
      <c r="W185" s="9"/>
      <c r="X185" s="4"/>
      <c r="Y185" s="6"/>
      <c r="Z185" s="9"/>
      <c r="AA185" s="4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10"/>
      <c r="AU185" s="9"/>
    </row>
    <row r="186" spans="1:47">
      <c r="A186" s="4"/>
      <c r="B186" s="4"/>
      <c r="C186" s="5"/>
      <c r="D186" s="5"/>
      <c r="E186" s="6"/>
      <c r="F186" s="4"/>
      <c r="G186" s="6"/>
      <c r="H186" s="7"/>
      <c r="I186" s="2"/>
      <c r="J186" s="2"/>
      <c r="K186" s="2"/>
      <c r="L186" s="2"/>
      <c r="M186" s="2"/>
      <c r="N186" s="2"/>
      <c r="O186" s="2"/>
      <c r="P186" s="2"/>
      <c r="Q186" s="2"/>
      <c r="R186" s="9"/>
      <c r="S186" s="4"/>
      <c r="T186" s="9"/>
      <c r="U186" s="9"/>
      <c r="V186" s="9"/>
      <c r="W186" s="9"/>
      <c r="X186" s="4"/>
      <c r="Y186" s="6"/>
      <c r="Z186" s="9"/>
      <c r="AA186" s="4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10"/>
      <c r="AU186" s="9"/>
    </row>
    <row r="187" spans="1:47">
      <c r="A187" s="4"/>
      <c r="B187" s="4"/>
      <c r="C187" s="5"/>
      <c r="D187" s="5"/>
      <c r="E187" s="6"/>
      <c r="F187" s="4"/>
      <c r="G187" s="6"/>
      <c r="H187" s="7"/>
      <c r="I187" s="2"/>
      <c r="J187" s="2"/>
      <c r="K187" s="2"/>
      <c r="L187" s="2"/>
      <c r="M187" s="2"/>
      <c r="N187" s="2"/>
      <c r="O187" s="2"/>
      <c r="P187" s="2"/>
      <c r="Q187" s="2"/>
      <c r="R187" s="9"/>
      <c r="S187" s="4"/>
      <c r="T187" s="9"/>
      <c r="U187" s="9"/>
      <c r="V187" s="9"/>
      <c r="W187" s="9"/>
      <c r="X187" s="4"/>
      <c r="Y187" s="6"/>
      <c r="Z187" s="9"/>
      <c r="AA187" s="4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10"/>
      <c r="AU187" s="9"/>
    </row>
    <row r="188" spans="1:47">
      <c r="A188" s="4"/>
      <c r="B188" s="4"/>
      <c r="C188" s="5"/>
      <c r="D188" s="5"/>
      <c r="E188" s="6"/>
      <c r="F188" s="4"/>
      <c r="G188" s="6"/>
      <c r="H188" s="7"/>
      <c r="I188" s="2"/>
      <c r="J188" s="2"/>
      <c r="K188" s="2"/>
      <c r="L188" s="2"/>
      <c r="M188" s="2"/>
      <c r="N188" s="2"/>
      <c r="O188" s="2"/>
      <c r="P188" s="2"/>
      <c r="Q188" s="2"/>
      <c r="R188" s="9"/>
      <c r="S188" s="4"/>
      <c r="T188" s="9"/>
      <c r="U188" s="9"/>
      <c r="V188" s="9"/>
      <c r="W188" s="9"/>
      <c r="X188" s="4"/>
      <c r="Y188" s="6"/>
      <c r="Z188" s="9"/>
      <c r="AA188" s="4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10"/>
      <c r="AU188" s="9"/>
    </row>
    <row r="189" spans="1:47">
      <c r="A189" s="4"/>
      <c r="B189" s="4"/>
      <c r="C189" s="5"/>
      <c r="D189" s="5"/>
      <c r="E189" s="6"/>
      <c r="F189" s="4"/>
      <c r="G189" s="6"/>
      <c r="H189" s="7"/>
      <c r="I189" s="2"/>
      <c r="J189" s="2"/>
      <c r="K189" s="2"/>
      <c r="L189" s="2"/>
      <c r="M189" s="2"/>
      <c r="N189" s="2"/>
      <c r="O189" s="2"/>
      <c r="P189" s="2"/>
      <c r="Q189" s="2"/>
      <c r="R189" s="9"/>
      <c r="S189" s="4"/>
      <c r="T189" s="9"/>
      <c r="U189" s="9"/>
      <c r="V189" s="9"/>
      <c r="W189" s="9"/>
      <c r="X189" s="4"/>
      <c r="Y189" s="6"/>
      <c r="Z189" s="9"/>
      <c r="AA189" s="4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10"/>
      <c r="AU189" s="9"/>
    </row>
    <row r="190" spans="1:47">
      <c r="A190" s="4"/>
      <c r="B190" s="4"/>
      <c r="C190" s="5"/>
      <c r="D190" s="5"/>
      <c r="E190" s="6"/>
      <c r="F190" s="4"/>
      <c r="G190" s="6"/>
      <c r="H190" s="7"/>
      <c r="I190" s="2"/>
      <c r="J190" s="2"/>
      <c r="K190" s="2"/>
      <c r="L190" s="2"/>
      <c r="M190" s="2"/>
      <c r="N190" s="2"/>
      <c r="O190" s="2"/>
      <c r="P190" s="2"/>
      <c r="Q190" s="2"/>
      <c r="R190" s="9"/>
      <c r="S190" s="4"/>
      <c r="T190" s="9"/>
      <c r="U190" s="9"/>
      <c r="V190" s="9"/>
      <c r="W190" s="9"/>
      <c r="X190" s="4"/>
      <c r="Y190" s="6"/>
      <c r="Z190" s="9"/>
      <c r="AA190" s="4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10"/>
      <c r="AU190" s="9"/>
    </row>
    <row r="191" spans="1:47">
      <c r="A191" s="4"/>
      <c r="B191" s="4"/>
      <c r="C191" s="5"/>
      <c r="D191" s="5"/>
      <c r="E191" s="6"/>
      <c r="F191" s="4"/>
      <c r="G191" s="6"/>
      <c r="H191" s="7"/>
      <c r="I191" s="7"/>
      <c r="J191" s="7"/>
      <c r="K191" s="7"/>
      <c r="L191" s="7"/>
      <c r="M191" s="2"/>
      <c r="N191" s="2"/>
      <c r="O191" s="2"/>
      <c r="P191" s="2"/>
      <c r="Q191" s="2"/>
      <c r="R191" s="9"/>
      <c r="S191" s="4"/>
      <c r="T191" s="9"/>
      <c r="U191" s="9"/>
      <c r="V191" s="9"/>
      <c r="W191" s="9"/>
      <c r="X191" s="4"/>
      <c r="Y191" s="6"/>
      <c r="Z191" s="4"/>
      <c r="AA191" s="23"/>
      <c r="AB191" s="24"/>
      <c r="AC191" s="2"/>
      <c r="AD191" s="2"/>
      <c r="AE191" s="25"/>
      <c r="AF191" s="24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10"/>
      <c r="AU191" s="9"/>
    </row>
    <row r="192" spans="1:47">
      <c r="A192" s="4"/>
      <c r="B192" s="4"/>
      <c r="C192" s="5"/>
      <c r="D192" s="5"/>
      <c r="E192" s="6"/>
      <c r="F192" s="4"/>
      <c r="G192" s="6"/>
      <c r="H192" s="7"/>
      <c r="I192" s="7"/>
      <c r="J192" s="7"/>
      <c r="K192" s="7"/>
      <c r="L192" s="7"/>
      <c r="M192" s="2"/>
      <c r="N192" s="2"/>
      <c r="O192" s="2"/>
      <c r="P192" s="2"/>
      <c r="Q192" s="2"/>
      <c r="R192" s="9"/>
      <c r="S192" s="4"/>
      <c r="T192" s="9"/>
      <c r="U192" s="9"/>
      <c r="V192" s="9"/>
      <c r="W192" s="9"/>
      <c r="X192" s="4"/>
      <c r="Y192" s="6"/>
      <c r="Z192" s="4"/>
      <c r="AA192" s="23"/>
      <c r="AB192" s="24"/>
      <c r="AC192" s="2"/>
      <c r="AD192" s="2"/>
      <c r="AE192" s="25"/>
      <c r="AF192" s="24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10"/>
      <c r="AU192" s="9"/>
    </row>
    <row r="193" spans="1:47">
      <c r="A193" s="4"/>
      <c r="B193" s="4"/>
      <c r="C193" s="5"/>
      <c r="D193" s="5"/>
      <c r="E193" s="6"/>
      <c r="F193" s="4"/>
      <c r="G193" s="6"/>
      <c r="H193" s="7"/>
      <c r="I193" s="2"/>
      <c r="J193" s="2"/>
      <c r="K193" s="2"/>
      <c r="L193" s="2"/>
      <c r="M193" s="2"/>
      <c r="N193" s="2"/>
      <c r="O193" s="2"/>
      <c r="P193" s="2"/>
      <c r="Q193" s="2"/>
      <c r="R193" s="9"/>
      <c r="S193" s="4"/>
      <c r="T193" s="9"/>
      <c r="U193" s="9"/>
      <c r="V193" s="9"/>
      <c r="W193" s="9"/>
      <c r="X193" s="4"/>
      <c r="Y193" s="6"/>
      <c r="Z193" s="9"/>
      <c r="AA193" s="4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10"/>
      <c r="AU193" s="9"/>
    </row>
    <row r="194" spans="1:47">
      <c r="A194" s="4"/>
      <c r="B194" s="4"/>
      <c r="C194" s="5"/>
      <c r="D194" s="5"/>
      <c r="E194" s="6"/>
      <c r="F194" s="4"/>
      <c r="G194" s="6"/>
      <c r="H194" s="7"/>
      <c r="I194" s="7"/>
      <c r="J194" s="7"/>
      <c r="K194" s="7"/>
      <c r="L194" s="7"/>
      <c r="M194" s="2"/>
      <c r="N194" s="2"/>
      <c r="O194" s="2"/>
      <c r="P194" s="2"/>
      <c r="Q194" s="2"/>
      <c r="R194" s="9"/>
      <c r="S194" s="4"/>
      <c r="T194" s="9"/>
      <c r="U194" s="9"/>
      <c r="V194" s="9"/>
      <c r="W194" s="9"/>
      <c r="X194" s="4"/>
      <c r="Y194" s="6"/>
      <c r="Z194" s="4"/>
      <c r="AA194" s="23"/>
      <c r="AB194" s="24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10"/>
      <c r="AU194" s="9"/>
    </row>
    <row r="195" spans="1:47">
      <c r="A195" s="4"/>
      <c r="B195" s="4"/>
      <c r="C195" s="5"/>
      <c r="D195" s="5"/>
      <c r="E195" s="6"/>
      <c r="F195" s="4"/>
      <c r="G195" s="6"/>
      <c r="H195" s="7"/>
      <c r="I195" s="2"/>
      <c r="J195" s="2"/>
      <c r="K195" s="2"/>
      <c r="L195" s="2"/>
      <c r="M195" s="2"/>
      <c r="N195" s="2"/>
      <c r="O195" s="2"/>
      <c r="P195" s="2"/>
      <c r="Q195" s="2"/>
      <c r="R195" s="9"/>
      <c r="S195" s="4"/>
      <c r="T195" s="9"/>
      <c r="U195" s="9"/>
      <c r="V195" s="9"/>
      <c r="W195" s="9"/>
      <c r="X195" s="4"/>
      <c r="Y195" s="6"/>
      <c r="Z195" s="9"/>
      <c r="AA195" s="4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10"/>
      <c r="AU195" s="9"/>
    </row>
    <row r="196" spans="1:47">
      <c r="A196" s="4"/>
      <c r="B196" s="4"/>
      <c r="C196" s="5"/>
      <c r="D196" s="5"/>
      <c r="E196" s="6"/>
      <c r="F196" s="4"/>
      <c r="G196" s="6"/>
      <c r="H196" s="7"/>
      <c r="I196" s="2"/>
      <c r="J196" s="2"/>
      <c r="K196" s="2"/>
      <c r="L196" s="2"/>
      <c r="M196" s="2"/>
      <c r="N196" s="2"/>
      <c r="O196" s="2"/>
      <c r="P196" s="2"/>
      <c r="Q196" s="2"/>
      <c r="R196" s="9"/>
      <c r="S196" s="4"/>
      <c r="T196" s="9"/>
      <c r="U196" s="9"/>
      <c r="V196" s="9"/>
      <c r="W196" s="9"/>
      <c r="X196" s="4"/>
      <c r="Y196" s="6"/>
      <c r="Z196" s="9"/>
      <c r="AA196" s="4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10"/>
      <c r="AU196" s="9"/>
    </row>
    <row r="197" spans="1:47">
      <c r="A197" s="4"/>
      <c r="B197" s="4"/>
      <c r="C197" s="5"/>
      <c r="D197" s="5"/>
      <c r="E197" s="6"/>
      <c r="F197" s="4"/>
      <c r="G197" s="6"/>
      <c r="H197" s="7"/>
      <c r="I197" s="2"/>
      <c r="J197" s="2"/>
      <c r="K197" s="2"/>
      <c r="L197" s="2"/>
      <c r="M197" s="2"/>
      <c r="N197" s="2"/>
      <c r="O197" s="2"/>
      <c r="P197" s="2"/>
      <c r="Q197" s="2"/>
      <c r="R197" s="9"/>
      <c r="S197" s="4"/>
      <c r="T197" s="9"/>
      <c r="U197" s="9"/>
      <c r="V197" s="9"/>
      <c r="W197" s="9"/>
      <c r="X197" s="4"/>
      <c r="Y197" s="6"/>
      <c r="Z197" s="9"/>
      <c r="AA197" s="4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10"/>
      <c r="AU197" s="9"/>
    </row>
    <row r="198" spans="1:47">
      <c r="A198" s="4"/>
      <c r="B198" s="4"/>
      <c r="C198" s="5"/>
      <c r="D198" s="5"/>
      <c r="E198" s="6"/>
      <c r="F198" s="4"/>
      <c r="G198" s="6"/>
      <c r="H198" s="7"/>
      <c r="I198" s="2"/>
      <c r="J198" s="2"/>
      <c r="K198" s="2"/>
      <c r="L198" s="2"/>
      <c r="M198" s="2"/>
      <c r="N198" s="2"/>
      <c r="O198" s="2"/>
      <c r="P198" s="2"/>
      <c r="Q198" s="2"/>
      <c r="R198" s="9"/>
      <c r="S198" s="4"/>
      <c r="T198" s="9"/>
      <c r="U198" s="9"/>
      <c r="V198" s="9"/>
      <c r="W198" s="9"/>
      <c r="X198" s="4"/>
      <c r="Y198" s="6"/>
      <c r="Z198" s="9"/>
      <c r="AA198" s="4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10"/>
      <c r="AU198" s="9"/>
    </row>
    <row r="199" spans="1:47">
      <c r="A199" s="4"/>
      <c r="B199" s="4"/>
      <c r="C199" s="5"/>
      <c r="D199" s="5"/>
      <c r="E199" s="6"/>
      <c r="F199" s="4"/>
      <c r="G199" s="6"/>
      <c r="H199" s="7"/>
      <c r="I199" s="2"/>
      <c r="J199" s="2"/>
      <c r="K199" s="2"/>
      <c r="L199" s="2"/>
      <c r="M199" s="2"/>
      <c r="N199" s="2"/>
      <c r="O199" s="2"/>
      <c r="P199" s="2"/>
      <c r="Q199" s="2"/>
      <c r="R199" s="9"/>
      <c r="S199" s="4"/>
      <c r="T199" s="9"/>
      <c r="U199" s="9"/>
      <c r="V199" s="9"/>
      <c r="W199" s="9"/>
      <c r="X199" s="4"/>
      <c r="Y199" s="6"/>
      <c r="Z199" s="9"/>
      <c r="AA199" s="4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10"/>
      <c r="AU199" s="9"/>
    </row>
    <row r="200" spans="1:47">
      <c r="A200" s="4"/>
      <c r="B200" s="4"/>
      <c r="C200" s="5"/>
      <c r="D200" s="5"/>
      <c r="E200" s="6"/>
      <c r="F200" s="4"/>
      <c r="G200" s="6"/>
      <c r="H200" s="7"/>
      <c r="I200" s="2"/>
      <c r="J200" s="2"/>
      <c r="K200" s="2"/>
      <c r="L200" s="2"/>
      <c r="M200" s="2"/>
      <c r="N200" s="2"/>
      <c r="O200" s="2"/>
      <c r="P200" s="2"/>
      <c r="Q200" s="2"/>
      <c r="R200" s="9"/>
      <c r="S200" s="4"/>
      <c r="T200" s="9"/>
      <c r="U200" s="9"/>
      <c r="V200" s="9"/>
      <c r="W200" s="9"/>
      <c r="X200" s="4"/>
      <c r="Y200" s="6"/>
      <c r="Z200" s="9"/>
      <c r="AA200" s="4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10"/>
      <c r="AU200" s="9"/>
    </row>
    <row r="201" spans="1:47">
      <c r="A201" s="4"/>
      <c r="B201" s="4"/>
      <c r="C201" s="5"/>
      <c r="D201" s="5"/>
      <c r="E201" s="6"/>
      <c r="F201" s="4"/>
      <c r="G201" s="6"/>
      <c r="H201" s="7"/>
      <c r="I201" s="2"/>
      <c r="J201" s="2"/>
      <c r="K201" s="2"/>
      <c r="L201" s="2"/>
      <c r="M201" s="2"/>
      <c r="N201" s="2"/>
      <c r="O201" s="2"/>
      <c r="P201" s="2"/>
      <c r="Q201" s="2"/>
      <c r="R201" s="9"/>
      <c r="S201" s="4"/>
      <c r="T201" s="9"/>
      <c r="U201" s="9"/>
      <c r="V201" s="9"/>
      <c r="W201" s="9"/>
      <c r="X201" s="4"/>
      <c r="Y201" s="6"/>
      <c r="Z201" s="9"/>
      <c r="AA201" s="4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10"/>
      <c r="AU201" s="9"/>
    </row>
    <row r="202" spans="1:47">
      <c r="A202" s="4"/>
      <c r="B202" s="4"/>
      <c r="C202" s="5"/>
      <c r="D202" s="5"/>
      <c r="E202" s="6"/>
      <c r="F202" s="4"/>
      <c r="G202" s="6"/>
      <c r="H202" s="7"/>
      <c r="I202" s="2"/>
      <c r="J202" s="2"/>
      <c r="K202" s="2"/>
      <c r="L202" s="2"/>
      <c r="M202" s="2"/>
      <c r="N202" s="2"/>
      <c r="O202" s="2"/>
      <c r="P202" s="2"/>
      <c r="Q202" s="2"/>
      <c r="R202" s="9"/>
      <c r="S202" s="4"/>
      <c r="T202" s="9"/>
      <c r="U202" s="9"/>
      <c r="V202" s="9"/>
      <c r="W202" s="9"/>
      <c r="X202" s="4"/>
      <c r="Y202" s="6"/>
      <c r="Z202" s="9"/>
      <c r="AA202" s="4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10"/>
      <c r="AU202" s="9"/>
    </row>
    <row r="203" spans="1:47">
      <c r="A203" s="4"/>
      <c r="B203" s="4"/>
      <c r="C203" s="5"/>
      <c r="D203" s="5"/>
      <c r="E203" s="6"/>
      <c r="F203" s="4"/>
      <c r="G203" s="6"/>
      <c r="H203" s="7"/>
      <c r="I203" s="2"/>
      <c r="J203" s="2"/>
      <c r="K203" s="2"/>
      <c r="L203" s="2"/>
      <c r="M203" s="2"/>
      <c r="N203" s="2"/>
      <c r="O203" s="2"/>
      <c r="P203" s="2"/>
      <c r="Q203" s="2"/>
      <c r="R203" s="9"/>
      <c r="S203" s="4"/>
      <c r="T203" s="9"/>
      <c r="U203" s="9"/>
      <c r="V203" s="9"/>
      <c r="W203" s="9"/>
      <c r="X203" s="4"/>
      <c r="Y203" s="6"/>
      <c r="Z203" s="9"/>
      <c r="AA203" s="4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10"/>
      <c r="AU203" s="9"/>
    </row>
    <row r="204" spans="1:47">
      <c r="A204" s="4"/>
      <c r="B204" s="4"/>
      <c r="C204" s="5"/>
      <c r="D204" s="5"/>
      <c r="E204" s="6"/>
      <c r="F204" s="4"/>
      <c r="G204" s="6"/>
      <c r="H204" s="7"/>
      <c r="I204" s="2"/>
      <c r="J204" s="2"/>
      <c r="K204" s="2"/>
      <c r="L204" s="2"/>
      <c r="M204" s="2"/>
      <c r="N204" s="2"/>
      <c r="O204" s="2"/>
      <c r="P204" s="2"/>
      <c r="Q204" s="2"/>
      <c r="R204" s="9"/>
      <c r="S204" s="4"/>
      <c r="T204" s="9"/>
      <c r="U204" s="9"/>
      <c r="V204" s="9"/>
      <c r="W204" s="9"/>
      <c r="X204" s="4"/>
      <c r="Y204" s="6"/>
      <c r="Z204" s="9"/>
      <c r="AA204" s="4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10"/>
      <c r="AU204" s="9"/>
    </row>
    <row r="205" spans="1:47">
      <c r="A205" s="4"/>
      <c r="B205" s="4"/>
      <c r="C205" s="5"/>
      <c r="D205" s="5"/>
      <c r="E205" s="6"/>
      <c r="F205" s="4"/>
      <c r="G205" s="6"/>
      <c r="H205" s="7"/>
      <c r="I205" s="2"/>
      <c r="J205" s="2"/>
      <c r="K205" s="2"/>
      <c r="L205" s="2"/>
      <c r="M205" s="2"/>
      <c r="N205" s="2"/>
      <c r="O205" s="2"/>
      <c r="P205" s="2"/>
      <c r="Q205" s="2"/>
      <c r="R205" s="9"/>
      <c r="S205" s="4"/>
      <c r="T205" s="9"/>
      <c r="U205" s="9"/>
      <c r="V205" s="9"/>
      <c r="W205" s="9"/>
      <c r="X205" s="4"/>
      <c r="Y205" s="6"/>
      <c r="Z205" s="9"/>
      <c r="AA205" s="4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10"/>
      <c r="AU205" s="9"/>
    </row>
    <row r="206" spans="1:47">
      <c r="A206" s="4"/>
      <c r="B206" s="4"/>
      <c r="C206" s="5"/>
      <c r="D206" s="5"/>
      <c r="E206" s="6"/>
      <c r="F206" s="4"/>
      <c r="G206" s="6"/>
      <c r="H206" s="7"/>
      <c r="I206" s="2"/>
      <c r="J206" s="2"/>
      <c r="K206" s="2"/>
      <c r="L206" s="2"/>
      <c r="M206" s="2"/>
      <c r="N206" s="2"/>
      <c r="O206" s="2"/>
      <c r="P206" s="2"/>
      <c r="Q206" s="2"/>
      <c r="R206" s="9"/>
      <c r="S206" s="4"/>
      <c r="T206" s="9"/>
      <c r="U206" s="9"/>
      <c r="V206" s="9"/>
      <c r="W206" s="9"/>
      <c r="X206" s="4"/>
      <c r="Y206" s="6"/>
      <c r="Z206" s="9"/>
      <c r="AA206" s="4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10"/>
      <c r="AU206" s="9"/>
    </row>
    <row r="207" spans="1:47">
      <c r="A207" s="4"/>
      <c r="B207" s="4"/>
      <c r="C207" s="5"/>
      <c r="D207" s="5"/>
      <c r="E207" s="6"/>
      <c r="F207" s="4"/>
      <c r="G207" s="6"/>
      <c r="H207" s="7"/>
      <c r="I207" s="2"/>
      <c r="J207" s="2"/>
      <c r="K207" s="2"/>
      <c r="L207" s="2"/>
      <c r="M207" s="2"/>
      <c r="N207" s="2"/>
      <c r="O207" s="2"/>
      <c r="P207" s="2"/>
      <c r="Q207" s="2"/>
      <c r="R207" s="9"/>
      <c r="S207" s="4"/>
      <c r="T207" s="9"/>
      <c r="U207" s="9"/>
      <c r="V207" s="9"/>
      <c r="W207" s="9"/>
      <c r="X207" s="4"/>
      <c r="Y207" s="6"/>
      <c r="Z207" s="9"/>
      <c r="AA207" s="4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10"/>
      <c r="AU207" s="9"/>
    </row>
    <row r="208" spans="1:47">
      <c r="A208" s="4"/>
      <c r="B208" s="4"/>
      <c r="C208" s="5"/>
      <c r="D208" s="5"/>
      <c r="E208" s="6"/>
      <c r="F208" s="4"/>
      <c r="G208" s="6"/>
      <c r="H208" s="7"/>
      <c r="I208" s="2"/>
      <c r="J208" s="2"/>
      <c r="K208" s="2"/>
      <c r="L208" s="2"/>
      <c r="M208" s="2"/>
      <c r="N208" s="2"/>
      <c r="O208" s="2"/>
      <c r="P208" s="2"/>
      <c r="Q208" s="2"/>
      <c r="R208" s="9"/>
      <c r="S208" s="4"/>
      <c r="T208" s="9"/>
      <c r="U208" s="9"/>
      <c r="V208" s="9"/>
      <c r="W208" s="9"/>
      <c r="X208" s="4"/>
      <c r="Y208" s="6"/>
      <c r="Z208" s="9"/>
      <c r="AA208" s="4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10"/>
      <c r="AU208" s="9"/>
    </row>
    <row r="209" spans="1:47">
      <c r="A209" s="4"/>
      <c r="B209" s="4"/>
      <c r="C209" s="5"/>
      <c r="D209" s="5"/>
      <c r="E209" s="6"/>
      <c r="F209" s="4"/>
      <c r="G209" s="6"/>
      <c r="H209" s="7"/>
      <c r="I209" s="2"/>
      <c r="J209" s="2"/>
      <c r="K209" s="2"/>
      <c r="L209" s="2"/>
      <c r="M209" s="2"/>
      <c r="N209" s="2"/>
      <c r="O209" s="2"/>
      <c r="P209" s="2"/>
      <c r="Q209" s="2"/>
      <c r="R209" s="9"/>
      <c r="S209" s="4"/>
      <c r="T209" s="9"/>
      <c r="U209" s="9"/>
      <c r="V209" s="9"/>
      <c r="W209" s="9"/>
      <c r="X209" s="4"/>
      <c r="Y209" s="6"/>
      <c r="Z209" s="9"/>
      <c r="AA209" s="4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10"/>
      <c r="AU209" s="9"/>
    </row>
    <row r="210" spans="1:47">
      <c r="A210" s="4"/>
      <c r="B210" s="4"/>
      <c r="C210" s="5"/>
      <c r="D210" s="5"/>
      <c r="E210" s="6"/>
      <c r="F210" s="4"/>
      <c r="G210" s="6"/>
      <c r="H210" s="7"/>
      <c r="I210" s="2"/>
      <c r="J210" s="2"/>
      <c r="K210" s="2"/>
      <c r="L210" s="2"/>
      <c r="M210" s="2"/>
      <c r="N210" s="2"/>
      <c r="O210" s="2"/>
      <c r="P210" s="2"/>
      <c r="Q210" s="2"/>
      <c r="R210" s="9"/>
      <c r="S210" s="4"/>
      <c r="T210" s="9"/>
      <c r="U210" s="9"/>
      <c r="V210" s="9"/>
      <c r="W210" s="9"/>
      <c r="X210" s="4"/>
      <c r="Y210" s="6"/>
      <c r="Z210" s="9"/>
      <c r="AA210" s="4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10"/>
      <c r="AU210" s="9"/>
    </row>
    <row r="211" spans="1:47">
      <c r="A211" s="4"/>
      <c r="B211" s="4"/>
      <c r="C211" s="5"/>
      <c r="D211" s="5"/>
      <c r="E211" s="6"/>
      <c r="F211" s="4"/>
      <c r="G211" s="6"/>
      <c r="H211" s="7"/>
      <c r="I211" s="7"/>
      <c r="J211" s="26"/>
      <c r="K211" s="24"/>
      <c r="L211" s="24"/>
      <c r="M211" s="2"/>
      <c r="N211" s="2"/>
      <c r="O211" s="2"/>
      <c r="P211" s="2"/>
      <c r="Q211" s="2"/>
      <c r="R211" s="9"/>
      <c r="S211" s="4"/>
      <c r="T211" s="9"/>
      <c r="U211" s="9"/>
      <c r="V211" s="9"/>
      <c r="W211" s="9"/>
      <c r="X211" s="4"/>
      <c r="Y211" s="6"/>
      <c r="Z211" s="4"/>
      <c r="AA211" s="23"/>
      <c r="AB211" s="24"/>
      <c r="AC211" s="25"/>
      <c r="AD211" s="24"/>
      <c r="AE211" s="2"/>
      <c r="AF211" s="2"/>
      <c r="AG211" s="2"/>
      <c r="AH211" s="2"/>
      <c r="AI211" s="2"/>
      <c r="AJ211" s="7"/>
      <c r="AK211" s="2"/>
      <c r="AL211" s="2"/>
      <c r="AM211" s="2"/>
      <c r="AN211" s="2"/>
      <c r="AO211" s="2"/>
      <c r="AP211" s="2"/>
      <c r="AQ211" s="2"/>
      <c r="AR211" s="2"/>
      <c r="AS211" s="2"/>
      <c r="AT211" s="10"/>
      <c r="AU211" s="9"/>
    </row>
    <row r="212" spans="1:47">
      <c r="A212" s="4"/>
      <c r="B212" s="4"/>
      <c r="C212" s="5"/>
      <c r="D212" s="5"/>
      <c r="E212" s="6"/>
      <c r="F212" s="4"/>
      <c r="G212" s="6"/>
      <c r="H212" s="7"/>
      <c r="I212" s="2"/>
      <c r="J212" s="2"/>
      <c r="K212" s="2"/>
      <c r="L212" s="2"/>
      <c r="M212" s="2"/>
      <c r="N212" s="2"/>
      <c r="O212" s="2"/>
      <c r="P212" s="2"/>
      <c r="Q212" s="2"/>
      <c r="R212" s="9"/>
      <c r="S212" s="4"/>
      <c r="T212" s="9"/>
      <c r="U212" s="9"/>
      <c r="V212" s="9"/>
      <c r="W212" s="9"/>
      <c r="X212" s="4"/>
      <c r="Y212" s="6"/>
      <c r="Z212" s="9"/>
      <c r="AA212" s="4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10"/>
      <c r="AU212" s="9"/>
    </row>
    <row r="213" spans="1:47">
      <c r="A213" s="4"/>
      <c r="B213" s="4"/>
      <c r="C213" s="5"/>
      <c r="D213" s="5"/>
      <c r="E213" s="6"/>
      <c r="F213" s="4"/>
      <c r="G213" s="6"/>
      <c r="H213" s="7"/>
      <c r="I213" s="7"/>
      <c r="J213" s="7"/>
      <c r="K213" s="7"/>
      <c r="L213" s="7"/>
      <c r="M213" s="2"/>
      <c r="N213" s="2"/>
      <c r="O213" s="2"/>
      <c r="P213" s="2"/>
      <c r="Q213" s="2"/>
      <c r="R213" s="9"/>
      <c r="S213" s="4"/>
      <c r="T213" s="9"/>
      <c r="U213" s="9"/>
      <c r="V213" s="9"/>
      <c r="W213" s="9"/>
      <c r="X213" s="4"/>
      <c r="Y213" s="6"/>
      <c r="Z213" s="4"/>
      <c r="AA213" s="23"/>
      <c r="AB213" s="24"/>
      <c r="AC213" s="2"/>
      <c r="AD213" s="2"/>
      <c r="AE213" s="25"/>
      <c r="AF213" s="24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10"/>
      <c r="AU213" s="9"/>
    </row>
    <row r="214" spans="1:47">
      <c r="A214" s="4"/>
      <c r="B214" s="4"/>
      <c r="C214" s="5"/>
      <c r="D214" s="5"/>
      <c r="E214" s="6"/>
      <c r="F214" s="4"/>
      <c r="G214" s="6"/>
      <c r="H214" s="7"/>
      <c r="I214" s="2"/>
      <c r="J214" s="2"/>
      <c r="K214" s="2"/>
      <c r="L214" s="2"/>
      <c r="M214" s="2"/>
      <c r="N214" s="2"/>
      <c r="O214" s="2"/>
      <c r="P214" s="2"/>
      <c r="Q214" s="2"/>
      <c r="R214" s="9"/>
      <c r="S214" s="4"/>
      <c r="T214" s="9"/>
      <c r="U214" s="9"/>
      <c r="V214" s="9"/>
      <c r="W214" s="9"/>
      <c r="X214" s="4"/>
      <c r="Y214" s="6"/>
      <c r="Z214" s="9"/>
      <c r="AA214" s="4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10"/>
      <c r="AU214" s="9"/>
    </row>
    <row r="215" spans="1:47">
      <c r="A215" s="4"/>
      <c r="B215" s="4"/>
      <c r="C215" s="5"/>
      <c r="D215" s="5"/>
      <c r="E215" s="6"/>
      <c r="F215" s="4"/>
      <c r="G215" s="6"/>
      <c r="H215" s="7"/>
      <c r="I215" s="2"/>
      <c r="J215" s="2"/>
      <c r="K215" s="2"/>
      <c r="L215" s="2"/>
      <c r="M215" s="2"/>
      <c r="N215" s="2"/>
      <c r="O215" s="2"/>
      <c r="P215" s="2"/>
      <c r="Q215" s="2"/>
      <c r="R215" s="9"/>
      <c r="S215" s="4"/>
      <c r="T215" s="9"/>
      <c r="U215" s="9"/>
      <c r="V215" s="9"/>
      <c r="W215" s="9"/>
      <c r="X215" s="4"/>
      <c r="Y215" s="6"/>
      <c r="Z215" s="9"/>
      <c r="AA215" s="4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10"/>
      <c r="AU215" s="9"/>
    </row>
    <row r="216" spans="1:47">
      <c r="A216" s="4"/>
      <c r="B216" s="4"/>
      <c r="C216" s="5"/>
      <c r="D216" s="5"/>
      <c r="E216" s="6"/>
      <c r="F216" s="4"/>
      <c r="G216" s="6"/>
      <c r="H216" s="7"/>
      <c r="I216" s="7"/>
      <c r="J216" s="7"/>
      <c r="K216" s="7"/>
      <c r="L216" s="7"/>
      <c r="M216" s="2"/>
      <c r="N216" s="2"/>
      <c r="O216" s="2"/>
      <c r="P216" s="2"/>
      <c r="Q216" s="2"/>
      <c r="R216" s="9"/>
      <c r="S216" s="4"/>
      <c r="T216" s="9"/>
      <c r="U216" s="9"/>
      <c r="V216" s="9"/>
      <c r="W216" s="9"/>
      <c r="X216" s="4"/>
      <c r="Y216" s="6"/>
      <c r="Z216" s="4"/>
      <c r="AA216" s="23"/>
      <c r="AB216" s="24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10"/>
      <c r="AU216" s="9"/>
    </row>
    <row r="217" spans="1:47">
      <c r="A217" s="4"/>
      <c r="B217" s="4"/>
      <c r="C217" s="5"/>
      <c r="D217" s="5"/>
      <c r="E217" s="6"/>
      <c r="F217" s="4"/>
      <c r="G217" s="6"/>
      <c r="H217" s="7"/>
      <c r="I217" s="2"/>
      <c r="J217" s="2"/>
      <c r="K217" s="2"/>
      <c r="L217" s="2"/>
      <c r="M217" s="2"/>
      <c r="N217" s="2"/>
      <c r="O217" s="2"/>
      <c r="P217" s="2"/>
      <c r="Q217" s="2"/>
      <c r="R217" s="9"/>
      <c r="S217" s="4"/>
      <c r="T217" s="9"/>
      <c r="U217" s="9"/>
      <c r="V217" s="9"/>
      <c r="W217" s="9"/>
      <c r="X217" s="4"/>
      <c r="Y217" s="6"/>
      <c r="Z217" s="9"/>
      <c r="AA217" s="4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10"/>
      <c r="AU217" s="9"/>
    </row>
    <row r="218" spans="1:47">
      <c r="A218" s="4"/>
      <c r="B218" s="4"/>
      <c r="C218" s="5"/>
      <c r="D218" s="5"/>
      <c r="E218" s="6"/>
      <c r="F218" s="4"/>
      <c r="G218" s="6"/>
      <c r="H218" s="7"/>
      <c r="I218" s="2"/>
      <c r="J218" s="2"/>
      <c r="K218" s="2"/>
      <c r="L218" s="2"/>
      <c r="M218" s="2"/>
      <c r="N218" s="2"/>
      <c r="O218" s="2"/>
      <c r="P218" s="2"/>
      <c r="Q218" s="2"/>
      <c r="R218" s="9"/>
      <c r="S218" s="4"/>
      <c r="T218" s="9"/>
      <c r="U218" s="9"/>
      <c r="V218" s="9"/>
      <c r="W218" s="9"/>
      <c r="X218" s="4"/>
      <c r="Y218" s="6"/>
      <c r="Z218" s="9"/>
      <c r="AA218" s="4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10"/>
      <c r="AU218" s="9"/>
    </row>
    <row r="219" spans="1:47">
      <c r="A219" s="4"/>
      <c r="B219" s="4"/>
      <c r="C219" s="5"/>
      <c r="D219" s="5"/>
      <c r="E219" s="6"/>
      <c r="F219" s="4"/>
      <c r="G219" s="6"/>
      <c r="H219" s="7"/>
      <c r="I219" s="2"/>
      <c r="J219" s="2"/>
      <c r="K219" s="2"/>
      <c r="L219" s="2"/>
      <c r="M219" s="2"/>
      <c r="N219" s="2"/>
      <c r="O219" s="2"/>
      <c r="P219" s="2"/>
      <c r="Q219" s="2"/>
      <c r="R219" s="9"/>
      <c r="S219" s="4"/>
      <c r="T219" s="9"/>
      <c r="U219" s="9"/>
      <c r="V219" s="9"/>
      <c r="W219" s="9"/>
      <c r="X219" s="4"/>
      <c r="Y219" s="6"/>
      <c r="Z219" s="9"/>
      <c r="AA219" s="4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10"/>
      <c r="AU219" s="9"/>
    </row>
    <row r="220" spans="1:47">
      <c r="A220" s="4"/>
      <c r="B220" s="4"/>
      <c r="C220" s="5"/>
      <c r="D220" s="5"/>
      <c r="E220" s="6"/>
      <c r="F220" s="4"/>
      <c r="G220" s="6"/>
      <c r="H220" s="7"/>
      <c r="I220" s="2"/>
      <c r="J220" s="2"/>
      <c r="K220" s="2"/>
      <c r="L220" s="2"/>
      <c r="M220" s="2"/>
      <c r="N220" s="2"/>
      <c r="O220" s="2"/>
      <c r="P220" s="2"/>
      <c r="Q220" s="2"/>
      <c r="R220" s="9"/>
      <c r="S220" s="4"/>
      <c r="T220" s="9"/>
      <c r="U220" s="9"/>
      <c r="V220" s="9"/>
      <c r="W220" s="9"/>
      <c r="X220" s="4"/>
      <c r="Y220" s="6"/>
      <c r="Z220" s="9"/>
      <c r="AA220" s="4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10"/>
      <c r="AU220" s="9"/>
    </row>
    <row r="221" spans="1:47">
      <c r="A221" s="4"/>
      <c r="B221" s="4"/>
      <c r="C221" s="5"/>
      <c r="D221" s="5"/>
      <c r="E221" s="6"/>
      <c r="F221" s="4"/>
      <c r="G221" s="6"/>
      <c r="H221" s="7"/>
      <c r="I221" s="2"/>
      <c r="J221" s="2"/>
      <c r="K221" s="2"/>
      <c r="L221" s="2"/>
      <c r="M221" s="2"/>
      <c r="N221" s="2"/>
      <c r="O221" s="2"/>
      <c r="P221" s="2"/>
      <c r="Q221" s="2"/>
      <c r="R221" s="9"/>
      <c r="S221" s="4"/>
      <c r="T221" s="9"/>
      <c r="U221" s="9"/>
      <c r="V221" s="9"/>
      <c r="W221" s="9"/>
      <c r="X221" s="4"/>
      <c r="Y221" s="6"/>
      <c r="Z221" s="9"/>
      <c r="AA221" s="4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10"/>
      <c r="AU221" s="9"/>
    </row>
    <row r="222" spans="1:47">
      <c r="A222" s="4"/>
      <c r="B222" s="4"/>
      <c r="C222" s="5"/>
      <c r="D222" s="5"/>
      <c r="E222" s="6"/>
      <c r="F222" s="4"/>
      <c r="G222" s="6"/>
      <c r="H222" s="7"/>
      <c r="I222" s="2"/>
      <c r="J222" s="2"/>
      <c r="K222" s="2"/>
      <c r="L222" s="2"/>
      <c r="M222" s="2"/>
      <c r="N222" s="2"/>
      <c r="O222" s="2"/>
      <c r="P222" s="2"/>
      <c r="Q222" s="2"/>
      <c r="R222" s="9"/>
      <c r="S222" s="4"/>
      <c r="T222" s="9"/>
      <c r="U222" s="9"/>
      <c r="V222" s="9"/>
      <c r="W222" s="9"/>
      <c r="X222" s="4"/>
      <c r="Y222" s="6"/>
      <c r="Z222" s="9"/>
      <c r="AA222" s="4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10"/>
      <c r="AU222" s="9"/>
    </row>
    <row r="223" spans="1:47">
      <c r="A223" s="4"/>
      <c r="B223" s="4"/>
      <c r="C223" s="5"/>
      <c r="D223" s="5"/>
      <c r="E223" s="6"/>
      <c r="F223" s="4"/>
      <c r="G223" s="6"/>
      <c r="H223" s="7"/>
      <c r="I223" s="2"/>
      <c r="J223" s="2"/>
      <c r="K223" s="2"/>
      <c r="L223" s="2"/>
      <c r="M223" s="2"/>
      <c r="N223" s="2"/>
      <c r="O223" s="2"/>
      <c r="P223" s="2"/>
      <c r="Q223" s="2"/>
      <c r="R223" s="9"/>
      <c r="S223" s="4"/>
      <c r="T223" s="9"/>
      <c r="U223" s="9"/>
      <c r="V223" s="9"/>
      <c r="W223" s="9"/>
      <c r="X223" s="4"/>
      <c r="Y223" s="6"/>
      <c r="Z223" s="9"/>
      <c r="AA223" s="4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10"/>
      <c r="AU223" s="9"/>
    </row>
    <row r="224" spans="1:47">
      <c r="A224" s="4"/>
      <c r="B224" s="4"/>
      <c r="C224" s="5"/>
      <c r="D224" s="5"/>
      <c r="E224" s="6"/>
      <c r="F224" s="4"/>
      <c r="G224" s="6"/>
      <c r="H224" s="7"/>
      <c r="I224" s="7"/>
      <c r="J224" s="7"/>
      <c r="K224" s="2"/>
      <c r="L224" s="2"/>
      <c r="M224" s="2"/>
      <c r="N224" s="2"/>
      <c r="O224" s="2"/>
      <c r="P224" s="2"/>
      <c r="Q224" s="2"/>
      <c r="R224" s="9"/>
      <c r="S224" s="4"/>
      <c r="T224" s="9"/>
      <c r="U224" s="9"/>
      <c r="V224" s="9"/>
      <c r="W224" s="9"/>
      <c r="X224" s="4"/>
      <c r="Y224" s="6"/>
      <c r="Z224" s="9"/>
      <c r="AA224" s="4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10"/>
      <c r="AU224" s="9"/>
    </row>
    <row r="225" spans="1:47">
      <c r="A225" s="4"/>
      <c r="B225" s="4"/>
      <c r="C225" s="5"/>
      <c r="D225" s="5"/>
      <c r="E225" s="6"/>
      <c r="F225" s="4"/>
      <c r="G225" s="6"/>
      <c r="H225" s="7"/>
      <c r="I225" s="7"/>
      <c r="J225" s="7"/>
      <c r="K225" s="7"/>
      <c r="L225" s="7"/>
      <c r="M225" s="2"/>
      <c r="N225" s="2"/>
      <c r="O225" s="2"/>
      <c r="P225" s="2"/>
      <c r="Q225" s="2"/>
      <c r="R225" s="9"/>
      <c r="S225" s="4"/>
      <c r="T225" s="9"/>
      <c r="U225" s="9"/>
      <c r="V225" s="9"/>
      <c r="W225" s="9"/>
      <c r="X225" s="4"/>
      <c r="Y225" s="6"/>
      <c r="Z225" s="4"/>
      <c r="AA225" s="23"/>
      <c r="AB225" s="24"/>
      <c r="AC225" s="25"/>
      <c r="AD225" s="24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10"/>
      <c r="AU225" s="9"/>
    </row>
    <row r="226" spans="1:47">
      <c r="A226" s="4"/>
      <c r="B226" s="4"/>
      <c r="C226" s="5"/>
      <c r="D226" s="5"/>
      <c r="E226" s="6"/>
      <c r="F226" s="4"/>
      <c r="G226" s="6"/>
      <c r="H226" s="7"/>
      <c r="I226" s="7"/>
      <c r="J226" s="7"/>
      <c r="K226" s="2"/>
      <c r="L226" s="2"/>
      <c r="M226" s="2"/>
      <c r="N226" s="2"/>
      <c r="O226" s="2"/>
      <c r="P226" s="2"/>
      <c r="Q226" s="2"/>
      <c r="R226" s="9"/>
      <c r="S226" s="4"/>
      <c r="T226" s="9"/>
      <c r="U226" s="9"/>
      <c r="V226" s="9"/>
      <c r="W226" s="9"/>
      <c r="X226" s="4"/>
      <c r="Y226" s="6"/>
      <c r="Z226" s="9"/>
      <c r="AA226" s="4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10"/>
      <c r="AU226" s="9"/>
    </row>
    <row r="227" spans="1:47">
      <c r="A227" s="4"/>
      <c r="B227" s="4"/>
      <c r="C227" s="5"/>
      <c r="D227" s="5"/>
      <c r="E227" s="6"/>
      <c r="F227" s="4"/>
      <c r="G227" s="6"/>
      <c r="H227" s="7"/>
      <c r="I227" s="2"/>
      <c r="J227" s="2"/>
      <c r="K227" s="2"/>
      <c r="L227" s="2"/>
      <c r="M227" s="2"/>
      <c r="N227" s="2"/>
      <c r="O227" s="2"/>
      <c r="P227" s="2"/>
      <c r="Q227" s="2"/>
      <c r="R227" s="9"/>
      <c r="S227" s="4"/>
      <c r="T227" s="9"/>
      <c r="U227" s="9"/>
      <c r="V227" s="9"/>
      <c r="W227" s="9"/>
      <c r="X227" s="4"/>
      <c r="Y227" s="6"/>
      <c r="Z227" s="9"/>
      <c r="AA227" s="4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10"/>
      <c r="AU227" s="9"/>
    </row>
    <row r="228" spans="1:47">
      <c r="A228" s="4"/>
      <c r="B228" s="4"/>
      <c r="C228" s="5"/>
      <c r="D228" s="5"/>
      <c r="E228" s="6"/>
      <c r="F228" s="4"/>
      <c r="G228" s="6"/>
      <c r="H228" s="7"/>
      <c r="I228" s="2"/>
      <c r="J228" s="2"/>
      <c r="K228" s="2"/>
      <c r="L228" s="2"/>
      <c r="M228" s="2"/>
      <c r="N228" s="2"/>
      <c r="O228" s="2"/>
      <c r="P228" s="2"/>
      <c r="Q228" s="2"/>
      <c r="R228" s="9"/>
      <c r="S228" s="4"/>
      <c r="T228" s="9"/>
      <c r="U228" s="9"/>
      <c r="V228" s="9"/>
      <c r="W228" s="9"/>
      <c r="X228" s="4"/>
      <c r="Y228" s="6"/>
      <c r="Z228" s="9"/>
      <c r="AA228" s="4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10"/>
      <c r="AU228" s="9"/>
    </row>
    <row r="229" spans="1:47">
      <c r="A229" s="4"/>
      <c r="B229" s="12"/>
      <c r="C229" s="5"/>
      <c r="D229" s="5"/>
      <c r="E229" s="6"/>
      <c r="F229" s="4"/>
      <c r="G229" s="6"/>
      <c r="H229" s="7"/>
      <c r="I229" s="7"/>
      <c r="J229" s="7"/>
      <c r="K229" s="2"/>
      <c r="L229" s="2"/>
      <c r="M229" s="2"/>
      <c r="N229" s="2"/>
      <c r="O229" s="2"/>
      <c r="P229" s="2"/>
      <c r="Q229" s="2"/>
      <c r="R229" s="9"/>
      <c r="S229" s="4"/>
      <c r="T229" s="9"/>
      <c r="U229" s="9"/>
      <c r="V229" s="9"/>
      <c r="W229" s="9"/>
      <c r="X229" s="4"/>
      <c r="Y229" s="6"/>
      <c r="Z229" s="9"/>
      <c r="AA229" s="4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10"/>
      <c r="AU229" s="9"/>
    </row>
    <row r="230" spans="1:47">
      <c r="A230" s="4"/>
      <c r="B230" s="12"/>
      <c r="C230" s="5"/>
      <c r="D230" s="5"/>
      <c r="E230" s="6"/>
      <c r="F230" s="4"/>
      <c r="G230" s="6"/>
      <c r="H230" s="7"/>
      <c r="I230" s="7"/>
      <c r="J230" s="7"/>
      <c r="K230" s="2"/>
      <c r="L230" s="2"/>
      <c r="M230" s="2"/>
      <c r="N230" s="2"/>
      <c r="O230" s="2"/>
      <c r="P230" s="2"/>
      <c r="Q230" s="2"/>
      <c r="R230" s="9"/>
      <c r="S230" s="4"/>
      <c r="T230" s="9"/>
      <c r="U230" s="9"/>
      <c r="V230" s="9"/>
      <c r="W230" s="9"/>
      <c r="X230" s="4"/>
      <c r="Y230" s="6"/>
      <c r="Z230" s="9"/>
      <c r="AA230" s="4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10"/>
      <c r="AU230" s="9"/>
    </row>
    <row r="231" spans="1:47">
      <c r="A231" s="4"/>
      <c r="B231" s="12"/>
      <c r="C231" s="5"/>
      <c r="D231" s="5"/>
      <c r="E231" s="6"/>
      <c r="F231" s="4"/>
      <c r="G231" s="6"/>
      <c r="H231" s="7"/>
      <c r="I231" s="7"/>
      <c r="J231" s="7"/>
      <c r="K231" s="2"/>
      <c r="L231" s="2"/>
      <c r="M231" s="2"/>
      <c r="N231" s="2"/>
      <c r="O231" s="2"/>
      <c r="P231" s="2"/>
      <c r="Q231" s="2"/>
      <c r="R231" s="9"/>
      <c r="S231" s="4"/>
      <c r="T231" s="9"/>
      <c r="U231" s="9"/>
      <c r="V231" s="9"/>
      <c r="W231" s="9"/>
      <c r="X231" s="4"/>
      <c r="Y231" s="6"/>
      <c r="Z231" s="9"/>
      <c r="AA231" s="4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10"/>
      <c r="AU231" s="9"/>
    </row>
    <row r="232" spans="1:47">
      <c r="A232" s="4"/>
      <c r="B232" s="12"/>
      <c r="C232" s="5"/>
      <c r="D232" s="5"/>
      <c r="E232" s="6"/>
      <c r="F232" s="4"/>
      <c r="G232" s="6"/>
      <c r="H232" s="7"/>
      <c r="I232" s="7"/>
      <c r="J232" s="7"/>
      <c r="K232" s="2"/>
      <c r="L232" s="2"/>
      <c r="M232" s="2"/>
      <c r="N232" s="2"/>
      <c r="O232" s="2"/>
      <c r="P232" s="2"/>
      <c r="Q232" s="2"/>
      <c r="R232" s="9"/>
      <c r="S232" s="4"/>
      <c r="T232" s="9"/>
      <c r="U232" s="9"/>
      <c r="V232" s="9"/>
      <c r="W232" s="9"/>
      <c r="X232" s="4"/>
      <c r="Y232" s="6"/>
      <c r="Z232" s="9"/>
      <c r="AA232" s="4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10"/>
      <c r="AU232" s="9"/>
    </row>
    <row r="233" spans="1:47">
      <c r="A233" s="4"/>
      <c r="B233" s="12"/>
      <c r="C233" s="5"/>
      <c r="D233" s="5"/>
      <c r="E233" s="6"/>
      <c r="F233" s="4"/>
      <c r="G233" s="6"/>
      <c r="H233" s="7"/>
      <c r="I233" s="7"/>
      <c r="J233" s="7"/>
      <c r="K233" s="2"/>
      <c r="L233" s="2"/>
      <c r="M233" s="2"/>
      <c r="N233" s="2"/>
      <c r="O233" s="2"/>
      <c r="P233" s="2"/>
      <c r="Q233" s="2"/>
      <c r="R233" s="9"/>
      <c r="S233" s="4"/>
      <c r="T233" s="9"/>
      <c r="U233" s="9"/>
      <c r="V233" s="9"/>
      <c r="W233" s="9"/>
      <c r="X233" s="4"/>
      <c r="Y233" s="6"/>
      <c r="Z233" s="9"/>
      <c r="AA233" s="4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10"/>
      <c r="AU233" s="9"/>
    </row>
    <row r="234" spans="1:47">
      <c r="A234" s="4"/>
      <c r="B234" s="12"/>
      <c r="C234" s="5"/>
      <c r="D234" s="5"/>
      <c r="E234" s="6"/>
      <c r="F234" s="4"/>
      <c r="G234" s="6"/>
      <c r="H234" s="7"/>
      <c r="I234" s="7"/>
      <c r="J234" s="7"/>
      <c r="K234" s="2"/>
      <c r="L234" s="2"/>
      <c r="M234" s="2"/>
      <c r="N234" s="2"/>
      <c r="O234" s="2"/>
      <c r="P234" s="2"/>
      <c r="Q234" s="2"/>
      <c r="R234" s="9"/>
      <c r="S234" s="4"/>
      <c r="T234" s="9"/>
      <c r="U234" s="9"/>
      <c r="V234" s="9"/>
      <c r="W234" s="9"/>
      <c r="X234" s="4"/>
      <c r="Y234" s="6"/>
      <c r="Z234" s="9"/>
      <c r="AA234" s="4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10"/>
      <c r="AU234" s="9"/>
    </row>
    <row r="235" spans="1:47">
      <c r="A235" s="4"/>
      <c r="B235" s="12"/>
      <c r="C235" s="5"/>
      <c r="D235" s="5"/>
      <c r="E235" s="6"/>
      <c r="F235" s="4"/>
      <c r="G235" s="6"/>
      <c r="H235" s="7"/>
      <c r="I235" s="7"/>
      <c r="J235" s="7"/>
      <c r="K235" s="2"/>
      <c r="L235" s="2"/>
      <c r="M235" s="2"/>
      <c r="N235" s="2"/>
      <c r="O235" s="2"/>
      <c r="P235" s="2"/>
      <c r="Q235" s="2"/>
      <c r="R235" s="9"/>
      <c r="S235" s="4"/>
      <c r="T235" s="9"/>
      <c r="U235" s="9"/>
      <c r="V235" s="9"/>
      <c r="W235" s="9"/>
      <c r="X235" s="4"/>
      <c r="Y235" s="6"/>
      <c r="Z235" s="9"/>
      <c r="AA235" s="4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10"/>
      <c r="AU235" s="9"/>
    </row>
    <row r="236" spans="1:47">
      <c r="A236" s="4"/>
      <c r="B236" s="4"/>
      <c r="C236" s="5"/>
      <c r="D236" s="5"/>
      <c r="E236" s="6"/>
      <c r="F236" s="4"/>
      <c r="G236" s="6"/>
      <c r="H236" s="7"/>
      <c r="I236" s="7"/>
      <c r="J236" s="7"/>
      <c r="K236" s="2"/>
      <c r="L236" s="2"/>
      <c r="M236" s="2"/>
      <c r="N236" s="2"/>
      <c r="O236" s="2"/>
      <c r="P236" s="2"/>
      <c r="Q236" s="2"/>
      <c r="R236" s="9"/>
      <c r="S236" s="4"/>
      <c r="T236" s="9"/>
      <c r="U236" s="9"/>
      <c r="V236" s="9"/>
      <c r="W236" s="9"/>
      <c r="X236" s="4"/>
      <c r="Y236" s="6"/>
      <c r="Z236" s="9"/>
      <c r="AA236" s="4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10"/>
      <c r="AU236" s="9"/>
    </row>
    <row r="237" spans="1:47">
      <c r="A237" s="4"/>
      <c r="B237" s="4"/>
      <c r="C237" s="5"/>
      <c r="D237" s="5"/>
      <c r="E237" s="6"/>
      <c r="F237" s="4"/>
      <c r="G237" s="6"/>
      <c r="H237" s="7"/>
      <c r="I237" s="7"/>
      <c r="J237" s="7"/>
      <c r="K237" s="2"/>
      <c r="L237" s="2"/>
      <c r="M237" s="2"/>
      <c r="N237" s="2"/>
      <c r="O237" s="2"/>
      <c r="P237" s="2"/>
      <c r="Q237" s="2"/>
      <c r="R237" s="9"/>
      <c r="S237" s="4"/>
      <c r="T237" s="9"/>
      <c r="U237" s="9"/>
      <c r="V237" s="9"/>
      <c r="W237" s="9"/>
      <c r="X237" s="4"/>
      <c r="Y237" s="6"/>
      <c r="Z237" s="9"/>
      <c r="AA237" s="4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10"/>
      <c r="AU237" s="9"/>
    </row>
    <row r="238" spans="1:47">
      <c r="A238" s="4"/>
      <c r="B238" s="4"/>
      <c r="C238" s="5"/>
      <c r="D238" s="5"/>
      <c r="E238" s="6"/>
      <c r="F238" s="4"/>
      <c r="G238" s="6"/>
      <c r="H238" s="7"/>
      <c r="I238" s="7"/>
      <c r="J238" s="7"/>
      <c r="K238" s="7"/>
      <c r="L238" s="7"/>
      <c r="M238" s="2"/>
      <c r="N238" s="2"/>
      <c r="O238" s="2"/>
      <c r="P238" s="2"/>
      <c r="Q238" s="2"/>
      <c r="R238" s="9"/>
      <c r="S238" s="4"/>
      <c r="T238" s="9"/>
      <c r="U238" s="9"/>
      <c r="V238" s="9"/>
      <c r="W238" s="9"/>
      <c r="X238" s="4"/>
      <c r="Y238" s="6"/>
      <c r="Z238" s="4"/>
      <c r="AA238" s="23"/>
      <c r="AB238" s="24"/>
      <c r="AC238" s="2"/>
      <c r="AD238" s="2"/>
      <c r="AE238" s="25"/>
      <c r="AF238" s="24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10"/>
      <c r="AU238" s="9"/>
    </row>
    <row r="239" spans="1:47">
      <c r="A239" s="4"/>
      <c r="B239" s="4"/>
      <c r="C239" s="5"/>
      <c r="D239" s="5"/>
      <c r="E239" s="6"/>
      <c r="F239" s="4"/>
      <c r="G239" s="6"/>
      <c r="H239" s="7"/>
      <c r="I239" s="2"/>
      <c r="J239" s="2"/>
      <c r="K239" s="2"/>
      <c r="L239" s="2"/>
      <c r="M239" s="2"/>
      <c r="N239" s="2"/>
      <c r="O239" s="2"/>
      <c r="P239" s="2"/>
      <c r="Q239" s="2"/>
      <c r="R239" s="9"/>
      <c r="S239" s="4"/>
      <c r="T239" s="9"/>
      <c r="U239" s="9"/>
      <c r="V239" s="9"/>
      <c r="W239" s="9"/>
      <c r="X239" s="4"/>
      <c r="Y239" s="6"/>
      <c r="Z239" s="9"/>
      <c r="AA239" s="4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10"/>
      <c r="AU239" s="9"/>
    </row>
    <row r="240" spans="1:47">
      <c r="A240" s="4"/>
      <c r="B240" s="4"/>
      <c r="C240" s="5"/>
      <c r="D240" s="5"/>
      <c r="E240" s="6"/>
      <c r="F240" s="4"/>
      <c r="G240" s="6"/>
      <c r="H240" s="7"/>
      <c r="I240" s="7"/>
      <c r="J240" s="7"/>
      <c r="K240" s="7"/>
      <c r="L240" s="7"/>
      <c r="M240" s="2"/>
      <c r="N240" s="2"/>
      <c r="O240" s="2"/>
      <c r="P240" s="2"/>
      <c r="Q240" s="2"/>
      <c r="R240" s="9"/>
      <c r="S240" s="4"/>
      <c r="T240" s="9"/>
      <c r="U240" s="9"/>
      <c r="V240" s="9"/>
      <c r="W240" s="9"/>
      <c r="X240" s="4"/>
      <c r="Y240" s="6"/>
      <c r="Z240" s="4"/>
      <c r="AA240" s="23"/>
      <c r="AB240" s="24"/>
      <c r="AC240" s="2"/>
      <c r="AD240" s="2"/>
      <c r="AE240" s="2"/>
      <c r="AF240" s="2"/>
      <c r="AG240" s="2"/>
      <c r="AH240" s="2"/>
      <c r="AI240" s="2"/>
      <c r="AJ240" s="7"/>
      <c r="AK240" s="2"/>
      <c r="AL240" s="2"/>
      <c r="AM240" s="2"/>
      <c r="AN240" s="2"/>
      <c r="AO240" s="2"/>
      <c r="AP240" s="2"/>
      <c r="AQ240" s="2"/>
      <c r="AR240" s="2"/>
      <c r="AS240" s="2"/>
      <c r="AT240" s="10"/>
      <c r="AU240" s="9"/>
    </row>
    <row r="241" spans="1:47">
      <c r="A241" s="4"/>
      <c r="B241" s="4"/>
      <c r="C241" s="5"/>
      <c r="D241" s="5"/>
      <c r="E241" s="6"/>
      <c r="F241" s="4"/>
      <c r="G241" s="6"/>
      <c r="H241" s="7"/>
      <c r="I241" s="2"/>
      <c r="J241" s="2"/>
      <c r="K241" s="2"/>
      <c r="L241" s="2"/>
      <c r="M241" s="2"/>
      <c r="N241" s="2"/>
      <c r="O241" s="2"/>
      <c r="P241" s="2"/>
      <c r="Q241" s="2"/>
      <c r="R241" s="9"/>
      <c r="S241" s="4"/>
      <c r="T241" s="9"/>
      <c r="U241" s="9"/>
      <c r="V241" s="9"/>
      <c r="W241" s="9"/>
      <c r="X241" s="4"/>
      <c r="Y241" s="6"/>
      <c r="Z241" s="9"/>
      <c r="AA241" s="4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10"/>
      <c r="AU241" s="9"/>
    </row>
    <row r="242" spans="1:47">
      <c r="A242" s="4"/>
      <c r="B242" s="4"/>
      <c r="C242" s="5"/>
      <c r="D242" s="5"/>
      <c r="E242" s="6"/>
      <c r="F242" s="4"/>
      <c r="G242" s="6"/>
      <c r="H242" s="7"/>
      <c r="I242" s="2"/>
      <c r="J242" s="2"/>
      <c r="K242" s="2"/>
      <c r="L242" s="2"/>
      <c r="M242" s="2"/>
      <c r="N242" s="2"/>
      <c r="O242" s="2"/>
      <c r="P242" s="2"/>
      <c r="Q242" s="2"/>
      <c r="R242" s="9"/>
      <c r="S242" s="4"/>
      <c r="T242" s="9"/>
      <c r="U242" s="9"/>
      <c r="V242" s="9"/>
      <c r="W242" s="9"/>
      <c r="X242" s="4"/>
      <c r="Y242" s="6"/>
      <c r="Z242" s="9"/>
      <c r="AA242" s="4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10"/>
      <c r="AU242" s="9"/>
    </row>
    <row r="243" spans="1:47">
      <c r="A243" s="4"/>
      <c r="B243" s="4"/>
      <c r="C243" s="5"/>
      <c r="D243" s="5"/>
      <c r="E243" s="6"/>
      <c r="F243" s="4"/>
      <c r="G243" s="6"/>
      <c r="H243" s="7"/>
      <c r="I243" s="7"/>
      <c r="J243" s="7"/>
      <c r="K243" s="7"/>
      <c r="L243" s="7"/>
      <c r="M243" s="2"/>
      <c r="N243" s="2"/>
      <c r="O243" s="2"/>
      <c r="P243" s="2"/>
      <c r="Q243" s="2"/>
      <c r="R243" s="9"/>
      <c r="S243" s="4"/>
      <c r="T243" s="9"/>
      <c r="U243" s="9"/>
      <c r="V243" s="9"/>
      <c r="W243" s="9"/>
      <c r="X243" s="4"/>
      <c r="Y243" s="6"/>
      <c r="Z243" s="4"/>
      <c r="AA243" s="23"/>
      <c r="AB243" s="24"/>
      <c r="AC243" s="2"/>
      <c r="AD243" s="2"/>
      <c r="AE243" s="2"/>
      <c r="AF243" s="2"/>
      <c r="AG243" s="2"/>
      <c r="AH243" s="2"/>
      <c r="AI243" s="2"/>
      <c r="AJ243" s="7"/>
      <c r="AK243" s="2"/>
      <c r="AL243" s="2"/>
      <c r="AM243" s="2"/>
      <c r="AN243" s="2"/>
      <c r="AO243" s="2"/>
      <c r="AP243" s="2"/>
      <c r="AQ243" s="2"/>
      <c r="AR243" s="2"/>
      <c r="AS243" s="2"/>
      <c r="AT243" s="10"/>
      <c r="AU243" s="9"/>
    </row>
    <row r="244" spans="1:47">
      <c r="A244" s="4"/>
      <c r="B244" s="4"/>
      <c r="C244" s="5"/>
      <c r="D244" s="5"/>
      <c r="E244" s="6"/>
      <c r="F244" s="4"/>
      <c r="G244" s="6"/>
      <c r="H244" s="7"/>
      <c r="I244" s="2"/>
      <c r="J244" s="2"/>
      <c r="K244" s="2"/>
      <c r="L244" s="2"/>
      <c r="M244" s="2"/>
      <c r="N244" s="2"/>
      <c r="O244" s="2"/>
      <c r="P244" s="2"/>
      <c r="Q244" s="2"/>
      <c r="R244" s="9"/>
      <c r="S244" s="4"/>
      <c r="T244" s="9"/>
      <c r="U244" s="9"/>
      <c r="V244" s="9"/>
      <c r="W244" s="9"/>
      <c r="X244" s="4"/>
      <c r="Y244" s="6"/>
      <c r="Z244" s="9"/>
      <c r="AA244" s="4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10"/>
      <c r="AU244" s="9"/>
    </row>
    <row r="245" spans="1:47">
      <c r="A245" s="4"/>
      <c r="B245" s="4"/>
      <c r="C245" s="5"/>
      <c r="D245" s="5"/>
      <c r="E245" s="6"/>
      <c r="F245" s="4"/>
      <c r="G245" s="6"/>
      <c r="H245" s="7"/>
      <c r="I245" s="2"/>
      <c r="J245" s="2"/>
      <c r="K245" s="2"/>
      <c r="L245" s="2"/>
      <c r="M245" s="2"/>
      <c r="N245" s="2"/>
      <c r="O245" s="2"/>
      <c r="P245" s="2"/>
      <c r="Q245" s="2"/>
      <c r="R245" s="9"/>
      <c r="S245" s="4"/>
      <c r="T245" s="9"/>
      <c r="U245" s="9"/>
      <c r="V245" s="9"/>
      <c r="W245" s="9"/>
      <c r="X245" s="4"/>
      <c r="Y245" s="6"/>
      <c r="Z245" s="9"/>
      <c r="AA245" s="4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10"/>
      <c r="AU245" s="9"/>
    </row>
    <row r="246" spans="1:47">
      <c r="A246" s="4"/>
      <c r="B246" s="4"/>
      <c r="C246" s="5"/>
      <c r="D246" s="5"/>
      <c r="E246" s="6"/>
      <c r="F246" s="4"/>
      <c r="G246" s="6"/>
      <c r="H246" s="7"/>
      <c r="I246" s="2"/>
      <c r="J246" s="2"/>
      <c r="K246" s="2"/>
      <c r="L246" s="2"/>
      <c r="M246" s="2"/>
      <c r="N246" s="2"/>
      <c r="O246" s="2"/>
      <c r="P246" s="2"/>
      <c r="Q246" s="2"/>
      <c r="R246" s="9"/>
      <c r="S246" s="4"/>
      <c r="T246" s="9"/>
      <c r="U246" s="9"/>
      <c r="V246" s="9"/>
      <c r="W246" s="9"/>
      <c r="X246" s="4"/>
      <c r="Y246" s="6"/>
      <c r="Z246" s="9"/>
      <c r="AA246" s="4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10"/>
      <c r="AU246" s="9"/>
    </row>
    <row r="247" spans="1:47">
      <c r="A247" s="4"/>
      <c r="B247" s="4"/>
      <c r="C247" s="5"/>
      <c r="D247" s="5"/>
      <c r="E247" s="6"/>
      <c r="F247" s="4"/>
      <c r="G247" s="6"/>
      <c r="H247" s="7"/>
      <c r="I247" s="2"/>
      <c r="J247" s="2"/>
      <c r="K247" s="2"/>
      <c r="L247" s="2"/>
      <c r="M247" s="2"/>
      <c r="N247" s="2"/>
      <c r="O247" s="2"/>
      <c r="P247" s="2"/>
      <c r="Q247" s="2"/>
      <c r="R247" s="9"/>
      <c r="S247" s="4"/>
      <c r="T247" s="9"/>
      <c r="U247" s="9"/>
      <c r="V247" s="9"/>
      <c r="W247" s="9"/>
      <c r="X247" s="4"/>
      <c r="Y247" s="6"/>
      <c r="Z247" s="9"/>
      <c r="AA247" s="4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10"/>
      <c r="AU247" s="9"/>
    </row>
    <row r="248" spans="1:47">
      <c r="A248" s="4"/>
      <c r="B248" s="4"/>
      <c r="C248" s="5"/>
      <c r="D248" s="5"/>
      <c r="E248" s="6"/>
      <c r="F248" s="4"/>
      <c r="G248" s="6"/>
      <c r="H248" s="7"/>
      <c r="I248" s="7"/>
      <c r="J248" s="7"/>
      <c r="K248" s="7"/>
      <c r="L248" s="7"/>
      <c r="M248" s="2"/>
      <c r="N248" s="2"/>
      <c r="O248" s="2"/>
      <c r="P248" s="2"/>
      <c r="Q248" s="2"/>
      <c r="R248" s="9"/>
      <c r="S248" s="4"/>
      <c r="T248" s="9"/>
      <c r="U248" s="9"/>
      <c r="V248" s="9"/>
      <c r="W248" s="9"/>
      <c r="X248" s="4"/>
      <c r="Y248" s="6"/>
      <c r="Z248" s="9"/>
      <c r="AA248" s="23"/>
      <c r="AB248" s="24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10"/>
      <c r="AU248" s="9"/>
    </row>
    <row r="249" spans="1:47">
      <c r="A249" s="4"/>
      <c r="B249" s="4"/>
      <c r="C249" s="5"/>
      <c r="D249" s="5"/>
      <c r="E249" s="6"/>
      <c r="F249" s="4"/>
      <c r="G249" s="6"/>
      <c r="H249" s="7"/>
      <c r="I249" s="2"/>
      <c r="J249" s="2"/>
      <c r="K249" s="2"/>
      <c r="L249" s="2"/>
      <c r="M249" s="2"/>
      <c r="N249" s="2"/>
      <c r="O249" s="2"/>
      <c r="P249" s="2"/>
      <c r="Q249" s="2"/>
      <c r="R249" s="9"/>
      <c r="S249" s="4"/>
      <c r="T249" s="9"/>
      <c r="U249" s="9"/>
      <c r="V249" s="9"/>
      <c r="W249" s="9"/>
      <c r="X249" s="4"/>
      <c r="Y249" s="6"/>
      <c r="Z249" s="9"/>
      <c r="AA249" s="4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10"/>
      <c r="AU249" s="9"/>
    </row>
    <row r="250" spans="1:47">
      <c r="A250" s="4"/>
      <c r="B250" s="4"/>
      <c r="C250" s="5"/>
      <c r="D250" s="5"/>
      <c r="E250" s="6"/>
      <c r="F250" s="4"/>
      <c r="G250" s="6"/>
      <c r="H250" s="7"/>
      <c r="I250" s="7"/>
      <c r="J250" s="26"/>
      <c r="K250" s="24"/>
      <c r="L250" s="24"/>
      <c r="M250" s="2"/>
      <c r="N250" s="2"/>
      <c r="O250" s="2"/>
      <c r="P250" s="2"/>
      <c r="Q250" s="2"/>
      <c r="R250" s="9"/>
      <c r="S250" s="4"/>
      <c r="T250" s="9"/>
      <c r="U250" s="9"/>
      <c r="V250" s="9"/>
      <c r="W250" s="9"/>
      <c r="X250" s="4"/>
      <c r="Y250" s="6"/>
      <c r="Z250" s="4"/>
      <c r="AA250" s="23"/>
      <c r="AB250" s="24"/>
      <c r="AC250" s="25"/>
      <c r="AD250" s="24"/>
      <c r="AE250" s="2"/>
      <c r="AF250" s="2"/>
      <c r="AG250" s="2"/>
      <c r="AH250" s="2"/>
      <c r="AI250" s="2"/>
      <c r="AJ250" s="7"/>
      <c r="AK250" s="2"/>
      <c r="AL250" s="2"/>
      <c r="AM250" s="2"/>
      <c r="AN250" s="2"/>
      <c r="AO250" s="2"/>
      <c r="AP250" s="2"/>
      <c r="AQ250" s="2"/>
      <c r="AR250" s="2"/>
      <c r="AS250" s="2"/>
      <c r="AT250" s="10"/>
      <c r="AU250" s="9"/>
    </row>
    <row r="251" spans="1:47">
      <c r="A251" s="4"/>
      <c r="B251" s="4"/>
      <c r="C251" s="5"/>
      <c r="D251" s="5"/>
      <c r="E251" s="6"/>
      <c r="F251" s="4"/>
      <c r="G251" s="6"/>
      <c r="H251" s="7"/>
      <c r="I251" s="7"/>
      <c r="J251" s="26"/>
      <c r="K251" s="24"/>
      <c r="L251" s="24"/>
      <c r="M251" s="2"/>
      <c r="N251" s="2"/>
      <c r="O251" s="2"/>
      <c r="P251" s="2"/>
      <c r="Q251" s="2"/>
      <c r="R251" s="9"/>
      <c r="S251" s="4"/>
      <c r="T251" s="9"/>
      <c r="U251" s="9"/>
      <c r="V251" s="9"/>
      <c r="W251" s="9"/>
      <c r="X251" s="4"/>
      <c r="Y251" s="6"/>
      <c r="Z251" s="4"/>
      <c r="AA251" s="23"/>
      <c r="AB251" s="24"/>
      <c r="AC251" s="25"/>
      <c r="AD251" s="24"/>
      <c r="AE251" s="2"/>
      <c r="AF251" s="2"/>
      <c r="AG251" s="2"/>
      <c r="AH251" s="2"/>
      <c r="AI251" s="2"/>
      <c r="AJ251" s="7"/>
      <c r="AK251" s="2"/>
      <c r="AL251" s="2"/>
      <c r="AM251" s="2"/>
      <c r="AN251" s="2"/>
      <c r="AO251" s="2"/>
      <c r="AP251" s="2"/>
      <c r="AQ251" s="2"/>
      <c r="AR251" s="2"/>
      <c r="AS251" s="2"/>
      <c r="AT251" s="10"/>
      <c r="AU251" s="9"/>
    </row>
    <row r="252" spans="1:47">
      <c r="A252" s="4"/>
      <c r="B252" s="4"/>
      <c r="C252" s="5"/>
      <c r="D252" s="5"/>
      <c r="E252" s="6"/>
      <c r="F252" s="4"/>
      <c r="G252" s="6"/>
      <c r="H252" s="7"/>
      <c r="I252" s="7"/>
      <c r="J252" s="7"/>
      <c r="K252" s="7"/>
      <c r="L252" s="7"/>
      <c r="M252" s="2"/>
      <c r="N252" s="2"/>
      <c r="O252" s="2"/>
      <c r="P252" s="2"/>
      <c r="Q252" s="2"/>
      <c r="R252" s="9"/>
      <c r="S252" s="4"/>
      <c r="T252" s="9"/>
      <c r="U252" s="9"/>
      <c r="V252" s="9"/>
      <c r="W252" s="9"/>
      <c r="X252" s="4"/>
      <c r="Y252" s="6"/>
      <c r="Z252" s="4"/>
      <c r="AA252" s="23"/>
      <c r="AB252" s="24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10"/>
      <c r="AU252" s="9"/>
    </row>
    <row r="253" spans="1:47">
      <c r="A253" s="4"/>
      <c r="B253" s="4"/>
      <c r="C253" s="5"/>
      <c r="D253" s="5"/>
      <c r="E253" s="6"/>
      <c r="F253" s="4"/>
      <c r="G253" s="6"/>
      <c r="H253" s="7"/>
      <c r="I253" s="7"/>
      <c r="J253" s="7"/>
      <c r="K253" s="7"/>
      <c r="L253" s="7"/>
      <c r="M253" s="2"/>
      <c r="N253" s="2"/>
      <c r="O253" s="2"/>
      <c r="P253" s="2"/>
      <c r="Q253" s="2"/>
      <c r="R253" s="9"/>
      <c r="S253" s="4"/>
      <c r="T253" s="9"/>
      <c r="U253" s="9"/>
      <c r="V253" s="9"/>
      <c r="W253" s="9"/>
      <c r="X253" s="4"/>
      <c r="Y253" s="6"/>
      <c r="Z253" s="4"/>
      <c r="AA253" s="23"/>
      <c r="AB253" s="24"/>
      <c r="AC253" s="2"/>
      <c r="AD253" s="2"/>
      <c r="AE253" s="25"/>
      <c r="AF253" s="24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10"/>
      <c r="AU253" s="9"/>
    </row>
    <row r="254" spans="1:47">
      <c r="A254" s="4"/>
      <c r="B254" s="4"/>
      <c r="C254" s="5"/>
      <c r="D254" s="5"/>
      <c r="E254" s="6"/>
      <c r="F254" s="4"/>
      <c r="G254" s="6"/>
      <c r="H254" s="7"/>
      <c r="I254" s="7"/>
      <c r="J254" s="7"/>
      <c r="K254" s="7"/>
      <c r="L254" s="7"/>
      <c r="M254" s="2"/>
      <c r="N254" s="2"/>
      <c r="O254" s="2"/>
      <c r="P254" s="2"/>
      <c r="Q254" s="2"/>
      <c r="R254" s="9"/>
      <c r="S254" s="4"/>
      <c r="T254" s="9"/>
      <c r="U254" s="9"/>
      <c r="V254" s="9"/>
      <c r="W254" s="9"/>
      <c r="X254" s="4"/>
      <c r="Y254" s="6"/>
      <c r="Z254" s="4"/>
      <c r="AA254" s="23"/>
      <c r="AB254" s="24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10"/>
      <c r="AU254" s="9"/>
    </row>
    <row r="255" spans="1:47">
      <c r="A255" s="4"/>
      <c r="B255" s="4"/>
      <c r="C255" s="5"/>
      <c r="D255" s="5"/>
      <c r="E255" s="6"/>
      <c r="F255" s="4"/>
      <c r="G255" s="6"/>
      <c r="H255" s="7"/>
      <c r="I255" s="7"/>
      <c r="J255" s="7"/>
      <c r="K255" s="7"/>
      <c r="L255" s="7"/>
      <c r="M255" s="2"/>
      <c r="N255" s="2"/>
      <c r="O255" s="2"/>
      <c r="P255" s="2"/>
      <c r="Q255" s="2"/>
      <c r="R255" s="9"/>
      <c r="S255" s="4"/>
      <c r="T255" s="9"/>
      <c r="U255" s="9"/>
      <c r="V255" s="9"/>
      <c r="W255" s="9"/>
      <c r="X255" s="4"/>
      <c r="Y255" s="6"/>
      <c r="Z255" s="4"/>
      <c r="AA255" s="23"/>
      <c r="AB255" s="24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10"/>
      <c r="AU255" s="9"/>
    </row>
    <row r="256" spans="1:47">
      <c r="A256" s="4"/>
      <c r="B256" s="4"/>
      <c r="C256" s="5"/>
      <c r="D256" s="5"/>
      <c r="E256" s="6"/>
      <c r="F256" s="4"/>
      <c r="G256" s="6"/>
      <c r="H256" s="7"/>
      <c r="I256" s="7"/>
      <c r="J256" s="7"/>
      <c r="K256" s="7"/>
      <c r="L256" s="7"/>
      <c r="M256" s="2"/>
      <c r="N256" s="2"/>
      <c r="O256" s="2"/>
      <c r="P256" s="2"/>
      <c r="Q256" s="2"/>
      <c r="R256" s="9"/>
      <c r="S256" s="4"/>
      <c r="T256" s="9"/>
      <c r="U256" s="9"/>
      <c r="V256" s="9"/>
      <c r="W256" s="9"/>
      <c r="X256" s="4"/>
      <c r="Y256" s="6"/>
      <c r="Z256" s="4"/>
      <c r="AA256" s="23"/>
      <c r="AB256" s="24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10"/>
      <c r="AU256" s="9"/>
    </row>
    <row r="257" spans="1:47">
      <c r="A257" s="4"/>
      <c r="B257" s="4"/>
      <c r="C257" s="5"/>
      <c r="D257" s="5"/>
      <c r="E257" s="6"/>
      <c r="F257" s="4"/>
      <c r="G257" s="6"/>
      <c r="H257" s="7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4"/>
      <c r="T257" s="9"/>
      <c r="U257" s="9"/>
      <c r="V257" s="9"/>
      <c r="W257" s="9"/>
      <c r="X257" s="4"/>
      <c r="Y257" s="6"/>
      <c r="Z257" s="9"/>
      <c r="AA257" s="4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10"/>
      <c r="AU257" s="9"/>
    </row>
    <row r="258" spans="1:47">
      <c r="A258" s="4"/>
      <c r="B258" s="4"/>
      <c r="C258" s="5"/>
      <c r="D258" s="5"/>
      <c r="E258" s="6"/>
      <c r="F258" s="4"/>
      <c r="G258" s="6"/>
      <c r="H258" s="7"/>
      <c r="I258" s="7"/>
      <c r="J258" s="26"/>
      <c r="K258" s="24"/>
      <c r="L258" s="24"/>
      <c r="M258" s="2"/>
      <c r="N258" s="2"/>
      <c r="O258" s="2"/>
      <c r="P258" s="2"/>
      <c r="Q258" s="2"/>
      <c r="R258" s="9"/>
      <c r="S258" s="4"/>
      <c r="T258" s="9"/>
      <c r="U258" s="9"/>
      <c r="V258" s="9"/>
      <c r="W258" s="9"/>
      <c r="X258" s="4"/>
      <c r="Y258" s="6"/>
      <c r="Z258" s="4"/>
      <c r="AA258" s="23"/>
      <c r="AB258" s="24"/>
      <c r="AC258" s="25"/>
      <c r="AD258" s="24"/>
      <c r="AE258" s="2"/>
      <c r="AF258" s="2"/>
      <c r="AG258" s="2"/>
      <c r="AH258" s="2"/>
      <c r="AI258" s="2"/>
      <c r="AJ258" s="7"/>
      <c r="AK258" s="2"/>
      <c r="AL258" s="2"/>
      <c r="AM258" s="2"/>
      <c r="AN258" s="2"/>
      <c r="AO258" s="2"/>
      <c r="AP258" s="2"/>
      <c r="AQ258" s="2"/>
      <c r="AR258" s="2"/>
      <c r="AS258" s="2"/>
      <c r="AT258" s="10"/>
      <c r="AU258" s="9"/>
    </row>
    <row r="259" spans="1:47">
      <c r="A259" s="4"/>
      <c r="B259" s="4"/>
      <c r="C259" s="5"/>
      <c r="D259" s="5"/>
      <c r="E259" s="6"/>
      <c r="F259" s="4"/>
      <c r="G259" s="6"/>
      <c r="H259" s="7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4"/>
      <c r="T259" s="9"/>
      <c r="U259" s="9"/>
      <c r="V259" s="9"/>
      <c r="W259" s="9"/>
      <c r="X259" s="4"/>
      <c r="Y259" s="6"/>
      <c r="Z259" s="9"/>
      <c r="AA259" s="4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10"/>
      <c r="AU259" s="9"/>
    </row>
    <row r="260" spans="1:47">
      <c r="A260" s="4"/>
      <c r="B260" s="4"/>
      <c r="C260" s="5"/>
      <c r="D260" s="5"/>
      <c r="E260" s="6"/>
      <c r="F260" s="4"/>
      <c r="G260" s="6"/>
      <c r="H260" s="7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4"/>
      <c r="T260" s="9"/>
      <c r="U260" s="9"/>
      <c r="V260" s="9"/>
      <c r="W260" s="9"/>
      <c r="X260" s="4"/>
      <c r="Y260" s="6"/>
      <c r="Z260" s="9"/>
      <c r="AA260" s="4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10"/>
      <c r="AU260" s="9"/>
    </row>
    <row r="261" spans="1:47">
      <c r="A261" s="4"/>
      <c r="B261" s="4"/>
      <c r="C261" s="5"/>
      <c r="D261" s="5"/>
      <c r="E261" s="6"/>
      <c r="F261" s="4"/>
      <c r="G261" s="6"/>
      <c r="H261" s="7"/>
      <c r="I261" s="7"/>
      <c r="J261" s="7"/>
      <c r="K261" s="7"/>
      <c r="L261" s="7"/>
      <c r="M261" s="2"/>
      <c r="N261" s="2"/>
      <c r="O261" s="2"/>
      <c r="P261" s="2"/>
      <c r="Q261" s="2"/>
      <c r="R261" s="9"/>
      <c r="S261" s="4"/>
      <c r="T261" s="9"/>
      <c r="U261" s="9"/>
      <c r="V261" s="9"/>
      <c r="W261" s="9"/>
      <c r="X261" s="4"/>
      <c r="Y261" s="6"/>
      <c r="Z261" s="4"/>
      <c r="AA261" s="23"/>
      <c r="AB261" s="24"/>
      <c r="AC261" s="2"/>
      <c r="AD261" s="2"/>
      <c r="AE261" s="2"/>
      <c r="AF261" s="2"/>
      <c r="AG261" s="2"/>
      <c r="AH261" s="2"/>
      <c r="AI261" s="2"/>
      <c r="AJ261" s="7"/>
      <c r="AK261" s="2"/>
      <c r="AL261" s="2"/>
      <c r="AM261" s="2"/>
      <c r="AN261" s="2"/>
      <c r="AO261" s="2"/>
      <c r="AP261" s="2"/>
      <c r="AQ261" s="2"/>
      <c r="AR261" s="2"/>
      <c r="AS261" s="2"/>
      <c r="AT261" s="10"/>
      <c r="AU261" s="9"/>
    </row>
    <row r="262" spans="1:47">
      <c r="A262" s="4"/>
      <c r="B262" s="4"/>
      <c r="C262" s="5"/>
      <c r="D262" s="5"/>
      <c r="E262" s="6"/>
      <c r="F262" s="4"/>
      <c r="G262" s="6"/>
      <c r="H262" s="7"/>
      <c r="I262" s="7"/>
      <c r="J262" s="7"/>
      <c r="K262" s="7"/>
      <c r="L262" s="7"/>
      <c r="M262" s="2"/>
      <c r="N262" s="2"/>
      <c r="O262" s="2"/>
      <c r="P262" s="2"/>
      <c r="Q262" s="2"/>
      <c r="R262" s="9"/>
      <c r="S262" s="4"/>
      <c r="T262" s="9"/>
      <c r="U262" s="9"/>
      <c r="V262" s="9"/>
      <c r="W262" s="9"/>
      <c r="X262" s="4"/>
      <c r="Y262" s="6"/>
      <c r="Z262" s="4"/>
      <c r="AA262" s="23"/>
      <c r="AB262" s="24"/>
      <c r="AC262" s="2"/>
      <c r="AD262" s="2"/>
      <c r="AE262" s="2"/>
      <c r="AF262" s="2"/>
      <c r="AG262" s="2"/>
      <c r="AH262" s="2"/>
      <c r="AI262" s="2"/>
      <c r="AJ262" s="7"/>
      <c r="AK262" s="2"/>
      <c r="AL262" s="2"/>
      <c r="AM262" s="2"/>
      <c r="AN262" s="2"/>
      <c r="AO262" s="2"/>
      <c r="AP262" s="2"/>
      <c r="AQ262" s="2"/>
      <c r="AR262" s="2"/>
      <c r="AS262" s="2"/>
      <c r="AT262" s="10"/>
      <c r="AU262" s="9"/>
    </row>
    <row r="263" spans="1:47">
      <c r="A263" s="4"/>
      <c r="B263" s="4"/>
      <c r="C263" s="5"/>
      <c r="D263" s="5"/>
      <c r="E263" s="6"/>
      <c r="F263" s="4"/>
      <c r="G263" s="6"/>
      <c r="H263" s="7"/>
      <c r="I263" s="7"/>
      <c r="J263" s="26"/>
      <c r="K263" s="24"/>
      <c r="L263" s="24"/>
      <c r="M263" s="2"/>
      <c r="N263" s="2"/>
      <c r="O263" s="2"/>
      <c r="P263" s="2"/>
      <c r="Q263" s="2"/>
      <c r="R263" s="9"/>
      <c r="S263" s="4"/>
      <c r="T263" s="9"/>
      <c r="U263" s="9"/>
      <c r="V263" s="9"/>
      <c r="W263" s="9"/>
      <c r="X263" s="4"/>
      <c r="Y263" s="6"/>
      <c r="Z263" s="4"/>
      <c r="AA263" s="23"/>
      <c r="AB263" s="24"/>
      <c r="AC263" s="25"/>
      <c r="AD263" s="24"/>
      <c r="AE263" s="2"/>
      <c r="AF263" s="2"/>
      <c r="AG263" s="2"/>
      <c r="AH263" s="2"/>
      <c r="AI263" s="2"/>
      <c r="AJ263" s="7"/>
      <c r="AK263" s="2"/>
      <c r="AL263" s="2"/>
      <c r="AM263" s="2"/>
      <c r="AN263" s="2"/>
      <c r="AO263" s="2"/>
      <c r="AP263" s="2"/>
      <c r="AQ263" s="2"/>
      <c r="AR263" s="2"/>
      <c r="AS263" s="2"/>
      <c r="AT263" s="10"/>
      <c r="AU263" s="9"/>
    </row>
    <row r="264" spans="1:47">
      <c r="A264" s="4"/>
      <c r="B264" s="4"/>
      <c r="C264" s="5"/>
      <c r="D264" s="5"/>
      <c r="E264" s="6"/>
      <c r="F264" s="4"/>
      <c r="G264" s="6"/>
      <c r="H264" s="7"/>
      <c r="I264" s="7"/>
      <c r="J264" s="7"/>
      <c r="K264" s="7"/>
      <c r="L264" s="7"/>
      <c r="M264" s="2"/>
      <c r="N264" s="2"/>
      <c r="O264" s="2"/>
      <c r="P264" s="2"/>
      <c r="Q264" s="2"/>
      <c r="R264" s="9"/>
      <c r="S264" s="4"/>
      <c r="T264" s="9"/>
      <c r="U264" s="9"/>
      <c r="V264" s="9"/>
      <c r="W264" s="9"/>
      <c r="X264" s="4"/>
      <c r="Y264" s="6"/>
      <c r="Z264" s="4"/>
      <c r="AA264" s="23"/>
      <c r="AB264" s="24"/>
      <c r="AC264" s="2"/>
      <c r="AD264" s="2"/>
      <c r="AE264" s="2"/>
      <c r="AF264" s="2"/>
      <c r="AG264" s="2"/>
      <c r="AH264" s="2"/>
      <c r="AI264" s="2"/>
      <c r="AJ264" s="7"/>
      <c r="AK264" s="2"/>
      <c r="AL264" s="2"/>
      <c r="AM264" s="2"/>
      <c r="AN264" s="2"/>
      <c r="AO264" s="2"/>
      <c r="AP264" s="2"/>
      <c r="AQ264" s="2"/>
      <c r="AR264" s="2"/>
      <c r="AS264" s="2"/>
      <c r="AT264" s="10"/>
      <c r="AU264" s="9"/>
    </row>
    <row r="265" spans="1:47">
      <c r="A265" s="4"/>
      <c r="B265" s="4"/>
      <c r="C265" s="5"/>
      <c r="D265" s="5"/>
      <c r="E265" s="6"/>
      <c r="F265" s="4"/>
      <c r="G265" s="6"/>
      <c r="H265" s="7"/>
      <c r="I265" s="7"/>
      <c r="J265" s="7"/>
      <c r="K265" s="7"/>
      <c r="L265" s="7"/>
      <c r="M265" s="2"/>
      <c r="N265" s="2"/>
      <c r="O265" s="2"/>
      <c r="P265" s="2"/>
      <c r="Q265" s="2"/>
      <c r="R265" s="9"/>
      <c r="S265" s="4"/>
      <c r="T265" s="9"/>
      <c r="U265" s="9"/>
      <c r="V265" s="9"/>
      <c r="W265" s="9"/>
      <c r="X265" s="4"/>
      <c r="Y265" s="6"/>
      <c r="Z265" s="4"/>
      <c r="AA265" s="23"/>
      <c r="AB265" s="24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10"/>
      <c r="AU265" s="9"/>
    </row>
    <row r="266" spans="1:47">
      <c r="A266" s="4"/>
      <c r="B266" s="4"/>
      <c r="C266" s="5"/>
      <c r="D266" s="5"/>
      <c r="E266" s="6"/>
      <c r="F266" s="4"/>
      <c r="G266" s="6"/>
      <c r="H266" s="7"/>
      <c r="I266" s="7"/>
      <c r="J266" s="7"/>
      <c r="K266" s="7"/>
      <c r="L266" s="7"/>
      <c r="M266" s="2"/>
      <c r="N266" s="2"/>
      <c r="O266" s="2"/>
      <c r="P266" s="2"/>
      <c r="Q266" s="2"/>
      <c r="R266" s="9"/>
      <c r="S266" s="4"/>
      <c r="T266" s="9"/>
      <c r="U266" s="9"/>
      <c r="V266" s="9"/>
      <c r="W266" s="9"/>
      <c r="X266" s="4"/>
      <c r="Y266" s="6"/>
      <c r="Z266" s="4"/>
      <c r="AA266" s="23"/>
      <c r="AB266" s="24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10"/>
      <c r="AU266" s="9"/>
    </row>
    <row r="267" spans="1:47">
      <c r="A267" s="4"/>
      <c r="B267" s="4"/>
      <c r="C267" s="5"/>
      <c r="D267" s="5"/>
      <c r="E267" s="6"/>
      <c r="F267" s="4"/>
      <c r="G267" s="6"/>
      <c r="H267" s="7"/>
      <c r="I267" s="7"/>
      <c r="J267" s="2"/>
      <c r="K267" s="2"/>
      <c r="L267" s="2"/>
      <c r="M267" s="2"/>
      <c r="N267" s="2"/>
      <c r="O267" s="2"/>
      <c r="P267" s="2"/>
      <c r="Q267" s="2"/>
      <c r="R267" s="9"/>
      <c r="S267" s="4"/>
      <c r="T267" s="9"/>
      <c r="U267" s="9"/>
      <c r="V267" s="9"/>
      <c r="W267" s="9"/>
      <c r="X267" s="4"/>
      <c r="Y267" s="6"/>
      <c r="Z267" s="9"/>
      <c r="AA267" s="4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10"/>
      <c r="AU267" s="9"/>
    </row>
    <row r="268" spans="1:47">
      <c r="A268" s="4"/>
      <c r="B268" s="4"/>
      <c r="C268" s="5"/>
      <c r="D268" s="5"/>
      <c r="E268" s="6"/>
      <c r="F268" s="4"/>
      <c r="G268" s="6"/>
      <c r="H268" s="7"/>
      <c r="I268" s="7"/>
      <c r="J268" s="2"/>
      <c r="K268" s="2"/>
      <c r="L268" s="2"/>
      <c r="M268" s="2"/>
      <c r="N268" s="2"/>
      <c r="O268" s="2"/>
      <c r="P268" s="2"/>
      <c r="Q268" s="2"/>
      <c r="R268" s="9"/>
      <c r="S268" s="4"/>
      <c r="T268" s="9"/>
      <c r="U268" s="9"/>
      <c r="V268" s="9"/>
      <c r="W268" s="9"/>
      <c r="X268" s="4"/>
      <c r="Y268" s="6"/>
      <c r="Z268" s="9"/>
      <c r="AA268" s="4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10"/>
      <c r="AU268" s="9"/>
    </row>
    <row r="269" spans="1:47">
      <c r="A269" s="4"/>
      <c r="B269" s="4"/>
      <c r="C269" s="5"/>
      <c r="D269" s="5"/>
      <c r="E269" s="6"/>
      <c r="F269" s="4"/>
      <c r="G269" s="6"/>
      <c r="H269" s="7"/>
      <c r="I269" s="7"/>
      <c r="J269" s="7"/>
      <c r="K269" s="7"/>
      <c r="L269" s="7"/>
      <c r="M269" s="2"/>
      <c r="N269" s="2"/>
      <c r="O269" s="2"/>
      <c r="P269" s="2"/>
      <c r="Q269" s="2"/>
      <c r="R269" s="9"/>
      <c r="S269" s="4"/>
      <c r="T269" s="9"/>
      <c r="U269" s="9"/>
      <c r="V269" s="9"/>
      <c r="W269" s="9"/>
      <c r="X269" s="4"/>
      <c r="Y269" s="6"/>
      <c r="Z269" s="4"/>
      <c r="AA269" s="4"/>
      <c r="AB269" s="2"/>
      <c r="AC269" s="2"/>
      <c r="AD269" s="2"/>
      <c r="AE269" s="2"/>
      <c r="AF269" s="2"/>
      <c r="AG269" s="2"/>
      <c r="AH269" s="2"/>
      <c r="AI269" s="2"/>
      <c r="AJ269" s="7"/>
      <c r="AK269" s="2"/>
      <c r="AL269" s="2"/>
      <c r="AM269" s="2"/>
      <c r="AN269" s="2"/>
      <c r="AO269" s="2"/>
      <c r="AP269" s="2"/>
      <c r="AQ269" s="2"/>
      <c r="AR269" s="25"/>
      <c r="AS269" s="24"/>
      <c r="AT269" s="10"/>
      <c r="AU269" s="9"/>
    </row>
    <row r="270" spans="1:47">
      <c r="A270" s="4"/>
      <c r="B270" s="4"/>
      <c r="C270" s="5"/>
      <c r="D270" s="5"/>
      <c r="E270" s="6"/>
      <c r="F270" s="4"/>
      <c r="G270" s="6"/>
      <c r="H270" s="7"/>
      <c r="I270" s="7"/>
      <c r="J270" s="7"/>
      <c r="K270" s="2"/>
      <c r="L270" s="2"/>
      <c r="M270" s="2"/>
      <c r="N270" s="2"/>
      <c r="O270" s="2"/>
      <c r="P270" s="2"/>
      <c r="Q270" s="2"/>
      <c r="R270" s="9"/>
      <c r="S270" s="4"/>
      <c r="T270" s="9"/>
      <c r="U270" s="9"/>
      <c r="V270" s="9"/>
      <c r="W270" s="9"/>
      <c r="X270" s="4"/>
      <c r="Y270" s="6"/>
      <c r="Z270" s="9"/>
      <c r="AA270" s="4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10"/>
      <c r="AU270" s="9"/>
    </row>
    <row r="271" spans="1:47">
      <c r="A271" s="4"/>
      <c r="B271" s="4"/>
      <c r="C271" s="5"/>
      <c r="D271" s="5"/>
      <c r="E271" s="6"/>
      <c r="F271" s="4"/>
      <c r="G271" s="6"/>
      <c r="H271" s="7"/>
      <c r="I271" s="7"/>
      <c r="J271" s="7"/>
      <c r="K271" s="2"/>
      <c r="L271" s="2"/>
      <c r="M271" s="2"/>
      <c r="N271" s="2"/>
      <c r="O271" s="2"/>
      <c r="P271" s="2"/>
      <c r="Q271" s="2"/>
      <c r="R271" s="9"/>
      <c r="S271" s="4"/>
      <c r="T271" s="9"/>
      <c r="U271" s="9"/>
      <c r="V271" s="9"/>
      <c r="W271" s="9"/>
      <c r="X271" s="4"/>
      <c r="Y271" s="6"/>
      <c r="Z271" s="9"/>
      <c r="AA271" s="4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10"/>
      <c r="AU271" s="9"/>
    </row>
    <row r="272" spans="1:47">
      <c r="A272" s="4"/>
      <c r="B272" s="4"/>
      <c r="C272" s="5"/>
      <c r="D272" s="5"/>
      <c r="E272" s="6"/>
      <c r="F272" s="4"/>
      <c r="G272" s="6"/>
      <c r="H272" s="7"/>
      <c r="I272" s="7"/>
      <c r="J272" s="7"/>
      <c r="K272" s="2"/>
      <c r="L272" s="2"/>
      <c r="M272" s="2"/>
      <c r="N272" s="2"/>
      <c r="O272" s="2"/>
      <c r="P272" s="2"/>
      <c r="Q272" s="2"/>
      <c r="R272" s="9"/>
      <c r="S272" s="4"/>
      <c r="T272" s="9"/>
      <c r="U272" s="9"/>
      <c r="V272" s="9"/>
      <c r="W272" s="9"/>
      <c r="X272" s="4"/>
      <c r="Y272" s="6"/>
      <c r="Z272" s="9"/>
      <c r="AA272" s="4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10"/>
      <c r="AU272" s="9"/>
    </row>
    <row r="273" spans="1:47">
      <c r="A273" s="4"/>
      <c r="B273" s="4"/>
      <c r="C273" s="5"/>
      <c r="D273" s="5"/>
      <c r="E273" s="6"/>
      <c r="F273" s="4"/>
      <c r="G273" s="6"/>
      <c r="H273" s="7"/>
      <c r="I273" s="7"/>
      <c r="J273" s="7"/>
      <c r="K273" s="2"/>
      <c r="L273" s="2"/>
      <c r="M273" s="2"/>
      <c r="N273" s="2"/>
      <c r="O273" s="2"/>
      <c r="P273" s="2"/>
      <c r="Q273" s="2"/>
      <c r="R273" s="9"/>
      <c r="S273" s="4"/>
      <c r="T273" s="9"/>
      <c r="U273" s="9"/>
      <c r="V273" s="9"/>
      <c r="W273" s="9"/>
      <c r="X273" s="4"/>
      <c r="Y273" s="6"/>
      <c r="Z273" s="9"/>
      <c r="AA273" s="4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10"/>
      <c r="AU273" s="9"/>
    </row>
    <row r="274" spans="1:47">
      <c r="A274" s="4"/>
      <c r="B274" s="4"/>
      <c r="C274" s="5"/>
      <c r="D274" s="5"/>
      <c r="E274" s="6"/>
      <c r="F274" s="4"/>
      <c r="G274" s="6"/>
      <c r="H274" s="7"/>
      <c r="I274" s="7"/>
      <c r="J274" s="7"/>
      <c r="K274" s="2"/>
      <c r="L274" s="2"/>
      <c r="M274" s="2"/>
      <c r="N274" s="2"/>
      <c r="O274" s="2"/>
      <c r="P274" s="2"/>
      <c r="Q274" s="2"/>
      <c r="R274" s="9"/>
      <c r="S274" s="4"/>
      <c r="T274" s="9"/>
      <c r="U274" s="9"/>
      <c r="V274" s="9"/>
      <c r="W274" s="9"/>
      <c r="X274" s="4"/>
      <c r="Y274" s="6"/>
      <c r="Z274" s="9"/>
      <c r="AA274" s="4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10"/>
      <c r="AU274" s="9"/>
    </row>
    <row r="275" spans="1:47">
      <c r="A275" s="4"/>
      <c r="B275" s="4"/>
      <c r="C275" s="5"/>
      <c r="D275" s="5"/>
      <c r="E275" s="6"/>
      <c r="F275" s="4"/>
      <c r="G275" s="6"/>
      <c r="H275" s="7"/>
      <c r="I275" s="7"/>
      <c r="J275" s="7"/>
      <c r="K275" s="2"/>
      <c r="L275" s="2"/>
      <c r="M275" s="2"/>
      <c r="N275" s="2"/>
      <c r="O275" s="2"/>
      <c r="P275" s="2"/>
      <c r="Q275" s="2"/>
      <c r="R275" s="9"/>
      <c r="S275" s="4"/>
      <c r="T275" s="9"/>
      <c r="U275" s="9"/>
      <c r="V275" s="9"/>
      <c r="W275" s="9"/>
      <c r="X275" s="4"/>
      <c r="Y275" s="6"/>
      <c r="Z275" s="9"/>
      <c r="AA275" s="4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10"/>
      <c r="AU275" s="9"/>
    </row>
    <row r="276" spans="1:47">
      <c r="A276" s="4"/>
      <c r="B276" s="4"/>
      <c r="C276" s="5"/>
      <c r="D276" s="5"/>
      <c r="E276" s="6"/>
      <c r="F276" s="4"/>
      <c r="G276" s="6"/>
      <c r="H276" s="7"/>
      <c r="I276" s="7"/>
      <c r="J276" s="7"/>
      <c r="K276" s="2"/>
      <c r="L276" s="2"/>
      <c r="M276" s="2"/>
      <c r="N276" s="2"/>
      <c r="O276" s="2"/>
      <c r="P276" s="2"/>
      <c r="Q276" s="2"/>
      <c r="R276" s="9"/>
      <c r="S276" s="4"/>
      <c r="T276" s="9"/>
      <c r="U276" s="9"/>
      <c r="V276" s="9"/>
      <c r="W276" s="9"/>
      <c r="X276" s="4"/>
      <c r="Y276" s="6"/>
      <c r="Z276" s="9"/>
      <c r="AA276" s="4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10"/>
      <c r="AU276" s="9"/>
    </row>
    <row r="277" spans="1:47">
      <c r="A277" s="4"/>
      <c r="B277" s="4"/>
      <c r="C277" s="5"/>
      <c r="D277" s="5"/>
      <c r="E277" s="6"/>
      <c r="F277" s="4"/>
      <c r="G277" s="6"/>
      <c r="H277" s="7"/>
      <c r="I277" s="7"/>
      <c r="J277" s="7"/>
      <c r="K277" s="2"/>
      <c r="L277" s="2"/>
      <c r="M277" s="2"/>
      <c r="N277" s="2"/>
      <c r="O277" s="2"/>
      <c r="P277" s="2"/>
      <c r="Q277" s="2"/>
      <c r="R277" s="9"/>
      <c r="S277" s="4"/>
      <c r="T277" s="9"/>
      <c r="U277" s="9"/>
      <c r="V277" s="9"/>
      <c r="W277" s="9"/>
      <c r="X277" s="4"/>
      <c r="Y277" s="6"/>
      <c r="Z277" s="9"/>
      <c r="AA277" s="4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10"/>
      <c r="AU277" s="9"/>
    </row>
    <row r="278" spans="1:47">
      <c r="A278" s="4"/>
      <c r="B278" s="4"/>
      <c r="C278" s="5"/>
      <c r="D278" s="5"/>
      <c r="E278" s="6"/>
      <c r="F278" s="4"/>
      <c r="G278" s="6"/>
      <c r="H278" s="7"/>
      <c r="I278" s="7"/>
      <c r="J278" s="7"/>
      <c r="K278" s="7"/>
      <c r="L278" s="7"/>
      <c r="M278" s="2"/>
      <c r="N278" s="2"/>
      <c r="O278" s="2"/>
      <c r="P278" s="2"/>
      <c r="Q278" s="2"/>
      <c r="R278" s="9"/>
      <c r="S278" s="4"/>
      <c r="T278" s="9"/>
      <c r="U278" s="9"/>
      <c r="V278" s="9"/>
      <c r="W278" s="9"/>
      <c r="X278" s="4"/>
      <c r="Y278" s="6"/>
      <c r="Z278" s="4"/>
      <c r="AA278" s="23"/>
      <c r="AB278" s="24"/>
      <c r="AC278" s="2"/>
      <c r="AD278" s="2"/>
      <c r="AE278" s="2"/>
      <c r="AF278" s="2"/>
      <c r="AG278" s="2"/>
      <c r="AH278" s="2"/>
      <c r="AI278" s="2"/>
      <c r="AJ278" s="7"/>
      <c r="AK278" s="2"/>
      <c r="AL278" s="2"/>
      <c r="AM278" s="2"/>
      <c r="AN278" s="2"/>
      <c r="AO278" s="2"/>
      <c r="AP278" s="2"/>
      <c r="AQ278" s="2"/>
      <c r="AR278" s="2"/>
      <c r="AS278" s="2"/>
      <c r="AT278" s="10"/>
      <c r="AU278" s="9"/>
    </row>
    <row r="279" spans="1:47">
      <c r="A279" s="4"/>
      <c r="B279" s="4"/>
      <c r="C279" s="5"/>
      <c r="D279" s="5"/>
      <c r="E279" s="6"/>
      <c r="F279" s="4"/>
      <c r="G279" s="6"/>
      <c r="H279" s="7"/>
      <c r="I279" s="7"/>
      <c r="J279" s="7"/>
      <c r="K279" s="7"/>
      <c r="L279" s="7"/>
      <c r="M279" s="2"/>
      <c r="N279" s="2"/>
      <c r="O279" s="2"/>
      <c r="P279" s="2"/>
      <c r="Q279" s="2"/>
      <c r="R279" s="9"/>
      <c r="S279" s="4"/>
      <c r="T279" s="9"/>
      <c r="U279" s="9"/>
      <c r="V279" s="9"/>
      <c r="W279" s="9"/>
      <c r="X279" s="4"/>
      <c r="Y279" s="6"/>
      <c r="Z279" s="4"/>
      <c r="AA279" s="23"/>
      <c r="AB279" s="24"/>
      <c r="AC279" s="2"/>
      <c r="AD279" s="2"/>
      <c r="AE279" s="2"/>
      <c r="AF279" s="2"/>
      <c r="AG279" s="2"/>
      <c r="AH279" s="2"/>
      <c r="AI279" s="2"/>
      <c r="AJ279" s="7"/>
      <c r="AK279" s="2"/>
      <c r="AL279" s="2"/>
      <c r="AM279" s="2"/>
      <c r="AN279" s="2"/>
      <c r="AO279" s="2"/>
      <c r="AP279" s="2"/>
      <c r="AQ279" s="2"/>
      <c r="AR279" s="2"/>
      <c r="AS279" s="2"/>
      <c r="AT279" s="10"/>
      <c r="AU279" s="9"/>
    </row>
    <row r="280" spans="1:47">
      <c r="A280" s="4"/>
      <c r="B280" s="4"/>
      <c r="C280" s="5"/>
      <c r="D280" s="5"/>
      <c r="E280" s="6"/>
      <c r="F280" s="4"/>
      <c r="G280" s="6"/>
      <c r="H280" s="7"/>
      <c r="I280" s="7"/>
      <c r="J280" s="7"/>
      <c r="K280" s="2"/>
      <c r="L280" s="2"/>
      <c r="M280" s="2"/>
      <c r="N280" s="2"/>
      <c r="O280" s="2"/>
      <c r="P280" s="2"/>
      <c r="Q280" s="2"/>
      <c r="R280" s="9"/>
      <c r="S280" s="4"/>
      <c r="T280" s="9"/>
      <c r="U280" s="9"/>
      <c r="V280" s="9"/>
      <c r="W280" s="9"/>
      <c r="X280" s="4"/>
      <c r="Y280" s="6"/>
      <c r="Z280" s="9"/>
      <c r="AA280" s="4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10"/>
      <c r="AU280" s="9"/>
    </row>
    <row r="281" spans="1:47">
      <c r="A281" s="4"/>
      <c r="B281" s="4"/>
      <c r="C281" s="5"/>
      <c r="D281" s="5"/>
      <c r="E281" s="6"/>
      <c r="F281" s="4"/>
      <c r="G281" s="6"/>
      <c r="H281" s="7"/>
      <c r="I281" s="7"/>
      <c r="J281" s="7"/>
      <c r="K281" s="7"/>
      <c r="L281" s="7"/>
      <c r="M281" s="2"/>
      <c r="N281" s="2"/>
      <c r="O281" s="2"/>
      <c r="P281" s="2"/>
      <c r="Q281" s="2"/>
      <c r="R281" s="9"/>
      <c r="S281" s="4"/>
      <c r="T281" s="9"/>
      <c r="U281" s="9"/>
      <c r="V281" s="9"/>
      <c r="W281" s="9"/>
      <c r="X281" s="4"/>
      <c r="Y281" s="6"/>
      <c r="Z281" s="4"/>
      <c r="AA281" s="23"/>
      <c r="AB281" s="24"/>
      <c r="AC281" s="2"/>
      <c r="AD281" s="2"/>
      <c r="AE281" s="25"/>
      <c r="AF281" s="24"/>
      <c r="AG281" s="2"/>
      <c r="AH281" s="2"/>
      <c r="AI281" s="2"/>
      <c r="AJ281" s="7"/>
      <c r="AK281" s="2"/>
      <c r="AL281" s="2"/>
      <c r="AM281" s="2"/>
      <c r="AN281" s="2"/>
      <c r="AO281" s="2"/>
      <c r="AP281" s="2"/>
      <c r="AQ281" s="2"/>
      <c r="AR281" s="2"/>
      <c r="AS281" s="2"/>
      <c r="AT281" s="10"/>
      <c r="AU281" s="9"/>
    </row>
    <row r="282" spans="1:47">
      <c r="A282" s="4"/>
      <c r="B282" s="4"/>
      <c r="C282" s="5"/>
      <c r="D282" s="5"/>
      <c r="E282" s="6"/>
      <c r="F282" s="4"/>
      <c r="G282" s="6"/>
      <c r="H282" s="7"/>
      <c r="I282" s="2"/>
      <c r="J282" s="2"/>
      <c r="K282" s="2"/>
      <c r="L282" s="2"/>
      <c r="M282" s="2"/>
      <c r="N282" s="2"/>
      <c r="O282" s="2"/>
      <c r="P282" s="2"/>
      <c r="Q282" s="2"/>
      <c r="R282" s="9"/>
      <c r="S282" s="4"/>
      <c r="T282" s="9"/>
      <c r="U282" s="9"/>
      <c r="V282" s="9"/>
      <c r="W282" s="9"/>
      <c r="X282" s="4"/>
      <c r="Y282" s="6"/>
      <c r="Z282" s="9"/>
      <c r="AA282" s="4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10"/>
      <c r="AU282" s="9"/>
    </row>
    <row r="283" spans="1:47">
      <c r="A283" s="4"/>
      <c r="B283" s="4"/>
      <c r="C283" s="5"/>
      <c r="D283" s="5"/>
      <c r="E283" s="6"/>
      <c r="F283" s="4"/>
      <c r="G283" s="6"/>
      <c r="H283" s="7"/>
      <c r="I283" s="7"/>
      <c r="J283" s="7"/>
      <c r="K283" s="7"/>
      <c r="L283" s="7"/>
      <c r="M283" s="2"/>
      <c r="N283" s="2"/>
      <c r="O283" s="2"/>
      <c r="P283" s="2"/>
      <c r="Q283" s="2"/>
      <c r="R283" s="9"/>
      <c r="S283" s="4"/>
      <c r="T283" s="9"/>
      <c r="U283" s="9"/>
      <c r="V283" s="9"/>
      <c r="W283" s="9"/>
      <c r="X283" s="4"/>
      <c r="Y283" s="6"/>
      <c r="Z283" s="4"/>
      <c r="AA283" s="23"/>
      <c r="AB283" s="24"/>
      <c r="AC283" s="2"/>
      <c r="AD283" s="2"/>
      <c r="AE283" s="25"/>
      <c r="AF283" s="24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10"/>
      <c r="AU283" s="9"/>
    </row>
    <row r="284" spans="1:47">
      <c r="A284" s="4"/>
      <c r="B284" s="4"/>
      <c r="C284" s="5"/>
      <c r="D284" s="5"/>
      <c r="E284" s="6"/>
      <c r="F284" s="4"/>
      <c r="G284" s="6"/>
      <c r="H284" s="7"/>
      <c r="I284" s="2"/>
      <c r="J284" s="2"/>
      <c r="K284" s="2"/>
      <c r="L284" s="2"/>
      <c r="M284" s="2"/>
      <c r="N284" s="2"/>
      <c r="O284" s="2"/>
      <c r="P284" s="2"/>
      <c r="Q284" s="2"/>
      <c r="R284" s="9"/>
      <c r="S284" s="4"/>
      <c r="T284" s="9"/>
      <c r="U284" s="9"/>
      <c r="V284" s="9"/>
      <c r="W284" s="9"/>
      <c r="X284" s="4"/>
      <c r="Y284" s="6"/>
      <c r="Z284" s="9"/>
      <c r="AA284" s="4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10"/>
      <c r="AU284" s="9"/>
    </row>
    <row r="285" spans="1:47">
      <c r="A285" s="4"/>
      <c r="B285" s="4"/>
      <c r="C285" s="5"/>
      <c r="D285" s="5"/>
      <c r="E285" s="6"/>
      <c r="F285" s="4"/>
      <c r="G285" s="6"/>
      <c r="H285" s="7"/>
      <c r="I285" s="7"/>
      <c r="J285" s="7"/>
      <c r="K285" s="7"/>
      <c r="L285" s="7"/>
      <c r="M285" s="2"/>
      <c r="N285" s="2"/>
      <c r="O285" s="2"/>
      <c r="P285" s="2"/>
      <c r="Q285" s="2"/>
      <c r="R285" s="9"/>
      <c r="S285" s="4"/>
      <c r="T285" s="9"/>
      <c r="U285" s="9"/>
      <c r="V285" s="9"/>
      <c r="W285" s="9"/>
      <c r="X285" s="4"/>
      <c r="Y285" s="6"/>
      <c r="Z285" s="4"/>
      <c r="AA285" s="23"/>
      <c r="AB285" s="24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10"/>
      <c r="AU285" s="9"/>
    </row>
    <row r="286" spans="1:47">
      <c r="A286" s="4"/>
      <c r="B286" s="4"/>
      <c r="C286" s="5"/>
      <c r="D286" s="5"/>
      <c r="E286" s="6"/>
      <c r="F286" s="4"/>
      <c r="G286" s="6"/>
      <c r="H286" s="7"/>
      <c r="I286" s="7"/>
      <c r="J286" s="7"/>
      <c r="K286" s="7"/>
      <c r="L286" s="7"/>
      <c r="M286" s="2"/>
      <c r="N286" s="2"/>
      <c r="O286" s="2"/>
      <c r="P286" s="2"/>
      <c r="Q286" s="2"/>
      <c r="R286" s="9"/>
      <c r="S286" s="4"/>
      <c r="T286" s="9"/>
      <c r="U286" s="9"/>
      <c r="V286" s="9"/>
      <c r="W286" s="9"/>
      <c r="X286" s="4"/>
      <c r="Y286" s="6"/>
      <c r="Z286" s="4"/>
      <c r="AA286" s="23"/>
      <c r="AB286" s="24"/>
      <c r="AC286" s="2"/>
      <c r="AD286" s="2"/>
      <c r="AE286" s="2"/>
      <c r="AF286" s="2"/>
      <c r="AG286" s="2"/>
      <c r="AH286" s="2"/>
      <c r="AI286" s="2"/>
      <c r="AJ286" s="7"/>
      <c r="AK286" s="2"/>
      <c r="AL286" s="2"/>
      <c r="AM286" s="2"/>
      <c r="AN286" s="2"/>
      <c r="AO286" s="2"/>
      <c r="AP286" s="2"/>
      <c r="AQ286" s="2"/>
      <c r="AR286" s="2"/>
      <c r="AS286" s="2"/>
      <c r="AT286" s="10"/>
      <c r="AU286" s="9"/>
    </row>
    <row r="287" spans="1:47">
      <c r="A287" s="4"/>
      <c r="B287" s="4"/>
      <c r="C287" s="5"/>
      <c r="D287" s="5"/>
      <c r="E287" s="6"/>
      <c r="F287" s="4"/>
      <c r="G287" s="6"/>
      <c r="H287" s="7"/>
      <c r="I287" s="7"/>
      <c r="J287" s="7"/>
      <c r="K287" s="7"/>
      <c r="L287" s="7"/>
      <c r="M287" s="2"/>
      <c r="N287" s="2"/>
      <c r="O287" s="2"/>
      <c r="P287" s="2"/>
      <c r="Q287" s="2"/>
      <c r="R287" s="9"/>
      <c r="S287" s="4"/>
      <c r="T287" s="9"/>
      <c r="U287" s="9"/>
      <c r="V287" s="9"/>
      <c r="W287" s="9"/>
      <c r="X287" s="4"/>
      <c r="Y287" s="6"/>
      <c r="Z287" s="4"/>
      <c r="AA287" s="23"/>
      <c r="AB287" s="24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10"/>
      <c r="AU287" s="9"/>
    </row>
    <row r="288" spans="1:47">
      <c r="A288" s="4"/>
      <c r="B288" s="4"/>
      <c r="C288" s="5"/>
      <c r="D288" s="5"/>
      <c r="E288" s="6"/>
      <c r="F288" s="4"/>
      <c r="G288" s="6"/>
      <c r="H288" s="7"/>
      <c r="I288" s="7"/>
      <c r="J288" s="7"/>
      <c r="K288" s="7"/>
      <c r="L288" s="7"/>
      <c r="M288" s="2"/>
      <c r="N288" s="2"/>
      <c r="O288" s="2"/>
      <c r="P288" s="2"/>
      <c r="Q288" s="2"/>
      <c r="R288" s="9"/>
      <c r="S288" s="4"/>
      <c r="T288" s="9"/>
      <c r="U288" s="9"/>
      <c r="V288" s="9"/>
      <c r="W288" s="9"/>
      <c r="X288" s="4"/>
      <c r="Y288" s="6"/>
      <c r="Z288" s="4"/>
      <c r="AA288" s="23"/>
      <c r="AB288" s="24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10"/>
      <c r="AU288" s="9"/>
    </row>
    <row r="289" spans="1:47">
      <c r="A289" s="4"/>
      <c r="B289" s="4"/>
      <c r="C289" s="5"/>
      <c r="D289" s="5"/>
      <c r="E289" s="6"/>
      <c r="F289" s="4"/>
      <c r="G289" s="6"/>
      <c r="H289" s="7"/>
      <c r="I289" s="7"/>
      <c r="J289" s="7"/>
      <c r="K289" s="7"/>
      <c r="L289" s="7"/>
      <c r="M289" s="2"/>
      <c r="N289" s="2"/>
      <c r="O289" s="2"/>
      <c r="P289" s="2"/>
      <c r="Q289" s="2"/>
      <c r="R289" s="9"/>
      <c r="S289" s="4"/>
      <c r="T289" s="9"/>
      <c r="U289" s="9"/>
      <c r="V289" s="9"/>
      <c r="W289" s="9"/>
      <c r="X289" s="4"/>
      <c r="Y289" s="6"/>
      <c r="Z289" s="4"/>
      <c r="AA289" s="23"/>
      <c r="AB289" s="24"/>
      <c r="AC289" s="2"/>
      <c r="AD289" s="2"/>
      <c r="AE289" s="2"/>
      <c r="AF289" s="2"/>
      <c r="AG289" s="2"/>
      <c r="AH289" s="2"/>
      <c r="AI289" s="2"/>
      <c r="AJ289" s="7"/>
      <c r="AK289" s="2"/>
      <c r="AL289" s="2"/>
      <c r="AM289" s="2"/>
      <c r="AN289" s="2"/>
      <c r="AO289" s="2"/>
      <c r="AP289" s="2"/>
      <c r="AQ289" s="2"/>
      <c r="AR289" s="2"/>
      <c r="AS289" s="2"/>
      <c r="AT289" s="10"/>
      <c r="AU289" s="9"/>
    </row>
    <row r="290" spans="1:47">
      <c r="A290" s="4"/>
      <c r="B290" s="4"/>
      <c r="C290" s="5"/>
      <c r="D290" s="5"/>
      <c r="E290" s="6"/>
      <c r="F290" s="4"/>
      <c r="G290" s="6"/>
      <c r="H290" s="7"/>
      <c r="I290" s="7"/>
      <c r="J290" s="7"/>
      <c r="K290" s="7"/>
      <c r="L290" s="2"/>
      <c r="M290" s="2"/>
      <c r="N290" s="2"/>
      <c r="O290" s="2"/>
      <c r="P290" s="2"/>
      <c r="Q290" s="2"/>
      <c r="R290" s="9"/>
      <c r="S290" s="4"/>
      <c r="T290" s="9"/>
      <c r="U290" s="9"/>
      <c r="V290" s="9"/>
      <c r="W290" s="9"/>
      <c r="X290" s="4"/>
      <c r="Y290" s="6"/>
      <c r="Z290" s="4"/>
      <c r="AA290" s="23"/>
      <c r="AB290" s="24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10"/>
      <c r="AU290" s="9"/>
    </row>
    <row r="291" spans="1:47">
      <c r="A291" s="4"/>
      <c r="B291" s="4"/>
      <c r="C291" s="5"/>
      <c r="D291" s="5"/>
      <c r="E291" s="6"/>
      <c r="F291" s="4"/>
      <c r="G291" s="6"/>
      <c r="H291" s="7"/>
      <c r="I291" s="7"/>
      <c r="J291" s="7"/>
      <c r="K291" s="7"/>
      <c r="L291" s="2"/>
      <c r="M291" s="2"/>
      <c r="N291" s="2"/>
      <c r="O291" s="2"/>
      <c r="P291" s="2"/>
      <c r="Q291" s="2"/>
      <c r="R291" s="9"/>
      <c r="S291" s="4"/>
      <c r="T291" s="9"/>
      <c r="U291" s="9"/>
      <c r="V291" s="9"/>
      <c r="W291" s="9"/>
      <c r="X291" s="4"/>
      <c r="Y291" s="6"/>
      <c r="Z291" s="4"/>
      <c r="AA291" s="23"/>
      <c r="AB291" s="24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10"/>
      <c r="AU291" s="9"/>
    </row>
    <row r="292" spans="1:47">
      <c r="A292" s="4"/>
      <c r="B292" s="4"/>
      <c r="C292" s="5"/>
      <c r="D292" s="5"/>
      <c r="E292" s="6"/>
      <c r="F292" s="4"/>
      <c r="G292" s="6"/>
      <c r="H292" s="7"/>
      <c r="I292" s="7"/>
      <c r="J292" s="7"/>
      <c r="K292" s="7"/>
      <c r="L292" s="7"/>
      <c r="M292" s="2"/>
      <c r="N292" s="2"/>
      <c r="O292" s="2"/>
      <c r="P292" s="2"/>
      <c r="Q292" s="2"/>
      <c r="R292" s="9"/>
      <c r="S292" s="4"/>
      <c r="T292" s="9"/>
      <c r="U292" s="9"/>
      <c r="V292" s="9"/>
      <c r="W292" s="9"/>
      <c r="X292" s="4"/>
      <c r="Y292" s="6"/>
      <c r="Z292" s="4"/>
      <c r="AA292" s="23"/>
      <c r="AB292" s="24"/>
      <c r="AC292" s="2"/>
      <c r="AD292" s="2"/>
      <c r="AE292" s="2"/>
      <c r="AF292" s="2"/>
      <c r="AG292" s="2"/>
      <c r="AH292" s="2"/>
      <c r="AI292" s="2"/>
      <c r="AJ292" s="7"/>
      <c r="AK292" s="2"/>
      <c r="AL292" s="2"/>
      <c r="AM292" s="2"/>
      <c r="AN292" s="2"/>
      <c r="AO292" s="2"/>
      <c r="AP292" s="2"/>
      <c r="AQ292" s="2"/>
      <c r="AR292" s="2"/>
      <c r="AS292" s="2"/>
      <c r="AT292" s="10"/>
      <c r="AU292" s="9"/>
    </row>
    <row r="293" spans="1:47">
      <c r="A293" s="4"/>
      <c r="B293" s="4"/>
      <c r="C293" s="5"/>
      <c r="D293" s="5"/>
      <c r="E293" s="6"/>
      <c r="F293" s="4"/>
      <c r="G293" s="6"/>
      <c r="H293" s="7"/>
      <c r="I293" s="7"/>
      <c r="J293" s="7"/>
      <c r="K293" s="7"/>
      <c r="L293" s="7"/>
      <c r="M293" s="7"/>
      <c r="N293" s="2"/>
      <c r="O293" s="2"/>
      <c r="P293" s="2"/>
      <c r="Q293" s="2"/>
      <c r="R293" s="9"/>
      <c r="S293" s="4"/>
      <c r="T293" s="9"/>
      <c r="U293" s="9"/>
      <c r="V293" s="9"/>
      <c r="W293" s="9"/>
      <c r="X293" s="4"/>
      <c r="Y293" s="6"/>
      <c r="Z293" s="9"/>
      <c r="AA293" s="4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10"/>
      <c r="AU293" s="9"/>
    </row>
    <row r="294" spans="1:47">
      <c r="A294" s="4"/>
      <c r="B294" s="4"/>
      <c r="C294" s="5"/>
      <c r="D294" s="5"/>
      <c r="E294" s="6"/>
      <c r="F294" s="4"/>
      <c r="G294" s="6"/>
      <c r="H294" s="7"/>
      <c r="I294" s="7"/>
      <c r="J294" s="7"/>
      <c r="K294" s="2"/>
      <c r="L294" s="2"/>
      <c r="M294" s="2"/>
      <c r="N294" s="2"/>
      <c r="O294" s="2"/>
      <c r="P294" s="2"/>
      <c r="Q294" s="2"/>
      <c r="R294" s="9"/>
      <c r="S294" s="4"/>
      <c r="T294" s="9"/>
      <c r="U294" s="9"/>
      <c r="V294" s="9"/>
      <c r="W294" s="9"/>
      <c r="X294" s="4"/>
      <c r="Y294" s="6"/>
      <c r="Z294" s="9"/>
      <c r="AA294" s="4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10"/>
      <c r="AU294" s="9"/>
    </row>
    <row r="295" spans="1:47">
      <c r="A295" s="4"/>
      <c r="B295" s="4"/>
      <c r="C295" s="5"/>
      <c r="D295" s="5"/>
      <c r="E295" s="6"/>
      <c r="F295" s="4"/>
      <c r="G295" s="6"/>
      <c r="H295" s="7"/>
      <c r="I295" s="7"/>
      <c r="J295" s="7"/>
      <c r="K295" s="7"/>
      <c r="L295" s="7"/>
      <c r="M295" s="2"/>
      <c r="N295" s="2"/>
      <c r="O295" s="2"/>
      <c r="P295" s="2"/>
      <c r="Q295" s="2"/>
      <c r="R295" s="9"/>
      <c r="S295" s="4"/>
      <c r="T295" s="9"/>
      <c r="U295" s="9"/>
      <c r="V295" s="9"/>
      <c r="W295" s="9"/>
      <c r="X295" s="4"/>
      <c r="Y295" s="6"/>
      <c r="Z295" s="4"/>
      <c r="AA295" s="23"/>
      <c r="AB295" s="24"/>
      <c r="AC295" s="2"/>
      <c r="AD295" s="2"/>
      <c r="AE295" s="2"/>
      <c r="AF295" s="2"/>
      <c r="AG295" s="2"/>
      <c r="AH295" s="2"/>
      <c r="AI295" s="2"/>
      <c r="AJ295" s="7"/>
      <c r="AK295" s="2"/>
      <c r="AL295" s="2"/>
      <c r="AM295" s="2"/>
      <c r="AN295" s="2"/>
      <c r="AO295" s="2"/>
      <c r="AP295" s="2"/>
      <c r="AQ295" s="2"/>
      <c r="AR295" s="25"/>
      <c r="AS295" s="24"/>
      <c r="AT295" s="10"/>
      <c r="AU295" s="9"/>
    </row>
    <row r="296" spans="1:47">
      <c r="A296" s="4"/>
      <c r="B296" s="4"/>
      <c r="C296" s="5"/>
      <c r="D296" s="5"/>
      <c r="E296" s="6"/>
      <c r="F296" s="4"/>
      <c r="G296" s="6"/>
      <c r="H296" s="7"/>
      <c r="I296" s="7"/>
      <c r="J296" s="7"/>
      <c r="K296" s="7"/>
      <c r="L296" s="7"/>
      <c r="M296" s="2"/>
      <c r="N296" s="2"/>
      <c r="O296" s="2"/>
      <c r="P296" s="2"/>
      <c r="Q296" s="2"/>
      <c r="R296" s="9"/>
      <c r="S296" s="4"/>
      <c r="T296" s="9"/>
      <c r="U296" s="9"/>
      <c r="V296" s="9"/>
      <c r="W296" s="9"/>
      <c r="X296" s="4"/>
      <c r="Y296" s="6"/>
      <c r="Z296" s="4"/>
      <c r="AA296" s="23"/>
      <c r="AB296" s="24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10"/>
      <c r="AU296" s="9"/>
    </row>
    <row r="297" spans="1:47">
      <c r="A297" s="4"/>
      <c r="B297" s="4"/>
      <c r="C297" s="5"/>
      <c r="D297" s="5"/>
      <c r="E297" s="6"/>
      <c r="F297" s="4"/>
      <c r="G297" s="6"/>
      <c r="H297" s="7"/>
      <c r="I297" s="7"/>
      <c r="J297" s="7"/>
      <c r="K297" s="7"/>
      <c r="L297" s="2"/>
      <c r="M297" s="2"/>
      <c r="N297" s="2"/>
      <c r="O297" s="2"/>
      <c r="P297" s="2"/>
      <c r="Q297" s="2"/>
      <c r="R297" s="9"/>
      <c r="S297" s="4"/>
      <c r="T297" s="9"/>
      <c r="U297" s="9"/>
      <c r="V297" s="9"/>
      <c r="W297" s="9"/>
      <c r="X297" s="4"/>
      <c r="Y297" s="6"/>
      <c r="Z297" s="9"/>
      <c r="AA297" s="4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10"/>
      <c r="AU297" s="9"/>
    </row>
    <row r="298" spans="1:47">
      <c r="A298" s="4"/>
      <c r="B298" s="4"/>
      <c r="C298" s="5"/>
      <c r="D298" s="5"/>
      <c r="E298" s="6"/>
      <c r="F298" s="4"/>
      <c r="G298" s="6"/>
      <c r="H298" s="26"/>
      <c r="I298" s="24"/>
      <c r="J298" s="24"/>
      <c r="K298" s="24"/>
      <c r="L298" s="24"/>
      <c r="M298" s="2"/>
      <c r="N298" s="2"/>
      <c r="O298" s="2"/>
      <c r="P298" s="2"/>
      <c r="Q298" s="2"/>
      <c r="R298" s="9"/>
      <c r="S298" s="4"/>
      <c r="T298" s="9"/>
      <c r="U298" s="9"/>
      <c r="V298" s="9"/>
      <c r="W298" s="9"/>
      <c r="X298" s="4"/>
      <c r="Y298" s="6"/>
      <c r="Z298" s="4"/>
      <c r="AA298" s="23"/>
      <c r="AB298" s="24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10"/>
      <c r="AU298" s="9"/>
    </row>
    <row r="299" spans="1:47">
      <c r="A299" s="4"/>
      <c r="B299" s="4"/>
      <c r="C299" s="5"/>
      <c r="D299" s="5"/>
      <c r="E299" s="6"/>
      <c r="F299" s="4"/>
      <c r="G299" s="6"/>
      <c r="H299" s="7"/>
      <c r="I299" s="7"/>
      <c r="J299" s="2"/>
      <c r="K299" s="2"/>
      <c r="L299" s="2"/>
      <c r="M299" s="2"/>
      <c r="N299" s="2"/>
      <c r="O299" s="2"/>
      <c r="P299" s="2"/>
      <c r="Q299" s="2"/>
      <c r="R299" s="9"/>
      <c r="S299" s="4"/>
      <c r="T299" s="9"/>
      <c r="U299" s="9"/>
      <c r="V299" s="9"/>
      <c r="W299" s="9"/>
      <c r="X299" s="4"/>
      <c r="Y299" s="6"/>
      <c r="Z299" s="9"/>
      <c r="AA299" s="4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10"/>
      <c r="AU299" s="9"/>
    </row>
    <row r="300" spans="1:47">
      <c r="A300" s="4"/>
      <c r="B300" s="4"/>
      <c r="C300" s="5"/>
      <c r="D300" s="5"/>
      <c r="E300" s="6"/>
      <c r="F300" s="4"/>
      <c r="G300" s="6"/>
      <c r="H300" s="7"/>
      <c r="I300" s="7"/>
      <c r="J300" s="7"/>
      <c r="K300" s="7"/>
      <c r="L300" s="7"/>
      <c r="M300" s="2"/>
      <c r="N300" s="2"/>
      <c r="O300" s="2"/>
      <c r="P300" s="2"/>
      <c r="Q300" s="2"/>
      <c r="R300" s="9"/>
      <c r="S300" s="4"/>
      <c r="T300" s="9"/>
      <c r="U300" s="9"/>
      <c r="V300" s="9"/>
      <c r="W300" s="9"/>
      <c r="X300" s="4"/>
      <c r="Y300" s="6"/>
      <c r="Z300" s="4"/>
      <c r="AA300" s="23"/>
      <c r="AB300" s="24"/>
      <c r="AC300" s="25"/>
      <c r="AD300" s="24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10"/>
      <c r="AU300" s="9"/>
    </row>
    <row r="301" spans="1:47">
      <c r="A301" s="4"/>
      <c r="B301" s="4"/>
      <c r="C301" s="5"/>
      <c r="D301" s="5"/>
      <c r="E301" s="6"/>
      <c r="F301" s="4"/>
      <c r="G301" s="6"/>
      <c r="H301" s="7"/>
      <c r="I301" s="7"/>
      <c r="J301" s="7"/>
      <c r="K301" s="7"/>
      <c r="L301" s="7"/>
      <c r="M301" s="2"/>
      <c r="N301" s="2"/>
      <c r="O301" s="2"/>
      <c r="P301" s="2"/>
      <c r="Q301" s="2"/>
      <c r="R301" s="9"/>
      <c r="S301" s="4"/>
      <c r="T301" s="9"/>
      <c r="U301" s="9"/>
      <c r="V301" s="9"/>
      <c r="W301" s="9"/>
      <c r="X301" s="4"/>
      <c r="Y301" s="6"/>
      <c r="Z301" s="4"/>
      <c r="AA301" s="23"/>
      <c r="AB301" s="24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10"/>
      <c r="AU301" s="9"/>
    </row>
    <row r="302" spans="1:47">
      <c r="A302" s="4"/>
      <c r="B302" s="4"/>
      <c r="C302" s="5"/>
      <c r="D302" s="5"/>
      <c r="E302" s="6"/>
      <c r="F302" s="4"/>
      <c r="G302" s="6"/>
      <c r="H302" s="7"/>
      <c r="I302" s="7"/>
      <c r="J302" s="7"/>
      <c r="K302" s="7"/>
      <c r="L302" s="7"/>
      <c r="M302" s="2"/>
      <c r="N302" s="2"/>
      <c r="O302" s="2"/>
      <c r="P302" s="2"/>
      <c r="Q302" s="2"/>
      <c r="R302" s="9"/>
      <c r="S302" s="4"/>
      <c r="T302" s="9"/>
      <c r="U302" s="9"/>
      <c r="V302" s="9"/>
      <c r="W302" s="9"/>
      <c r="X302" s="4"/>
      <c r="Y302" s="6"/>
      <c r="Z302" s="4"/>
      <c r="AA302" s="23"/>
      <c r="AB302" s="24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5"/>
      <c r="AS302" s="24"/>
      <c r="AT302" s="10"/>
      <c r="AU302" s="9"/>
    </row>
    <row r="303" spans="1:47">
      <c r="A303" s="4"/>
      <c r="B303" s="4"/>
      <c r="C303" s="5"/>
      <c r="D303" s="5"/>
      <c r="E303" s="6"/>
      <c r="F303" s="4"/>
      <c r="G303" s="6"/>
      <c r="H303" s="7"/>
      <c r="I303" s="2"/>
      <c r="J303" s="2"/>
      <c r="K303" s="2"/>
      <c r="L303" s="2"/>
      <c r="M303" s="2"/>
      <c r="N303" s="2"/>
      <c r="O303" s="2"/>
      <c r="P303" s="2"/>
      <c r="Q303" s="2"/>
      <c r="R303" s="9"/>
      <c r="S303" s="4"/>
      <c r="T303" s="9"/>
      <c r="U303" s="9"/>
      <c r="V303" s="9"/>
      <c r="W303" s="9"/>
      <c r="X303" s="4"/>
      <c r="Y303" s="6"/>
      <c r="Z303" s="9"/>
      <c r="AA303" s="4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10"/>
      <c r="AU303" s="9"/>
    </row>
    <row r="304" spans="1:47">
      <c r="A304" s="4"/>
      <c r="B304" s="4"/>
      <c r="C304" s="5"/>
      <c r="D304" s="5"/>
      <c r="E304" s="6"/>
      <c r="F304" s="4"/>
      <c r="G304" s="6"/>
      <c r="H304" s="26"/>
      <c r="I304" s="24"/>
      <c r="J304" s="24"/>
      <c r="K304" s="24"/>
      <c r="L304" s="24"/>
      <c r="M304" s="2"/>
      <c r="N304" s="2"/>
      <c r="O304" s="2"/>
      <c r="P304" s="2"/>
      <c r="Q304" s="2"/>
      <c r="R304" s="9"/>
      <c r="S304" s="4"/>
      <c r="T304" s="9"/>
      <c r="U304" s="9"/>
      <c r="V304" s="9"/>
      <c r="W304" s="9"/>
      <c r="X304" s="4"/>
      <c r="Y304" s="6"/>
      <c r="Z304" s="4"/>
      <c r="AA304" s="23"/>
      <c r="AB304" s="24"/>
      <c r="AC304" s="25"/>
      <c r="AD304" s="24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10"/>
      <c r="AU304" s="9"/>
    </row>
    <row r="305" spans="1:47">
      <c r="A305" s="4"/>
      <c r="B305" s="4"/>
      <c r="C305" s="5"/>
      <c r="D305" s="5"/>
      <c r="E305" s="6"/>
      <c r="F305" s="4"/>
      <c r="G305" s="6"/>
      <c r="H305" s="7"/>
      <c r="I305" s="7"/>
      <c r="J305" s="26"/>
      <c r="K305" s="24"/>
      <c r="L305" s="24"/>
      <c r="M305" s="2"/>
      <c r="N305" s="2"/>
      <c r="O305" s="2"/>
      <c r="P305" s="2"/>
      <c r="Q305" s="2"/>
      <c r="R305" s="9"/>
      <c r="S305" s="4"/>
      <c r="T305" s="9"/>
      <c r="U305" s="9"/>
      <c r="V305" s="9"/>
      <c r="W305" s="9"/>
      <c r="X305" s="4"/>
      <c r="Y305" s="6"/>
      <c r="Z305" s="4"/>
      <c r="AA305" s="23"/>
      <c r="AB305" s="24"/>
      <c r="AC305" s="25"/>
      <c r="AD305" s="24"/>
      <c r="AE305" s="2"/>
      <c r="AF305" s="2"/>
      <c r="AG305" s="2"/>
      <c r="AH305" s="2"/>
      <c r="AI305" s="2"/>
      <c r="AJ305" s="7"/>
      <c r="AK305" s="2"/>
      <c r="AL305" s="2"/>
      <c r="AM305" s="2"/>
      <c r="AN305" s="2"/>
      <c r="AO305" s="2"/>
      <c r="AP305" s="2"/>
      <c r="AQ305" s="2"/>
      <c r="AR305" s="2"/>
      <c r="AS305" s="2"/>
      <c r="AT305" s="10"/>
      <c r="AU305" s="9"/>
    </row>
    <row r="306" spans="1:47">
      <c r="A306" s="4"/>
      <c r="B306" s="4"/>
      <c r="C306" s="5"/>
      <c r="D306" s="5"/>
      <c r="E306" s="6"/>
      <c r="F306" s="4"/>
      <c r="G306" s="6"/>
      <c r="H306" s="26"/>
      <c r="I306" s="24"/>
      <c r="J306" s="24"/>
      <c r="K306" s="24"/>
      <c r="L306" s="24"/>
      <c r="M306" s="2"/>
      <c r="N306" s="2"/>
      <c r="O306" s="2"/>
      <c r="P306" s="2"/>
      <c r="Q306" s="2"/>
      <c r="R306" s="9"/>
      <c r="S306" s="4"/>
      <c r="T306" s="9"/>
      <c r="U306" s="9"/>
      <c r="V306" s="9"/>
      <c r="W306" s="9"/>
      <c r="X306" s="4"/>
      <c r="Y306" s="6"/>
      <c r="Z306" s="4"/>
      <c r="AA306" s="23"/>
      <c r="AB306" s="24"/>
      <c r="AC306" s="25"/>
      <c r="AD306" s="24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10"/>
      <c r="AU306" s="9"/>
    </row>
    <row r="307" spans="1:47">
      <c r="A307" s="4"/>
      <c r="B307" s="4"/>
      <c r="C307" s="5"/>
      <c r="D307" s="5"/>
      <c r="E307" s="6"/>
      <c r="F307" s="4"/>
      <c r="G307" s="6"/>
      <c r="H307" s="7"/>
      <c r="I307" s="2"/>
      <c r="J307" s="2"/>
      <c r="K307" s="2"/>
      <c r="L307" s="2"/>
      <c r="M307" s="2"/>
      <c r="N307" s="2"/>
      <c r="O307" s="2"/>
      <c r="P307" s="2"/>
      <c r="Q307" s="2"/>
      <c r="R307" s="9"/>
      <c r="S307" s="4"/>
      <c r="T307" s="9"/>
      <c r="U307" s="9"/>
      <c r="V307" s="9"/>
      <c r="W307" s="9"/>
      <c r="X307" s="4"/>
      <c r="Y307" s="6"/>
      <c r="Z307" s="9"/>
      <c r="AA307" s="4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10"/>
      <c r="AU307" s="9"/>
    </row>
    <row r="308" spans="1:47">
      <c r="A308" s="4"/>
      <c r="B308" s="4"/>
      <c r="C308" s="5"/>
      <c r="D308" s="5"/>
      <c r="E308" s="6"/>
      <c r="F308" s="4"/>
      <c r="G308" s="6"/>
      <c r="H308" s="7"/>
      <c r="I308" s="2"/>
      <c r="J308" s="2"/>
      <c r="K308" s="2"/>
      <c r="L308" s="2"/>
      <c r="M308" s="2"/>
      <c r="N308" s="2"/>
      <c r="O308" s="2"/>
      <c r="P308" s="2"/>
      <c r="Q308" s="2"/>
      <c r="R308" s="9"/>
      <c r="S308" s="4"/>
      <c r="T308" s="9"/>
      <c r="U308" s="9"/>
      <c r="V308" s="9"/>
      <c r="W308" s="9"/>
      <c r="X308" s="4"/>
      <c r="Y308" s="6"/>
      <c r="Z308" s="9"/>
      <c r="AA308" s="4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10"/>
      <c r="AU308" s="9"/>
    </row>
    <row r="309" spans="1:47">
      <c r="A309" s="4"/>
      <c r="B309" s="4"/>
      <c r="C309" s="5"/>
      <c r="D309" s="5"/>
      <c r="E309" s="6"/>
      <c r="F309" s="4"/>
      <c r="G309" s="6"/>
      <c r="H309" s="26"/>
      <c r="I309" s="24"/>
      <c r="J309" s="24"/>
      <c r="K309" s="24"/>
      <c r="L309" s="24"/>
      <c r="M309" s="2"/>
      <c r="N309" s="2"/>
      <c r="O309" s="2"/>
      <c r="P309" s="2"/>
      <c r="Q309" s="2"/>
      <c r="R309" s="9"/>
      <c r="S309" s="4"/>
      <c r="T309" s="9"/>
      <c r="U309" s="9"/>
      <c r="V309" s="9"/>
      <c r="W309" s="9"/>
      <c r="X309" s="4"/>
      <c r="Y309" s="6"/>
      <c r="Z309" s="4"/>
      <c r="AA309" s="23"/>
      <c r="AB309" s="24"/>
      <c r="AC309" s="25"/>
      <c r="AD309" s="24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10"/>
      <c r="AU309" s="9"/>
    </row>
    <row r="310" spans="1:47">
      <c r="A310" s="4"/>
      <c r="B310" s="4"/>
      <c r="C310" s="5"/>
      <c r="D310" s="5"/>
      <c r="E310" s="6"/>
      <c r="F310" s="4"/>
      <c r="G310" s="6"/>
      <c r="H310" s="7"/>
      <c r="I310" s="7"/>
      <c r="J310" s="26"/>
      <c r="K310" s="24"/>
      <c r="L310" s="24"/>
      <c r="M310" s="2"/>
      <c r="N310" s="2"/>
      <c r="O310" s="2"/>
      <c r="P310" s="2"/>
      <c r="Q310" s="2"/>
      <c r="R310" s="9"/>
      <c r="S310" s="4"/>
      <c r="T310" s="9"/>
      <c r="U310" s="9"/>
      <c r="V310" s="9"/>
      <c r="W310" s="9"/>
      <c r="X310" s="4"/>
      <c r="Y310" s="6"/>
      <c r="Z310" s="4"/>
      <c r="AA310" s="23"/>
      <c r="AB310" s="24"/>
      <c r="AC310" s="25"/>
      <c r="AD310" s="24"/>
      <c r="AE310" s="2"/>
      <c r="AF310" s="2"/>
      <c r="AG310" s="2"/>
      <c r="AH310" s="2"/>
      <c r="AI310" s="2"/>
      <c r="AJ310" s="7"/>
      <c r="AK310" s="2"/>
      <c r="AL310" s="2"/>
      <c r="AM310" s="2"/>
      <c r="AN310" s="2"/>
      <c r="AO310" s="2"/>
      <c r="AP310" s="2"/>
      <c r="AQ310" s="2"/>
      <c r="AR310" s="2"/>
      <c r="AS310" s="2"/>
      <c r="AT310" s="10"/>
      <c r="AU310" s="9"/>
    </row>
    <row r="311" spans="1:47">
      <c r="A311" s="4"/>
      <c r="B311" s="4"/>
      <c r="C311" s="5"/>
      <c r="D311" s="5"/>
      <c r="E311" s="6"/>
      <c r="F311" s="4"/>
      <c r="G311" s="6"/>
      <c r="H311" s="26"/>
      <c r="I311" s="24"/>
      <c r="J311" s="24"/>
      <c r="K311" s="24"/>
      <c r="L311" s="24"/>
      <c r="M311" s="2"/>
      <c r="N311" s="2"/>
      <c r="O311" s="2"/>
      <c r="P311" s="2"/>
      <c r="Q311" s="2"/>
      <c r="R311" s="9"/>
      <c r="S311" s="4"/>
      <c r="T311" s="9"/>
      <c r="U311" s="9"/>
      <c r="V311" s="9"/>
      <c r="W311" s="9"/>
      <c r="X311" s="4"/>
      <c r="Y311" s="6"/>
      <c r="Z311" s="4"/>
      <c r="AA311" s="23"/>
      <c r="AB311" s="24"/>
      <c r="AC311" s="25"/>
      <c r="AD311" s="24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10"/>
      <c r="AU311" s="9"/>
    </row>
    <row r="312" spans="1:47">
      <c r="A312" s="4"/>
      <c r="B312" s="4"/>
      <c r="C312" s="5"/>
      <c r="D312" s="5"/>
      <c r="E312" s="6"/>
      <c r="F312" s="4"/>
      <c r="G312" s="6"/>
      <c r="H312" s="7"/>
      <c r="I312" s="7"/>
      <c r="J312" s="26"/>
      <c r="K312" s="24"/>
      <c r="L312" s="24"/>
      <c r="M312" s="2"/>
      <c r="N312" s="2"/>
      <c r="O312" s="2"/>
      <c r="P312" s="2"/>
      <c r="Q312" s="2"/>
      <c r="R312" s="9"/>
      <c r="S312" s="4"/>
      <c r="T312" s="9"/>
      <c r="U312" s="9"/>
      <c r="V312" s="9"/>
      <c r="W312" s="9"/>
      <c r="X312" s="4"/>
      <c r="Y312" s="6"/>
      <c r="Z312" s="4"/>
      <c r="AA312" s="23"/>
      <c r="AB312" s="24"/>
      <c r="AC312" s="25"/>
      <c r="AD312" s="24"/>
      <c r="AE312" s="2"/>
      <c r="AF312" s="2"/>
      <c r="AG312" s="2"/>
      <c r="AH312" s="2"/>
      <c r="AI312" s="2"/>
      <c r="AJ312" s="7"/>
      <c r="AK312" s="2"/>
      <c r="AL312" s="2"/>
      <c r="AM312" s="2"/>
      <c r="AN312" s="2"/>
      <c r="AO312" s="2"/>
      <c r="AP312" s="2"/>
      <c r="AQ312" s="2"/>
      <c r="AR312" s="2"/>
      <c r="AS312" s="2"/>
      <c r="AT312" s="10"/>
      <c r="AU312" s="9"/>
    </row>
    <row r="313" spans="1:47">
      <c r="A313" s="4"/>
      <c r="B313" s="4"/>
      <c r="C313" s="5"/>
      <c r="D313" s="5"/>
      <c r="E313" s="6"/>
      <c r="F313" s="4"/>
      <c r="G313" s="6"/>
      <c r="H313" s="26"/>
      <c r="I313" s="24"/>
      <c r="J313" s="24"/>
      <c r="K313" s="24"/>
      <c r="L313" s="24"/>
      <c r="M313" s="2"/>
      <c r="N313" s="2"/>
      <c r="O313" s="2"/>
      <c r="P313" s="2"/>
      <c r="Q313" s="2"/>
      <c r="R313" s="9"/>
      <c r="S313" s="4"/>
      <c r="T313" s="9"/>
      <c r="U313" s="9"/>
      <c r="V313" s="9"/>
      <c r="W313" s="9"/>
      <c r="X313" s="4"/>
      <c r="Y313" s="6"/>
      <c r="Z313" s="4"/>
      <c r="AA313" s="23"/>
      <c r="AB313" s="24"/>
      <c r="AC313" s="25"/>
      <c r="AD313" s="24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10"/>
      <c r="AU313" s="9"/>
    </row>
    <row r="314" spans="1:47">
      <c r="A314" s="4"/>
      <c r="B314" s="4"/>
      <c r="C314" s="5"/>
      <c r="D314" s="5"/>
      <c r="E314" s="6"/>
      <c r="F314" s="4"/>
      <c r="G314" s="6"/>
      <c r="H314" s="7"/>
      <c r="I314" s="2"/>
      <c r="J314" s="2"/>
      <c r="K314" s="2"/>
      <c r="L314" s="2"/>
      <c r="M314" s="2"/>
      <c r="N314" s="2"/>
      <c r="O314" s="2"/>
      <c r="P314" s="2"/>
      <c r="Q314" s="2"/>
      <c r="R314" s="9"/>
      <c r="S314" s="4"/>
      <c r="T314" s="9"/>
      <c r="U314" s="9"/>
      <c r="V314" s="9"/>
      <c r="W314" s="9"/>
      <c r="X314" s="4"/>
      <c r="Y314" s="6"/>
      <c r="Z314" s="9"/>
      <c r="AA314" s="4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10"/>
      <c r="AU314" s="9"/>
    </row>
    <row r="315" spans="1:47">
      <c r="A315" s="4"/>
      <c r="B315" s="4"/>
      <c r="C315" s="5"/>
      <c r="D315" s="5"/>
      <c r="E315" s="6"/>
      <c r="F315" s="4"/>
      <c r="G315" s="6"/>
      <c r="H315" s="26"/>
      <c r="I315" s="24"/>
      <c r="J315" s="24"/>
      <c r="K315" s="24"/>
      <c r="L315" s="24"/>
      <c r="M315" s="2"/>
      <c r="N315" s="2"/>
      <c r="O315" s="2"/>
      <c r="P315" s="2"/>
      <c r="Q315" s="2"/>
      <c r="R315" s="9"/>
      <c r="S315" s="4"/>
      <c r="T315" s="9"/>
      <c r="U315" s="9"/>
      <c r="V315" s="9"/>
      <c r="W315" s="9"/>
      <c r="X315" s="4"/>
      <c r="Y315" s="6"/>
      <c r="Z315" s="4"/>
      <c r="AA315" s="23"/>
      <c r="AB315" s="24"/>
      <c r="AC315" s="25"/>
      <c r="AD315" s="24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10"/>
      <c r="AU315" s="9"/>
    </row>
    <row r="316" spans="1:47">
      <c r="A316" s="4"/>
      <c r="B316" s="4"/>
      <c r="C316" s="5"/>
      <c r="D316" s="5"/>
      <c r="E316" s="6"/>
      <c r="F316" s="4"/>
      <c r="G316" s="6"/>
      <c r="H316" s="7"/>
      <c r="I316" s="2"/>
      <c r="J316" s="2"/>
      <c r="K316" s="2"/>
      <c r="L316" s="2"/>
      <c r="M316" s="2"/>
      <c r="N316" s="2"/>
      <c r="O316" s="2"/>
      <c r="P316" s="2"/>
      <c r="Q316" s="2"/>
      <c r="R316" s="9"/>
      <c r="S316" s="4"/>
      <c r="T316" s="9"/>
      <c r="U316" s="9"/>
      <c r="V316" s="9"/>
      <c r="W316" s="9"/>
      <c r="X316" s="4"/>
      <c r="Y316" s="6"/>
      <c r="Z316" s="9"/>
      <c r="AA316" s="4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10"/>
      <c r="AU316" s="9"/>
    </row>
    <row r="317" spans="1:47">
      <c r="A317" s="4"/>
      <c r="B317" s="4"/>
      <c r="C317" s="5"/>
      <c r="D317" s="5"/>
      <c r="E317" s="6"/>
      <c r="F317" s="4"/>
      <c r="G317" s="6"/>
      <c r="H317" s="26"/>
      <c r="I317" s="24"/>
      <c r="J317" s="24"/>
      <c r="K317" s="24"/>
      <c r="L317" s="24"/>
      <c r="M317" s="2"/>
      <c r="N317" s="2"/>
      <c r="O317" s="2"/>
      <c r="P317" s="2"/>
      <c r="Q317" s="2"/>
      <c r="R317" s="9"/>
      <c r="S317" s="4"/>
      <c r="T317" s="9"/>
      <c r="U317" s="9"/>
      <c r="V317" s="9"/>
      <c r="W317" s="9"/>
      <c r="X317" s="4"/>
      <c r="Y317" s="6"/>
      <c r="Z317" s="4"/>
      <c r="AA317" s="23"/>
      <c r="AB317" s="24"/>
      <c r="AC317" s="25"/>
      <c r="AD317" s="24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10"/>
      <c r="AU317" s="9"/>
    </row>
    <row r="318" spans="1:47">
      <c r="A318" s="4"/>
      <c r="B318" s="4"/>
      <c r="C318" s="5"/>
      <c r="D318" s="5"/>
      <c r="E318" s="6"/>
      <c r="F318" s="4"/>
      <c r="G318" s="6"/>
      <c r="H318" s="7"/>
      <c r="I318" s="7"/>
      <c r="J318" s="7"/>
      <c r="K318" s="7"/>
      <c r="L318" s="2"/>
      <c r="M318" s="2"/>
      <c r="N318" s="2"/>
      <c r="O318" s="2"/>
      <c r="P318" s="2"/>
      <c r="Q318" s="2"/>
      <c r="R318" s="9"/>
      <c r="S318" s="4"/>
      <c r="T318" s="9"/>
      <c r="U318" s="9"/>
      <c r="V318" s="9"/>
      <c r="W318" s="9"/>
      <c r="X318" s="4"/>
      <c r="Y318" s="6"/>
      <c r="Z318" s="9"/>
      <c r="AA318" s="23"/>
      <c r="AB318" s="24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10"/>
      <c r="AU318" s="9"/>
    </row>
    <row r="319" spans="1:47">
      <c r="A319" s="4"/>
      <c r="B319" s="4"/>
      <c r="C319" s="5"/>
      <c r="D319" s="5"/>
      <c r="E319" s="6"/>
      <c r="F319" s="4"/>
      <c r="G319" s="6"/>
      <c r="H319" s="7"/>
      <c r="I319" s="7"/>
      <c r="J319" s="7"/>
      <c r="K319" s="2"/>
      <c r="L319" s="2"/>
      <c r="M319" s="2"/>
      <c r="N319" s="2"/>
      <c r="O319" s="2"/>
      <c r="P319" s="2"/>
      <c r="Q319" s="2"/>
      <c r="R319" s="9"/>
      <c r="S319" s="4"/>
      <c r="T319" s="9"/>
      <c r="U319" s="9"/>
      <c r="V319" s="9"/>
      <c r="W319" s="9"/>
      <c r="X319" s="4"/>
      <c r="Y319" s="6"/>
      <c r="Z319" s="9"/>
      <c r="AA319" s="4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10"/>
      <c r="AU319" s="9"/>
    </row>
    <row r="320" spans="1:47">
      <c r="A320" s="4"/>
      <c r="B320" s="4"/>
      <c r="C320" s="5"/>
      <c r="D320" s="5"/>
      <c r="E320" s="6"/>
      <c r="F320" s="4"/>
      <c r="G320" s="6"/>
      <c r="H320" s="7"/>
      <c r="I320" s="7"/>
      <c r="J320" s="7"/>
      <c r="K320" s="7"/>
      <c r="L320" s="7"/>
      <c r="M320" s="2"/>
      <c r="N320" s="2"/>
      <c r="O320" s="2"/>
      <c r="P320" s="2"/>
      <c r="Q320" s="2"/>
      <c r="R320" s="9"/>
      <c r="S320" s="4"/>
      <c r="T320" s="9"/>
      <c r="U320" s="9"/>
      <c r="V320" s="9"/>
      <c r="W320" s="9"/>
      <c r="X320" s="4"/>
      <c r="Y320" s="6"/>
      <c r="Z320" s="4"/>
      <c r="AA320" s="23"/>
      <c r="AB320" s="24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10"/>
      <c r="AU320" s="9"/>
    </row>
    <row r="321" spans="1:47">
      <c r="A321" s="4"/>
      <c r="B321" s="4"/>
      <c r="C321" s="5"/>
      <c r="D321" s="5"/>
      <c r="E321" s="6"/>
      <c r="F321" s="4"/>
      <c r="G321" s="6"/>
      <c r="H321" s="26"/>
      <c r="I321" s="24"/>
      <c r="J321" s="24"/>
      <c r="K321" s="24"/>
      <c r="L321" s="24"/>
      <c r="M321" s="2"/>
      <c r="N321" s="2"/>
      <c r="O321" s="2"/>
      <c r="P321" s="2"/>
      <c r="Q321" s="2"/>
      <c r="R321" s="9"/>
      <c r="S321" s="4"/>
      <c r="T321" s="9"/>
      <c r="U321" s="9"/>
      <c r="V321" s="9"/>
      <c r="W321" s="9"/>
      <c r="X321" s="4"/>
      <c r="Y321" s="6"/>
      <c r="Z321" s="4"/>
      <c r="AA321" s="23"/>
      <c r="AB321" s="24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10"/>
      <c r="AU321" s="9"/>
    </row>
    <row r="322" spans="1:47">
      <c r="A322" s="4"/>
      <c r="B322" s="4"/>
      <c r="C322" s="5"/>
      <c r="D322" s="5"/>
      <c r="E322" s="6"/>
      <c r="F322" s="4"/>
      <c r="G322" s="6"/>
      <c r="H322" s="26"/>
      <c r="I322" s="24"/>
      <c r="J322" s="24"/>
      <c r="K322" s="24"/>
      <c r="L322" s="24"/>
      <c r="M322" s="2"/>
      <c r="N322" s="2"/>
      <c r="O322" s="2"/>
      <c r="P322" s="2"/>
      <c r="Q322" s="2"/>
      <c r="R322" s="9"/>
      <c r="S322" s="4"/>
      <c r="T322" s="9"/>
      <c r="U322" s="9"/>
      <c r="V322" s="9"/>
      <c r="W322" s="9"/>
      <c r="X322" s="4"/>
      <c r="Y322" s="6"/>
      <c r="Z322" s="4"/>
      <c r="AA322" s="23"/>
      <c r="AB322" s="24"/>
      <c r="AC322" s="2"/>
      <c r="AD322" s="2"/>
      <c r="AE322" s="2"/>
      <c r="AF322" s="2"/>
      <c r="AG322" s="2"/>
      <c r="AH322" s="2"/>
      <c r="AI322" s="2"/>
      <c r="AJ322" s="2"/>
      <c r="AK322" s="2"/>
      <c r="AL322" s="25"/>
      <c r="AM322" s="24"/>
      <c r="AN322" s="2"/>
      <c r="AO322" s="2"/>
      <c r="AP322" s="2"/>
      <c r="AQ322" s="2"/>
      <c r="AR322" s="2"/>
      <c r="AS322" s="2"/>
      <c r="AT322" s="10"/>
      <c r="AU322" s="9"/>
    </row>
    <row r="323" spans="1:47">
      <c r="A323" s="4"/>
      <c r="B323" s="4"/>
      <c r="C323" s="5"/>
      <c r="D323" s="5"/>
      <c r="E323" s="6"/>
      <c r="F323" s="4"/>
      <c r="G323" s="6"/>
      <c r="H323" s="26"/>
      <c r="I323" s="24"/>
      <c r="J323" s="24"/>
      <c r="K323" s="24"/>
      <c r="L323" s="24"/>
      <c r="M323" s="2"/>
      <c r="N323" s="2"/>
      <c r="O323" s="2"/>
      <c r="P323" s="2"/>
      <c r="Q323" s="2"/>
      <c r="R323" s="9"/>
      <c r="S323" s="4"/>
      <c r="T323" s="9"/>
      <c r="U323" s="9"/>
      <c r="V323" s="9"/>
      <c r="W323" s="9"/>
      <c r="X323" s="4"/>
      <c r="Y323" s="6"/>
      <c r="Z323" s="4"/>
      <c r="AA323" s="23"/>
      <c r="AB323" s="24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10"/>
      <c r="AU323" s="9"/>
    </row>
    <row r="324" spans="1:47">
      <c r="A324" s="4"/>
      <c r="B324" s="4"/>
      <c r="C324" s="5"/>
      <c r="D324" s="5"/>
      <c r="E324" s="6"/>
      <c r="F324" s="4"/>
      <c r="G324" s="6"/>
      <c r="H324" s="7"/>
      <c r="I324" s="2"/>
      <c r="J324" s="2"/>
      <c r="K324" s="2"/>
      <c r="L324" s="2"/>
      <c r="M324" s="2"/>
      <c r="N324" s="2"/>
      <c r="O324" s="2"/>
      <c r="P324" s="2"/>
      <c r="Q324" s="2"/>
      <c r="R324" s="9"/>
      <c r="S324" s="4"/>
      <c r="T324" s="9"/>
      <c r="U324" s="9"/>
      <c r="V324" s="9"/>
      <c r="W324" s="9"/>
      <c r="X324" s="4"/>
      <c r="Y324" s="6"/>
      <c r="Z324" s="9"/>
      <c r="AA324" s="4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10"/>
      <c r="AU324" s="9"/>
    </row>
    <row r="325" spans="1:47">
      <c r="A325" s="4"/>
      <c r="B325" s="4"/>
      <c r="C325" s="5"/>
      <c r="D325" s="5"/>
      <c r="E325" s="6"/>
      <c r="F325" s="4"/>
      <c r="G325" s="6"/>
      <c r="H325" s="7"/>
      <c r="I325" s="2"/>
      <c r="J325" s="2"/>
      <c r="K325" s="2"/>
      <c r="L325" s="2"/>
      <c r="M325" s="2"/>
      <c r="N325" s="2"/>
      <c r="O325" s="2"/>
      <c r="P325" s="2"/>
      <c r="Q325" s="2"/>
      <c r="R325" s="9"/>
      <c r="S325" s="4"/>
      <c r="T325" s="9"/>
      <c r="U325" s="9"/>
      <c r="V325" s="9"/>
      <c r="W325" s="9"/>
      <c r="X325" s="4"/>
      <c r="Y325" s="6"/>
      <c r="Z325" s="9"/>
      <c r="AA325" s="4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10"/>
      <c r="AU325" s="9"/>
    </row>
    <row r="326" spans="1:47">
      <c r="A326" s="4"/>
      <c r="B326" s="4"/>
      <c r="C326" s="5"/>
      <c r="D326" s="5"/>
      <c r="E326" s="6"/>
      <c r="F326" s="4"/>
      <c r="G326" s="6"/>
      <c r="H326" s="7"/>
      <c r="I326" s="2"/>
      <c r="J326" s="2"/>
      <c r="K326" s="2"/>
      <c r="L326" s="2"/>
      <c r="M326" s="2"/>
      <c r="N326" s="2"/>
      <c r="O326" s="2"/>
      <c r="P326" s="2"/>
      <c r="Q326" s="2"/>
      <c r="R326" s="9"/>
      <c r="S326" s="4"/>
      <c r="T326" s="9"/>
      <c r="U326" s="9"/>
      <c r="V326" s="9"/>
      <c r="W326" s="9"/>
      <c r="X326" s="4"/>
      <c r="Y326" s="6"/>
      <c r="Z326" s="9"/>
      <c r="AA326" s="4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10"/>
      <c r="AU326" s="9"/>
    </row>
    <row r="327" spans="1:47">
      <c r="A327" s="4"/>
      <c r="B327" s="4"/>
      <c r="C327" s="5"/>
      <c r="D327" s="5"/>
      <c r="E327" s="6"/>
      <c r="F327" s="4"/>
      <c r="G327" s="6"/>
      <c r="H327" s="7"/>
      <c r="I327" s="2"/>
      <c r="J327" s="2"/>
      <c r="K327" s="2"/>
      <c r="L327" s="2"/>
      <c r="M327" s="2"/>
      <c r="N327" s="2"/>
      <c r="O327" s="2"/>
      <c r="P327" s="2"/>
      <c r="Q327" s="2"/>
      <c r="R327" s="9"/>
      <c r="S327" s="4"/>
      <c r="T327" s="9"/>
      <c r="U327" s="9"/>
      <c r="V327" s="9"/>
      <c r="W327" s="9"/>
      <c r="X327" s="4"/>
      <c r="Y327" s="6"/>
      <c r="Z327" s="9"/>
      <c r="AA327" s="4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10"/>
      <c r="AU327" s="9"/>
    </row>
    <row r="328" spans="1:47">
      <c r="A328" s="4"/>
      <c r="B328" s="4"/>
      <c r="C328" s="5"/>
      <c r="D328" s="5"/>
      <c r="E328" s="6"/>
      <c r="F328" s="4"/>
      <c r="G328" s="6"/>
      <c r="H328" s="7"/>
      <c r="I328" s="2"/>
      <c r="J328" s="2"/>
      <c r="K328" s="2"/>
      <c r="L328" s="2"/>
      <c r="M328" s="2"/>
      <c r="N328" s="2"/>
      <c r="O328" s="2"/>
      <c r="P328" s="2"/>
      <c r="Q328" s="2"/>
      <c r="R328" s="9"/>
      <c r="S328" s="4"/>
      <c r="T328" s="9"/>
      <c r="U328" s="9"/>
      <c r="V328" s="9"/>
      <c r="W328" s="9"/>
      <c r="X328" s="4"/>
      <c r="Y328" s="6"/>
      <c r="Z328" s="9"/>
      <c r="AA328" s="4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10"/>
      <c r="AU328" s="9"/>
    </row>
    <row r="329" spans="1:47">
      <c r="A329" s="4"/>
      <c r="B329" s="4"/>
      <c r="C329" s="5"/>
      <c r="D329" s="5"/>
      <c r="E329" s="6"/>
      <c r="F329" s="4"/>
      <c r="G329" s="6"/>
      <c r="H329" s="7"/>
      <c r="I329" s="2"/>
      <c r="J329" s="2"/>
      <c r="K329" s="2"/>
      <c r="L329" s="2"/>
      <c r="M329" s="2"/>
      <c r="N329" s="2"/>
      <c r="O329" s="2"/>
      <c r="P329" s="2"/>
      <c r="Q329" s="2"/>
      <c r="R329" s="9"/>
      <c r="S329" s="4"/>
      <c r="T329" s="9"/>
      <c r="U329" s="9"/>
      <c r="V329" s="9"/>
      <c r="W329" s="9"/>
      <c r="X329" s="4"/>
      <c r="Y329" s="6"/>
      <c r="Z329" s="9"/>
      <c r="AA329" s="4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10"/>
      <c r="AU329" s="9"/>
    </row>
    <row r="330" spans="1:47">
      <c r="A330" s="4"/>
      <c r="B330" s="4"/>
      <c r="C330" s="5"/>
      <c r="D330" s="5"/>
      <c r="E330" s="6"/>
      <c r="F330" s="4"/>
      <c r="G330" s="6"/>
      <c r="H330" s="7"/>
      <c r="I330" s="2"/>
      <c r="J330" s="2"/>
      <c r="K330" s="2"/>
      <c r="L330" s="2"/>
      <c r="M330" s="2"/>
      <c r="N330" s="2"/>
      <c r="O330" s="2"/>
      <c r="P330" s="2"/>
      <c r="Q330" s="2"/>
      <c r="R330" s="9"/>
      <c r="S330" s="4"/>
      <c r="T330" s="9"/>
      <c r="U330" s="9"/>
      <c r="V330" s="9"/>
      <c r="W330" s="9"/>
      <c r="X330" s="4"/>
      <c r="Y330" s="6"/>
      <c r="Z330" s="9"/>
      <c r="AA330" s="4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10"/>
      <c r="AU330" s="9"/>
    </row>
    <row r="331" spans="1:47">
      <c r="A331" s="4"/>
      <c r="B331" s="4"/>
      <c r="C331" s="5"/>
      <c r="D331" s="5"/>
      <c r="E331" s="6"/>
      <c r="F331" s="4"/>
      <c r="G331" s="6"/>
      <c r="H331" s="7"/>
      <c r="I331" s="2"/>
      <c r="J331" s="2"/>
      <c r="K331" s="2"/>
      <c r="L331" s="2"/>
      <c r="M331" s="2"/>
      <c r="N331" s="2"/>
      <c r="O331" s="2"/>
      <c r="P331" s="2"/>
      <c r="Q331" s="2"/>
      <c r="R331" s="9"/>
      <c r="S331" s="4"/>
      <c r="T331" s="9"/>
      <c r="U331" s="9"/>
      <c r="V331" s="9"/>
      <c r="W331" s="9"/>
      <c r="X331" s="4"/>
      <c r="Y331" s="6"/>
      <c r="Z331" s="9"/>
      <c r="AA331" s="4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10"/>
      <c r="AU331" s="9"/>
    </row>
    <row r="332" spans="1:47">
      <c r="A332" s="4"/>
      <c r="B332" s="4"/>
      <c r="C332" s="5"/>
      <c r="D332" s="5"/>
      <c r="E332" s="6"/>
      <c r="F332" s="4"/>
      <c r="G332" s="6"/>
      <c r="H332" s="7"/>
      <c r="I332" s="2"/>
      <c r="J332" s="2"/>
      <c r="K332" s="2"/>
      <c r="L332" s="2"/>
      <c r="M332" s="2"/>
      <c r="N332" s="2"/>
      <c r="O332" s="2"/>
      <c r="P332" s="2"/>
      <c r="Q332" s="2"/>
      <c r="R332" s="9"/>
      <c r="S332" s="4"/>
      <c r="T332" s="9"/>
      <c r="U332" s="9"/>
      <c r="V332" s="9"/>
      <c r="W332" s="9"/>
      <c r="X332" s="4"/>
      <c r="Y332" s="6"/>
      <c r="Z332" s="9"/>
      <c r="AA332" s="4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10"/>
      <c r="AU332" s="9"/>
    </row>
    <row r="333" spans="1:47">
      <c r="A333" s="4"/>
      <c r="B333" s="4"/>
      <c r="C333" s="5"/>
      <c r="D333" s="5"/>
      <c r="E333" s="6"/>
      <c r="F333" s="4"/>
      <c r="G333" s="6"/>
      <c r="H333" s="7"/>
      <c r="I333" s="2"/>
      <c r="J333" s="2"/>
      <c r="K333" s="2"/>
      <c r="L333" s="2"/>
      <c r="M333" s="2"/>
      <c r="N333" s="2"/>
      <c r="O333" s="2"/>
      <c r="P333" s="2"/>
      <c r="Q333" s="2"/>
      <c r="R333" s="9"/>
      <c r="S333" s="4"/>
      <c r="T333" s="9"/>
      <c r="U333" s="9"/>
      <c r="V333" s="9"/>
      <c r="W333" s="9"/>
      <c r="X333" s="4"/>
      <c r="Y333" s="6"/>
      <c r="Z333" s="9"/>
      <c r="AA333" s="4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10"/>
      <c r="AU333" s="9"/>
    </row>
    <row r="334" spans="1:47">
      <c r="A334" s="4"/>
      <c r="B334" s="4"/>
      <c r="C334" s="5"/>
      <c r="D334" s="5"/>
      <c r="E334" s="6"/>
      <c r="F334" s="4"/>
      <c r="G334" s="6"/>
      <c r="H334" s="7"/>
      <c r="I334" s="2"/>
      <c r="J334" s="2"/>
      <c r="K334" s="2"/>
      <c r="L334" s="2"/>
      <c r="M334" s="2"/>
      <c r="N334" s="2"/>
      <c r="O334" s="2"/>
      <c r="P334" s="2"/>
      <c r="Q334" s="2"/>
      <c r="R334" s="9"/>
      <c r="S334" s="4"/>
      <c r="T334" s="9"/>
      <c r="U334" s="9"/>
      <c r="V334" s="9"/>
      <c r="W334" s="9"/>
      <c r="X334" s="4"/>
      <c r="Y334" s="6"/>
      <c r="Z334" s="9"/>
      <c r="AA334" s="4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10"/>
      <c r="AU334" s="9"/>
    </row>
    <row r="335" spans="1:47">
      <c r="A335" s="4"/>
      <c r="B335" s="4"/>
      <c r="C335" s="5"/>
      <c r="D335" s="5"/>
      <c r="E335" s="6"/>
      <c r="F335" s="4"/>
      <c r="G335" s="6"/>
      <c r="H335" s="7"/>
      <c r="I335" s="2"/>
      <c r="J335" s="2"/>
      <c r="K335" s="2"/>
      <c r="L335" s="2"/>
      <c r="M335" s="2"/>
      <c r="N335" s="2"/>
      <c r="O335" s="2"/>
      <c r="P335" s="2"/>
      <c r="Q335" s="2"/>
      <c r="R335" s="9"/>
      <c r="S335" s="4"/>
      <c r="T335" s="9"/>
      <c r="U335" s="9"/>
      <c r="V335" s="9"/>
      <c r="W335" s="9"/>
      <c r="X335" s="4"/>
      <c r="Y335" s="6"/>
      <c r="Z335" s="9"/>
      <c r="AA335" s="4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10"/>
      <c r="AU335" s="9"/>
    </row>
    <row r="336" spans="1:47">
      <c r="A336" s="4"/>
      <c r="B336" s="4"/>
      <c r="C336" s="5"/>
      <c r="D336" s="5"/>
      <c r="E336" s="6"/>
      <c r="F336" s="4"/>
      <c r="G336" s="6"/>
      <c r="H336" s="7"/>
      <c r="I336" s="2"/>
      <c r="J336" s="2"/>
      <c r="K336" s="2"/>
      <c r="L336" s="2"/>
      <c r="M336" s="2"/>
      <c r="N336" s="2"/>
      <c r="O336" s="2"/>
      <c r="P336" s="2"/>
      <c r="Q336" s="2"/>
      <c r="R336" s="9"/>
      <c r="S336" s="4"/>
      <c r="T336" s="9"/>
      <c r="U336" s="9"/>
      <c r="V336" s="9"/>
      <c r="W336" s="9"/>
      <c r="X336" s="4"/>
      <c r="Y336" s="6"/>
      <c r="Z336" s="9"/>
      <c r="AA336" s="4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10"/>
      <c r="AU336" s="9"/>
    </row>
    <row r="337" spans="1:47">
      <c r="A337" s="4"/>
      <c r="B337" s="4"/>
      <c r="C337" s="5"/>
      <c r="D337" s="5"/>
      <c r="E337" s="6"/>
      <c r="F337" s="4"/>
      <c r="G337" s="6"/>
      <c r="H337" s="7"/>
      <c r="I337" s="2"/>
      <c r="J337" s="2"/>
      <c r="K337" s="2"/>
      <c r="L337" s="2"/>
      <c r="M337" s="2"/>
      <c r="N337" s="2"/>
      <c r="O337" s="2"/>
      <c r="P337" s="2"/>
      <c r="Q337" s="2"/>
      <c r="R337" s="9"/>
      <c r="S337" s="4"/>
      <c r="T337" s="9"/>
      <c r="U337" s="9"/>
      <c r="V337" s="9"/>
      <c r="W337" s="9"/>
      <c r="X337" s="4"/>
      <c r="Y337" s="6"/>
      <c r="Z337" s="9"/>
      <c r="AA337" s="4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10"/>
      <c r="AU337" s="9"/>
    </row>
    <row r="338" spans="1:47">
      <c r="A338" s="4"/>
      <c r="B338" s="4"/>
      <c r="C338" s="5"/>
      <c r="D338" s="5"/>
      <c r="E338" s="6"/>
      <c r="F338" s="4"/>
      <c r="G338" s="6"/>
      <c r="H338" s="7"/>
      <c r="I338" s="2"/>
      <c r="J338" s="2"/>
      <c r="K338" s="2"/>
      <c r="L338" s="2"/>
      <c r="M338" s="2"/>
      <c r="N338" s="2"/>
      <c r="O338" s="2"/>
      <c r="P338" s="2"/>
      <c r="Q338" s="2"/>
      <c r="R338" s="9"/>
      <c r="S338" s="4"/>
      <c r="T338" s="9"/>
      <c r="U338" s="9"/>
      <c r="V338" s="9"/>
      <c r="W338" s="9"/>
      <c r="X338" s="4"/>
      <c r="Y338" s="6"/>
      <c r="Z338" s="9"/>
      <c r="AA338" s="4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10"/>
      <c r="AU338" s="9"/>
    </row>
    <row r="339" spans="1:47">
      <c r="A339" s="4"/>
      <c r="B339" s="4"/>
      <c r="C339" s="5"/>
      <c r="D339" s="5"/>
      <c r="E339" s="6"/>
      <c r="F339" s="4"/>
      <c r="G339" s="6"/>
      <c r="H339" s="7"/>
      <c r="I339" s="2"/>
      <c r="J339" s="2"/>
      <c r="K339" s="2"/>
      <c r="L339" s="2"/>
      <c r="M339" s="2"/>
      <c r="N339" s="2"/>
      <c r="O339" s="2"/>
      <c r="P339" s="2"/>
      <c r="Q339" s="2"/>
      <c r="R339" s="9"/>
      <c r="S339" s="4"/>
      <c r="T339" s="9"/>
      <c r="U339" s="9"/>
      <c r="V339" s="9"/>
      <c r="W339" s="9"/>
      <c r="X339" s="4"/>
      <c r="Y339" s="6"/>
      <c r="Z339" s="9"/>
      <c r="AA339" s="4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10"/>
      <c r="AU339" s="9"/>
    </row>
    <row r="340" spans="1:47">
      <c r="A340" s="4"/>
      <c r="B340" s="4"/>
      <c r="C340" s="5"/>
      <c r="D340" s="5"/>
      <c r="E340" s="6"/>
      <c r="F340" s="4"/>
      <c r="G340" s="6"/>
      <c r="H340" s="7"/>
      <c r="I340" s="2"/>
      <c r="J340" s="2"/>
      <c r="K340" s="2"/>
      <c r="L340" s="2"/>
      <c r="M340" s="2"/>
      <c r="N340" s="2"/>
      <c r="O340" s="2"/>
      <c r="P340" s="2"/>
      <c r="Q340" s="2"/>
      <c r="R340" s="9"/>
      <c r="S340" s="4"/>
      <c r="T340" s="9"/>
      <c r="U340" s="9"/>
      <c r="V340" s="9"/>
      <c r="W340" s="9"/>
      <c r="X340" s="4"/>
      <c r="Y340" s="6"/>
      <c r="Z340" s="9"/>
      <c r="AA340" s="4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10"/>
      <c r="AU340" s="9"/>
    </row>
    <row r="341" spans="1:47">
      <c r="A341" s="4"/>
      <c r="B341" s="4"/>
      <c r="C341" s="5"/>
      <c r="D341" s="5"/>
      <c r="E341" s="6"/>
      <c r="F341" s="4"/>
      <c r="G341" s="6"/>
      <c r="H341" s="7"/>
      <c r="I341" s="2"/>
      <c r="J341" s="2"/>
      <c r="K341" s="2"/>
      <c r="L341" s="2"/>
      <c r="M341" s="2"/>
      <c r="N341" s="2"/>
      <c r="O341" s="2"/>
      <c r="P341" s="2"/>
      <c r="Q341" s="2"/>
      <c r="R341" s="9"/>
      <c r="S341" s="4"/>
      <c r="T341" s="9"/>
      <c r="U341" s="9"/>
      <c r="V341" s="9"/>
      <c r="W341" s="9"/>
      <c r="X341" s="4"/>
      <c r="Y341" s="6"/>
      <c r="Z341" s="9"/>
      <c r="AA341" s="4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10"/>
      <c r="AU341" s="9"/>
    </row>
    <row r="342" spans="1:47">
      <c r="A342" s="4"/>
      <c r="B342" s="4"/>
      <c r="C342" s="5"/>
      <c r="D342" s="5"/>
      <c r="E342" s="6"/>
      <c r="F342" s="4"/>
      <c r="G342" s="6"/>
      <c r="H342" s="7"/>
      <c r="I342" s="2"/>
      <c r="J342" s="2"/>
      <c r="K342" s="2"/>
      <c r="L342" s="2"/>
      <c r="M342" s="2"/>
      <c r="N342" s="2"/>
      <c r="O342" s="2"/>
      <c r="P342" s="2"/>
      <c r="Q342" s="2"/>
      <c r="R342" s="9"/>
      <c r="S342" s="4"/>
      <c r="T342" s="9"/>
      <c r="U342" s="9"/>
      <c r="V342" s="9"/>
      <c r="W342" s="9"/>
      <c r="X342" s="4"/>
      <c r="Y342" s="6"/>
      <c r="Z342" s="9"/>
      <c r="AA342" s="4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10"/>
      <c r="AU342" s="9"/>
    </row>
    <row r="343" spans="1:47">
      <c r="A343" s="4"/>
      <c r="B343" s="4"/>
      <c r="C343" s="5"/>
      <c r="D343" s="5"/>
      <c r="E343" s="6"/>
      <c r="F343" s="4"/>
      <c r="G343" s="6"/>
      <c r="H343" s="7"/>
      <c r="I343" s="2"/>
      <c r="J343" s="2"/>
      <c r="K343" s="2"/>
      <c r="L343" s="2"/>
      <c r="M343" s="2"/>
      <c r="N343" s="2"/>
      <c r="O343" s="2"/>
      <c r="P343" s="2"/>
      <c r="Q343" s="2"/>
      <c r="R343" s="9"/>
      <c r="S343" s="4"/>
      <c r="T343" s="9"/>
      <c r="U343" s="9"/>
      <c r="V343" s="9"/>
      <c r="W343" s="9"/>
      <c r="X343" s="4"/>
      <c r="Y343" s="6"/>
      <c r="Z343" s="9"/>
      <c r="AA343" s="4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10"/>
      <c r="AU343" s="9"/>
    </row>
    <row r="344" spans="1:47">
      <c r="A344" s="4"/>
      <c r="B344" s="4"/>
      <c r="C344" s="5"/>
      <c r="D344" s="5"/>
      <c r="E344" s="6"/>
      <c r="F344" s="4"/>
      <c r="G344" s="6"/>
      <c r="H344" s="7"/>
      <c r="I344" s="2"/>
      <c r="J344" s="2"/>
      <c r="K344" s="2"/>
      <c r="L344" s="2"/>
      <c r="M344" s="2"/>
      <c r="N344" s="2"/>
      <c r="O344" s="2"/>
      <c r="P344" s="2"/>
      <c r="Q344" s="2"/>
      <c r="R344" s="9"/>
      <c r="S344" s="4"/>
      <c r="T344" s="9"/>
      <c r="U344" s="9"/>
      <c r="V344" s="9"/>
      <c r="W344" s="9"/>
      <c r="X344" s="4"/>
      <c r="Y344" s="6"/>
      <c r="Z344" s="9"/>
      <c r="AA344" s="4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10"/>
      <c r="AU344" s="9"/>
    </row>
    <row r="345" spans="1:47">
      <c r="A345" s="4"/>
      <c r="B345" s="4"/>
      <c r="C345" s="5"/>
      <c r="D345" s="5"/>
      <c r="E345" s="6"/>
      <c r="F345" s="4"/>
      <c r="G345" s="6"/>
      <c r="H345" s="7"/>
      <c r="I345" s="2"/>
      <c r="J345" s="2"/>
      <c r="K345" s="2"/>
      <c r="L345" s="2"/>
      <c r="M345" s="2"/>
      <c r="N345" s="2"/>
      <c r="O345" s="2"/>
      <c r="P345" s="2"/>
      <c r="Q345" s="2"/>
      <c r="R345" s="9"/>
      <c r="S345" s="4"/>
      <c r="T345" s="9"/>
      <c r="U345" s="9"/>
      <c r="V345" s="9"/>
      <c r="W345" s="9"/>
      <c r="X345" s="4"/>
      <c r="Y345" s="6"/>
      <c r="Z345" s="9"/>
      <c r="AA345" s="4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10"/>
      <c r="AU345" s="9"/>
    </row>
    <row r="346" spans="1:47">
      <c r="A346" s="4"/>
      <c r="B346" s="4"/>
      <c r="C346" s="5"/>
      <c r="D346" s="5"/>
      <c r="E346" s="6"/>
      <c r="F346" s="4"/>
      <c r="G346" s="6"/>
      <c r="H346" s="7"/>
      <c r="I346" s="2"/>
      <c r="J346" s="2"/>
      <c r="K346" s="2"/>
      <c r="L346" s="2"/>
      <c r="M346" s="2"/>
      <c r="N346" s="2"/>
      <c r="O346" s="2"/>
      <c r="P346" s="2"/>
      <c r="Q346" s="2"/>
      <c r="R346" s="9"/>
      <c r="S346" s="4"/>
      <c r="T346" s="9"/>
      <c r="U346" s="9"/>
      <c r="V346" s="9"/>
      <c r="W346" s="9"/>
      <c r="X346" s="4"/>
      <c r="Y346" s="6"/>
      <c r="Z346" s="9"/>
      <c r="AA346" s="4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10"/>
      <c r="AU346" s="9"/>
    </row>
    <row r="347" spans="1:47">
      <c r="A347" s="4"/>
      <c r="B347" s="4"/>
      <c r="C347" s="5"/>
      <c r="D347" s="5"/>
      <c r="E347" s="6"/>
      <c r="F347" s="4"/>
      <c r="G347" s="6"/>
      <c r="H347" s="7"/>
      <c r="I347" s="2"/>
      <c r="J347" s="2"/>
      <c r="K347" s="2"/>
      <c r="L347" s="2"/>
      <c r="M347" s="2"/>
      <c r="N347" s="2"/>
      <c r="O347" s="2"/>
      <c r="P347" s="2"/>
      <c r="Q347" s="2"/>
      <c r="R347" s="9"/>
      <c r="S347" s="4"/>
      <c r="T347" s="9"/>
      <c r="U347" s="9"/>
      <c r="V347" s="9"/>
      <c r="W347" s="9"/>
      <c r="X347" s="4"/>
      <c r="Y347" s="6"/>
      <c r="Z347" s="9"/>
      <c r="AA347" s="4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10"/>
      <c r="AU347" s="9"/>
    </row>
    <row r="348" spans="1:47">
      <c r="A348" s="4"/>
      <c r="B348" s="4"/>
      <c r="C348" s="5"/>
      <c r="D348" s="5"/>
      <c r="E348" s="6"/>
      <c r="F348" s="4"/>
      <c r="G348" s="6"/>
      <c r="H348" s="7"/>
      <c r="I348" s="2"/>
      <c r="J348" s="2"/>
      <c r="K348" s="2"/>
      <c r="L348" s="2"/>
      <c r="M348" s="2"/>
      <c r="N348" s="2"/>
      <c r="O348" s="2"/>
      <c r="P348" s="2"/>
      <c r="Q348" s="2"/>
      <c r="R348" s="9"/>
      <c r="S348" s="4"/>
      <c r="T348" s="9"/>
      <c r="U348" s="9"/>
      <c r="V348" s="9"/>
      <c r="W348" s="9"/>
      <c r="X348" s="4"/>
      <c r="Y348" s="6"/>
      <c r="Z348" s="9"/>
      <c r="AA348" s="4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10"/>
      <c r="AU348" s="9"/>
    </row>
    <row r="349" spans="1:47">
      <c r="A349" s="4"/>
      <c r="B349" s="4"/>
      <c r="C349" s="5"/>
      <c r="D349" s="5"/>
      <c r="E349" s="6"/>
      <c r="F349" s="4"/>
      <c r="G349" s="6"/>
      <c r="H349" s="7"/>
      <c r="I349" s="2"/>
      <c r="J349" s="2"/>
      <c r="K349" s="2"/>
      <c r="L349" s="2"/>
      <c r="M349" s="2"/>
      <c r="N349" s="2"/>
      <c r="O349" s="2"/>
      <c r="P349" s="2"/>
      <c r="Q349" s="2"/>
      <c r="R349" s="9"/>
      <c r="S349" s="4"/>
      <c r="T349" s="9"/>
      <c r="U349" s="9"/>
      <c r="V349" s="9"/>
      <c r="W349" s="9"/>
      <c r="X349" s="4"/>
      <c r="Y349" s="6"/>
      <c r="Z349" s="9"/>
      <c r="AA349" s="4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10"/>
      <c r="AU349" s="9"/>
    </row>
    <row r="350" spans="1:47">
      <c r="A350" s="4"/>
      <c r="B350" s="4"/>
      <c r="C350" s="5"/>
      <c r="D350" s="5"/>
      <c r="E350" s="6"/>
      <c r="F350" s="4"/>
      <c r="G350" s="6"/>
      <c r="H350" s="7"/>
      <c r="I350" s="2"/>
      <c r="J350" s="2"/>
      <c r="K350" s="2"/>
      <c r="L350" s="2"/>
      <c r="M350" s="2"/>
      <c r="N350" s="2"/>
      <c r="O350" s="2"/>
      <c r="P350" s="2"/>
      <c r="Q350" s="2"/>
      <c r="R350" s="9"/>
      <c r="S350" s="4"/>
      <c r="T350" s="9"/>
      <c r="U350" s="9"/>
      <c r="V350" s="9"/>
      <c r="W350" s="9"/>
      <c r="X350" s="4"/>
      <c r="Y350" s="6"/>
      <c r="Z350" s="9"/>
      <c r="AA350" s="4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10"/>
      <c r="AU350" s="9"/>
    </row>
    <row r="351" spans="1:47">
      <c r="A351" s="4"/>
      <c r="B351" s="4"/>
      <c r="C351" s="5"/>
      <c r="D351" s="5"/>
      <c r="E351" s="6"/>
      <c r="F351" s="4"/>
      <c r="G351" s="6"/>
      <c r="H351" s="7"/>
      <c r="I351" s="2"/>
      <c r="J351" s="2"/>
      <c r="K351" s="2"/>
      <c r="L351" s="2"/>
      <c r="M351" s="2"/>
      <c r="N351" s="2"/>
      <c r="O351" s="2"/>
      <c r="P351" s="2"/>
      <c r="Q351" s="2"/>
      <c r="R351" s="9"/>
      <c r="S351" s="4"/>
      <c r="T351" s="9"/>
      <c r="U351" s="9"/>
      <c r="V351" s="9"/>
      <c r="W351" s="9"/>
      <c r="X351" s="4"/>
      <c r="Y351" s="6"/>
      <c r="Z351" s="9"/>
      <c r="AA351" s="4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10"/>
      <c r="AU351" s="9"/>
    </row>
    <row r="352" spans="1:47">
      <c r="A352" s="4"/>
      <c r="B352" s="4"/>
      <c r="C352" s="5"/>
      <c r="D352" s="5"/>
      <c r="E352" s="6"/>
      <c r="F352" s="4"/>
      <c r="G352" s="6"/>
      <c r="H352" s="7"/>
      <c r="I352" s="2"/>
      <c r="J352" s="2"/>
      <c r="K352" s="2"/>
      <c r="L352" s="2"/>
      <c r="M352" s="2"/>
      <c r="N352" s="2"/>
      <c r="O352" s="2"/>
      <c r="P352" s="2"/>
      <c r="Q352" s="2"/>
      <c r="R352" s="9"/>
      <c r="S352" s="4"/>
      <c r="T352" s="9"/>
      <c r="U352" s="9"/>
      <c r="V352" s="9"/>
      <c r="W352" s="9"/>
      <c r="X352" s="4"/>
      <c r="Y352" s="6"/>
      <c r="Z352" s="9"/>
      <c r="AA352" s="4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10"/>
      <c r="AU352" s="9"/>
    </row>
    <row r="353" spans="1:47">
      <c r="A353" s="4"/>
      <c r="B353" s="4"/>
      <c r="C353" s="5"/>
      <c r="D353" s="5"/>
      <c r="E353" s="6"/>
      <c r="F353" s="4"/>
      <c r="G353" s="6"/>
      <c r="H353" s="7"/>
      <c r="I353" s="2"/>
      <c r="J353" s="2"/>
      <c r="K353" s="2"/>
      <c r="L353" s="2"/>
      <c r="M353" s="2"/>
      <c r="N353" s="2"/>
      <c r="O353" s="2"/>
      <c r="P353" s="2"/>
      <c r="Q353" s="2"/>
      <c r="R353" s="9"/>
      <c r="S353" s="4"/>
      <c r="T353" s="9"/>
      <c r="U353" s="9"/>
      <c r="V353" s="9"/>
      <c r="W353" s="9"/>
      <c r="X353" s="4"/>
      <c r="Y353" s="6"/>
      <c r="Z353" s="9"/>
      <c r="AA353" s="4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10"/>
      <c r="AU353" s="9"/>
    </row>
    <row r="354" spans="1:47">
      <c r="A354" s="4"/>
      <c r="B354" s="4"/>
      <c r="C354" s="5"/>
      <c r="D354" s="5"/>
      <c r="E354" s="6"/>
      <c r="F354" s="4"/>
      <c r="G354" s="6"/>
      <c r="H354" s="7"/>
      <c r="I354" s="2"/>
      <c r="J354" s="2"/>
      <c r="K354" s="2"/>
      <c r="L354" s="2"/>
      <c r="M354" s="2"/>
      <c r="N354" s="2"/>
      <c r="O354" s="2"/>
      <c r="P354" s="2"/>
      <c r="Q354" s="2"/>
      <c r="R354" s="9"/>
      <c r="S354" s="4"/>
      <c r="T354" s="9"/>
      <c r="U354" s="9"/>
      <c r="V354" s="9"/>
      <c r="W354" s="9"/>
      <c r="X354" s="4"/>
      <c r="Y354" s="6"/>
      <c r="Z354" s="9"/>
      <c r="AA354" s="4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10"/>
      <c r="AU354" s="9"/>
    </row>
    <row r="355" spans="1:47">
      <c r="A355" s="4"/>
      <c r="B355" s="4"/>
      <c r="C355" s="5"/>
      <c r="D355" s="5"/>
      <c r="E355" s="6"/>
      <c r="F355" s="4"/>
      <c r="G355" s="6"/>
      <c r="H355" s="7"/>
      <c r="I355" s="2"/>
      <c r="J355" s="2"/>
      <c r="K355" s="2"/>
      <c r="L355" s="2"/>
      <c r="M355" s="2"/>
      <c r="N355" s="2"/>
      <c r="O355" s="2"/>
      <c r="P355" s="2"/>
      <c r="Q355" s="2"/>
      <c r="R355" s="9"/>
      <c r="S355" s="4"/>
      <c r="T355" s="9"/>
      <c r="U355" s="9"/>
      <c r="V355" s="9"/>
      <c r="W355" s="9"/>
      <c r="X355" s="4"/>
      <c r="Y355" s="6"/>
      <c r="Z355" s="9"/>
      <c r="AA355" s="4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10"/>
      <c r="AU355" s="9"/>
    </row>
    <row r="356" spans="1:47">
      <c r="A356" s="4"/>
      <c r="B356" s="4"/>
      <c r="C356" s="5"/>
      <c r="D356" s="5"/>
      <c r="E356" s="6"/>
      <c r="F356" s="4"/>
      <c r="G356" s="6"/>
      <c r="H356" s="7"/>
      <c r="I356" s="2"/>
      <c r="J356" s="2"/>
      <c r="K356" s="2"/>
      <c r="L356" s="2"/>
      <c r="M356" s="2"/>
      <c r="N356" s="2"/>
      <c r="O356" s="2"/>
      <c r="P356" s="2"/>
      <c r="Q356" s="2"/>
      <c r="R356" s="9"/>
      <c r="S356" s="4"/>
      <c r="T356" s="9"/>
      <c r="U356" s="9"/>
      <c r="V356" s="9"/>
      <c r="W356" s="9"/>
      <c r="X356" s="4"/>
      <c r="Y356" s="6"/>
      <c r="Z356" s="9"/>
      <c r="AA356" s="4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10"/>
      <c r="AU356" s="9"/>
    </row>
    <row r="357" spans="1:47">
      <c r="A357" s="4"/>
      <c r="B357" s="4"/>
      <c r="C357" s="5"/>
      <c r="D357" s="5"/>
      <c r="E357" s="6"/>
      <c r="F357" s="4"/>
      <c r="G357" s="6"/>
      <c r="H357" s="7"/>
      <c r="I357" s="2"/>
      <c r="J357" s="2"/>
      <c r="K357" s="2"/>
      <c r="L357" s="2"/>
      <c r="M357" s="2"/>
      <c r="N357" s="2"/>
      <c r="O357" s="2"/>
      <c r="P357" s="2"/>
      <c r="Q357" s="2"/>
      <c r="R357" s="9"/>
      <c r="S357" s="4"/>
      <c r="T357" s="9"/>
      <c r="U357" s="9"/>
      <c r="V357" s="9"/>
      <c r="W357" s="9"/>
      <c r="X357" s="4"/>
      <c r="Y357" s="6"/>
      <c r="Z357" s="9"/>
      <c r="AA357" s="4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10"/>
      <c r="AU357" s="9"/>
    </row>
    <row r="358" spans="1:47">
      <c r="A358" s="4"/>
      <c r="B358" s="4"/>
      <c r="C358" s="5"/>
      <c r="D358" s="5"/>
      <c r="E358" s="6"/>
      <c r="F358" s="4"/>
      <c r="G358" s="6"/>
      <c r="H358" s="7"/>
      <c r="I358" s="2"/>
      <c r="J358" s="2"/>
      <c r="K358" s="2"/>
      <c r="L358" s="2"/>
      <c r="M358" s="2"/>
      <c r="N358" s="2"/>
      <c r="O358" s="2"/>
      <c r="P358" s="2"/>
      <c r="Q358" s="2"/>
      <c r="R358" s="9"/>
      <c r="S358" s="4"/>
      <c r="T358" s="9"/>
      <c r="U358" s="9"/>
      <c r="V358" s="9"/>
      <c r="W358" s="9"/>
      <c r="X358" s="4"/>
      <c r="Y358" s="6"/>
      <c r="Z358" s="9"/>
      <c r="AA358" s="4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10"/>
      <c r="AU358" s="9"/>
    </row>
    <row r="359" spans="1:47">
      <c r="A359" s="4"/>
      <c r="B359" s="4"/>
      <c r="C359" s="5"/>
      <c r="D359" s="5"/>
      <c r="E359" s="6"/>
      <c r="F359" s="4"/>
      <c r="G359" s="6"/>
      <c r="H359" s="7"/>
      <c r="I359" s="2"/>
      <c r="J359" s="2"/>
      <c r="K359" s="2"/>
      <c r="L359" s="2"/>
      <c r="M359" s="2"/>
      <c r="N359" s="2"/>
      <c r="O359" s="2"/>
      <c r="P359" s="2"/>
      <c r="Q359" s="2"/>
      <c r="R359" s="9"/>
      <c r="S359" s="4"/>
      <c r="T359" s="9"/>
      <c r="U359" s="9"/>
      <c r="V359" s="9"/>
      <c r="W359" s="9"/>
      <c r="X359" s="4"/>
      <c r="Y359" s="6"/>
      <c r="Z359" s="9"/>
      <c r="AA359" s="4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10"/>
      <c r="AU359" s="9"/>
    </row>
    <row r="360" spans="1:47">
      <c r="A360" s="4"/>
      <c r="B360" s="4"/>
      <c r="C360" s="5"/>
      <c r="D360" s="5"/>
      <c r="E360" s="6"/>
      <c r="F360" s="4"/>
      <c r="G360" s="6"/>
      <c r="H360" s="7"/>
      <c r="I360" s="2"/>
      <c r="J360" s="2"/>
      <c r="K360" s="2"/>
      <c r="L360" s="2"/>
      <c r="M360" s="2"/>
      <c r="N360" s="2"/>
      <c r="O360" s="2"/>
      <c r="P360" s="2"/>
      <c r="Q360" s="2"/>
      <c r="R360" s="9"/>
      <c r="S360" s="4"/>
      <c r="T360" s="9"/>
      <c r="U360" s="9"/>
      <c r="V360" s="9"/>
      <c r="W360" s="9"/>
      <c r="X360" s="4"/>
      <c r="Y360" s="6"/>
      <c r="Z360" s="9"/>
      <c r="AA360" s="4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10"/>
      <c r="AU360" s="9"/>
    </row>
    <row r="361" spans="1:47">
      <c r="A361" s="4"/>
      <c r="B361" s="4"/>
      <c r="C361" s="5"/>
      <c r="D361" s="5"/>
      <c r="E361" s="6"/>
      <c r="F361" s="4"/>
      <c r="G361" s="6"/>
      <c r="H361" s="7"/>
      <c r="I361" s="2"/>
      <c r="J361" s="2"/>
      <c r="K361" s="2"/>
      <c r="L361" s="2"/>
      <c r="M361" s="2"/>
      <c r="N361" s="2"/>
      <c r="O361" s="2"/>
      <c r="P361" s="2"/>
      <c r="Q361" s="2"/>
      <c r="R361" s="9"/>
      <c r="S361" s="4"/>
      <c r="T361" s="9"/>
      <c r="U361" s="9"/>
      <c r="V361" s="9"/>
      <c r="W361" s="9"/>
      <c r="X361" s="4"/>
      <c r="Y361" s="6"/>
      <c r="Z361" s="4"/>
      <c r="AA361" s="23"/>
      <c r="AB361" s="24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10"/>
      <c r="AU361" s="9"/>
    </row>
    <row r="362" spans="1:47">
      <c r="A362" s="4"/>
      <c r="B362" s="4"/>
      <c r="C362" s="5"/>
      <c r="D362" s="5"/>
      <c r="E362" s="6"/>
      <c r="F362" s="4"/>
      <c r="G362" s="6"/>
      <c r="H362" s="7"/>
      <c r="I362" s="7"/>
      <c r="J362" s="7"/>
      <c r="K362" s="7"/>
      <c r="L362" s="7"/>
      <c r="M362" s="2"/>
      <c r="N362" s="2"/>
      <c r="O362" s="2"/>
      <c r="P362" s="2"/>
      <c r="Q362" s="2"/>
      <c r="R362" s="9"/>
      <c r="S362" s="4"/>
      <c r="T362" s="9"/>
      <c r="U362" s="9"/>
      <c r="V362" s="9"/>
      <c r="W362" s="9"/>
      <c r="X362" s="4"/>
      <c r="Y362" s="6"/>
      <c r="Z362" s="4"/>
      <c r="AA362" s="23"/>
      <c r="AB362" s="24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10"/>
      <c r="AU362" s="9"/>
    </row>
    <row r="363" spans="1:47">
      <c r="A363" s="4"/>
      <c r="B363" s="4"/>
      <c r="C363" s="5"/>
      <c r="D363" s="5"/>
      <c r="E363" s="6"/>
      <c r="F363" s="4"/>
      <c r="G363" s="6"/>
      <c r="H363" s="7"/>
      <c r="I363" s="2"/>
      <c r="J363" s="2"/>
      <c r="K363" s="2"/>
      <c r="L363" s="2"/>
      <c r="M363" s="2"/>
      <c r="N363" s="2"/>
      <c r="O363" s="2"/>
      <c r="P363" s="2"/>
      <c r="Q363" s="2"/>
      <c r="R363" s="9"/>
      <c r="S363" s="4"/>
      <c r="T363" s="9"/>
      <c r="U363" s="9"/>
      <c r="V363" s="9"/>
      <c r="W363" s="9"/>
      <c r="X363" s="4"/>
      <c r="Y363" s="6"/>
      <c r="Z363" s="4"/>
      <c r="AA363" s="23"/>
      <c r="AB363" s="24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10"/>
      <c r="AU363" s="9"/>
    </row>
    <row r="364" spans="1:47">
      <c r="A364" s="4"/>
      <c r="B364" s="4"/>
      <c r="C364" s="5"/>
      <c r="D364" s="5"/>
      <c r="E364" s="6"/>
      <c r="F364" s="4"/>
      <c r="G364" s="6"/>
      <c r="H364" s="7"/>
      <c r="I364" s="7"/>
      <c r="J364" s="7"/>
      <c r="K364" s="7"/>
      <c r="L364" s="7"/>
      <c r="M364" s="2"/>
      <c r="N364" s="2"/>
      <c r="O364" s="2"/>
      <c r="P364" s="2"/>
      <c r="Q364" s="2"/>
      <c r="R364" s="9"/>
      <c r="S364" s="4"/>
      <c r="T364" s="9"/>
      <c r="U364" s="9"/>
      <c r="V364" s="9"/>
      <c r="W364" s="9"/>
      <c r="X364" s="4"/>
      <c r="Y364" s="6"/>
      <c r="Z364" s="4"/>
      <c r="AA364" s="23"/>
      <c r="AB364" s="24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10"/>
      <c r="AU364" s="9"/>
    </row>
    <row r="365" spans="1:47">
      <c r="A365" s="4"/>
      <c r="B365" s="4"/>
      <c r="C365" s="5"/>
      <c r="D365" s="5"/>
      <c r="E365" s="6"/>
      <c r="F365" s="4"/>
      <c r="G365" s="6"/>
      <c r="H365" s="7"/>
      <c r="I365" s="7"/>
      <c r="J365" s="7"/>
      <c r="K365" s="7"/>
      <c r="L365" s="7"/>
      <c r="M365" s="2"/>
      <c r="N365" s="2"/>
      <c r="O365" s="2"/>
      <c r="P365" s="2"/>
      <c r="Q365" s="2"/>
      <c r="R365" s="9"/>
      <c r="S365" s="4"/>
      <c r="T365" s="9"/>
      <c r="U365" s="9"/>
      <c r="V365" s="9"/>
      <c r="W365" s="9"/>
      <c r="X365" s="4"/>
      <c r="Y365" s="6"/>
      <c r="Z365" s="4"/>
      <c r="AA365" s="23"/>
      <c r="AB365" s="24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10"/>
      <c r="AU365" s="9"/>
    </row>
    <row r="366" spans="1:47">
      <c r="A366" s="4"/>
      <c r="B366" s="4"/>
      <c r="C366" s="5"/>
      <c r="D366" s="5"/>
      <c r="E366" s="6"/>
      <c r="F366" s="4"/>
      <c r="G366" s="6"/>
      <c r="H366" s="7"/>
      <c r="I366" s="2"/>
      <c r="J366" s="2"/>
      <c r="K366" s="2"/>
      <c r="L366" s="2"/>
      <c r="M366" s="2"/>
      <c r="N366" s="2"/>
      <c r="O366" s="2"/>
      <c r="P366" s="2"/>
      <c r="Q366" s="2"/>
      <c r="R366" s="9"/>
      <c r="S366" s="4"/>
      <c r="T366" s="9"/>
      <c r="U366" s="9"/>
      <c r="V366" s="9"/>
      <c r="W366" s="9"/>
      <c r="X366" s="4"/>
      <c r="Y366" s="6"/>
      <c r="Z366" s="4"/>
      <c r="AA366" s="23"/>
      <c r="AB366" s="24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10"/>
      <c r="AU366" s="9"/>
    </row>
    <row r="367" spans="1:47">
      <c r="A367" s="4"/>
      <c r="B367" s="4"/>
      <c r="C367" s="5"/>
      <c r="D367" s="5"/>
      <c r="E367" s="6"/>
      <c r="F367" s="4"/>
      <c r="G367" s="6"/>
      <c r="H367" s="7"/>
      <c r="I367" s="2"/>
      <c r="J367" s="2"/>
      <c r="K367" s="2"/>
      <c r="L367" s="2"/>
      <c r="M367" s="2"/>
      <c r="N367" s="2"/>
      <c r="O367" s="2"/>
      <c r="P367" s="2"/>
      <c r="Q367" s="2"/>
      <c r="R367" s="9"/>
      <c r="S367" s="4"/>
      <c r="T367" s="9"/>
      <c r="U367" s="9"/>
      <c r="V367" s="9"/>
      <c r="W367" s="9"/>
      <c r="X367" s="4"/>
      <c r="Y367" s="6"/>
      <c r="Z367" s="4"/>
      <c r="AA367" s="23"/>
      <c r="AB367" s="24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10"/>
      <c r="AU367" s="9"/>
    </row>
    <row r="368" spans="1:47">
      <c r="A368" s="4"/>
      <c r="B368" s="4"/>
      <c r="C368" s="5"/>
      <c r="D368" s="5"/>
      <c r="E368" s="6"/>
      <c r="F368" s="4"/>
      <c r="G368" s="6"/>
      <c r="H368" s="7"/>
      <c r="I368" s="2"/>
      <c r="J368" s="2"/>
      <c r="K368" s="2"/>
      <c r="L368" s="2"/>
      <c r="M368" s="2"/>
      <c r="N368" s="2"/>
      <c r="O368" s="2"/>
      <c r="P368" s="2"/>
      <c r="Q368" s="2"/>
      <c r="R368" s="9"/>
      <c r="S368" s="4"/>
      <c r="T368" s="9"/>
      <c r="U368" s="9"/>
      <c r="V368" s="9"/>
      <c r="W368" s="9"/>
      <c r="X368" s="4"/>
      <c r="Y368" s="6"/>
      <c r="Z368" s="4"/>
      <c r="AA368" s="23"/>
      <c r="AB368" s="24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10"/>
      <c r="AU368" s="9"/>
    </row>
    <row r="369" spans="1:47">
      <c r="A369" s="4"/>
      <c r="B369" s="4"/>
      <c r="C369" s="5"/>
      <c r="D369" s="5"/>
      <c r="E369" s="6"/>
      <c r="F369" s="4"/>
      <c r="G369" s="6"/>
      <c r="H369" s="7"/>
      <c r="I369" s="2"/>
      <c r="J369" s="2"/>
      <c r="K369" s="2"/>
      <c r="L369" s="2"/>
      <c r="M369" s="2"/>
      <c r="N369" s="2"/>
      <c r="O369" s="2"/>
      <c r="P369" s="2"/>
      <c r="Q369" s="2"/>
      <c r="R369" s="9"/>
      <c r="S369" s="4"/>
      <c r="T369" s="9"/>
      <c r="U369" s="9"/>
      <c r="V369" s="9"/>
      <c r="W369" s="9"/>
      <c r="X369" s="4"/>
      <c r="Y369" s="6"/>
      <c r="Z369" s="4"/>
      <c r="AA369" s="23"/>
      <c r="AB369" s="24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10"/>
      <c r="AU369" s="9"/>
    </row>
    <row r="370" spans="1:47">
      <c r="A370" s="4"/>
      <c r="B370" s="4"/>
      <c r="C370" s="5"/>
      <c r="D370" s="5"/>
      <c r="E370" s="6"/>
      <c r="F370" s="4"/>
      <c r="G370" s="6"/>
      <c r="H370" s="7"/>
      <c r="I370" s="2"/>
      <c r="J370" s="2"/>
      <c r="K370" s="2"/>
      <c r="L370" s="2"/>
      <c r="M370" s="2"/>
      <c r="N370" s="2"/>
      <c r="O370" s="2"/>
      <c r="P370" s="2"/>
      <c r="Q370" s="2"/>
      <c r="R370" s="9"/>
      <c r="S370" s="4"/>
      <c r="T370" s="9"/>
      <c r="U370" s="9"/>
      <c r="V370" s="9"/>
      <c r="W370" s="9"/>
      <c r="X370" s="4"/>
      <c r="Y370" s="6"/>
      <c r="Z370" s="4"/>
      <c r="AA370" s="23"/>
      <c r="AB370" s="24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10"/>
      <c r="AU370" s="9"/>
    </row>
    <row r="371" spans="1:47">
      <c r="A371" s="4"/>
      <c r="B371" s="4"/>
      <c r="C371" s="5"/>
      <c r="D371" s="5"/>
      <c r="E371" s="6"/>
      <c r="F371" s="4"/>
      <c r="G371" s="6"/>
      <c r="H371" s="7"/>
      <c r="I371" s="2"/>
      <c r="J371" s="2"/>
      <c r="K371" s="2"/>
      <c r="L371" s="2"/>
      <c r="M371" s="2"/>
      <c r="N371" s="2"/>
      <c r="O371" s="2"/>
      <c r="P371" s="2"/>
      <c r="Q371" s="2"/>
      <c r="R371" s="9"/>
      <c r="S371" s="4"/>
      <c r="T371" s="9"/>
      <c r="U371" s="9"/>
      <c r="V371" s="9"/>
      <c r="W371" s="9"/>
      <c r="X371" s="4"/>
      <c r="Y371" s="6"/>
      <c r="Z371" s="4"/>
      <c r="AA371" s="23"/>
      <c r="AB371" s="24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10"/>
      <c r="AU371" s="9"/>
    </row>
    <row r="372" spans="1:47">
      <c r="A372" s="4"/>
      <c r="B372" s="4"/>
      <c r="C372" s="5"/>
      <c r="D372" s="5"/>
      <c r="E372" s="6"/>
      <c r="F372" s="4"/>
      <c r="G372" s="6"/>
      <c r="H372" s="7"/>
      <c r="I372" s="7"/>
      <c r="J372" s="7"/>
      <c r="K372" s="7"/>
      <c r="L372" s="7"/>
      <c r="M372" s="2"/>
      <c r="N372" s="2"/>
      <c r="O372" s="2"/>
      <c r="P372" s="2"/>
      <c r="Q372" s="2"/>
      <c r="R372" s="9"/>
      <c r="S372" s="4"/>
      <c r="T372" s="9"/>
      <c r="U372" s="9"/>
      <c r="V372" s="9"/>
      <c r="W372" s="9"/>
      <c r="X372" s="4"/>
      <c r="Y372" s="6"/>
      <c r="Z372" s="4"/>
      <c r="AA372" s="23"/>
      <c r="AB372" s="24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10"/>
      <c r="AU372" s="9"/>
    </row>
    <row r="373" spans="1:47">
      <c r="A373" s="4"/>
      <c r="B373" s="4"/>
      <c r="C373" s="5"/>
      <c r="D373" s="5"/>
      <c r="E373" s="6"/>
      <c r="F373" s="4"/>
      <c r="G373" s="6"/>
      <c r="H373" s="7"/>
      <c r="I373" s="2"/>
      <c r="J373" s="2"/>
      <c r="K373" s="2"/>
      <c r="L373" s="2"/>
      <c r="M373" s="2"/>
      <c r="N373" s="2"/>
      <c r="O373" s="2"/>
      <c r="P373" s="2"/>
      <c r="Q373" s="2"/>
      <c r="R373" s="9"/>
      <c r="S373" s="4"/>
      <c r="T373" s="9"/>
      <c r="U373" s="9"/>
      <c r="V373" s="9"/>
      <c r="W373" s="9"/>
      <c r="X373" s="4"/>
      <c r="Y373" s="6"/>
      <c r="Z373" s="4"/>
      <c r="AA373" s="4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10"/>
      <c r="AU373" s="9"/>
    </row>
    <row r="374" spans="1:47">
      <c r="A374" s="4"/>
      <c r="B374" s="4"/>
      <c r="C374" s="5"/>
      <c r="D374" s="5"/>
      <c r="E374" s="6"/>
      <c r="F374" s="4"/>
      <c r="G374" s="6"/>
      <c r="H374" s="7"/>
      <c r="I374" s="2"/>
      <c r="J374" s="2"/>
      <c r="K374" s="2"/>
      <c r="L374" s="2"/>
      <c r="M374" s="2"/>
      <c r="N374" s="2"/>
      <c r="O374" s="2"/>
      <c r="P374" s="2"/>
      <c r="Q374" s="2"/>
      <c r="R374" s="9"/>
      <c r="S374" s="4"/>
      <c r="T374" s="9"/>
      <c r="U374" s="9"/>
      <c r="V374" s="9"/>
      <c r="W374" s="9"/>
      <c r="X374" s="4"/>
      <c r="Y374" s="6"/>
      <c r="Z374" s="9"/>
      <c r="AA374" s="4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10"/>
      <c r="AU374" s="9"/>
    </row>
    <row r="375" spans="1:47">
      <c r="A375" s="4"/>
      <c r="B375" s="4"/>
      <c r="C375" s="5"/>
      <c r="D375" s="5"/>
      <c r="E375" s="6"/>
      <c r="F375" s="4"/>
      <c r="G375" s="6"/>
      <c r="H375" s="7"/>
      <c r="I375" s="2"/>
      <c r="J375" s="2"/>
      <c r="K375" s="2"/>
      <c r="L375" s="2"/>
      <c r="M375" s="2"/>
      <c r="N375" s="2"/>
      <c r="O375" s="2"/>
      <c r="P375" s="2"/>
      <c r="Q375" s="2"/>
      <c r="R375" s="9"/>
      <c r="S375" s="4"/>
      <c r="T375" s="9"/>
      <c r="U375" s="9"/>
      <c r="V375" s="9"/>
      <c r="W375" s="9"/>
      <c r="X375" s="4"/>
      <c r="Y375" s="6"/>
      <c r="Z375" s="9"/>
      <c r="AA375" s="4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10"/>
      <c r="AU375" s="9"/>
    </row>
    <row r="376" spans="1:47">
      <c r="A376" s="4"/>
      <c r="B376" s="4"/>
      <c r="C376" s="5"/>
      <c r="D376" s="5"/>
      <c r="E376" s="6"/>
      <c r="F376" s="4"/>
      <c r="G376" s="6"/>
      <c r="H376" s="7"/>
      <c r="I376" s="2"/>
      <c r="J376" s="2"/>
      <c r="K376" s="2"/>
      <c r="L376" s="2"/>
      <c r="M376" s="2"/>
      <c r="N376" s="2"/>
      <c r="O376" s="2"/>
      <c r="P376" s="2"/>
      <c r="Q376" s="2"/>
      <c r="R376" s="9"/>
      <c r="S376" s="4"/>
      <c r="T376" s="9"/>
      <c r="U376" s="9"/>
      <c r="V376" s="9"/>
      <c r="W376" s="9"/>
      <c r="X376" s="4"/>
      <c r="Y376" s="6"/>
      <c r="Z376" s="9"/>
      <c r="AA376" s="4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10"/>
      <c r="AU376" s="9"/>
    </row>
    <row r="377" spans="1:47">
      <c r="A377" s="4"/>
      <c r="B377" s="4"/>
      <c r="C377" s="5"/>
      <c r="D377" s="5"/>
      <c r="E377" s="6"/>
      <c r="F377" s="4"/>
      <c r="G377" s="6"/>
      <c r="H377" s="7"/>
      <c r="I377" s="2"/>
      <c r="J377" s="2"/>
      <c r="K377" s="2"/>
      <c r="L377" s="2"/>
      <c r="M377" s="2"/>
      <c r="N377" s="2"/>
      <c r="O377" s="2"/>
      <c r="P377" s="2"/>
      <c r="Q377" s="2"/>
      <c r="R377" s="9"/>
      <c r="S377" s="4"/>
      <c r="T377" s="9"/>
      <c r="U377" s="9"/>
      <c r="V377" s="9"/>
      <c r="W377" s="9"/>
      <c r="X377" s="4"/>
      <c r="Y377" s="6"/>
      <c r="Z377" s="9"/>
      <c r="AA377" s="4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10"/>
      <c r="AU377" s="9"/>
    </row>
    <row r="378" spans="1:47">
      <c r="A378" s="4"/>
      <c r="B378" s="4"/>
      <c r="C378" s="5"/>
      <c r="D378" s="5"/>
      <c r="E378" s="6"/>
      <c r="F378" s="4"/>
      <c r="G378" s="6"/>
      <c r="H378" s="7"/>
      <c r="I378" s="2"/>
      <c r="J378" s="2"/>
      <c r="K378" s="2"/>
      <c r="L378" s="2"/>
      <c r="M378" s="2"/>
      <c r="N378" s="2"/>
      <c r="O378" s="2"/>
      <c r="P378" s="2"/>
      <c r="Q378" s="2"/>
      <c r="R378" s="9"/>
      <c r="S378" s="4"/>
      <c r="T378" s="9"/>
      <c r="U378" s="9"/>
      <c r="V378" s="9"/>
      <c r="W378" s="9"/>
      <c r="X378" s="4"/>
      <c r="Y378" s="6"/>
      <c r="Z378" s="9"/>
      <c r="AA378" s="4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10"/>
      <c r="AU378" s="9"/>
    </row>
    <row r="379" spans="1:47">
      <c r="A379" s="4"/>
      <c r="B379" s="4"/>
      <c r="C379" s="5"/>
      <c r="D379" s="5"/>
      <c r="E379" s="6"/>
      <c r="F379" s="4"/>
      <c r="G379" s="6"/>
      <c r="H379" s="7"/>
      <c r="I379" s="2"/>
      <c r="J379" s="2"/>
      <c r="K379" s="2"/>
      <c r="L379" s="2"/>
      <c r="M379" s="2"/>
      <c r="N379" s="2"/>
      <c r="O379" s="2"/>
      <c r="P379" s="2"/>
      <c r="Q379" s="2"/>
      <c r="R379" s="9"/>
      <c r="S379" s="4"/>
      <c r="T379" s="9"/>
      <c r="U379" s="9"/>
      <c r="V379" s="9"/>
      <c r="W379" s="9"/>
      <c r="X379" s="4"/>
      <c r="Y379" s="6"/>
      <c r="Z379" s="9"/>
      <c r="AA379" s="4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10"/>
      <c r="AU379" s="9"/>
    </row>
    <row r="380" spans="1:47">
      <c r="A380" s="4"/>
      <c r="B380" s="4"/>
      <c r="C380" s="5"/>
      <c r="D380" s="5"/>
      <c r="E380" s="6"/>
      <c r="F380" s="4"/>
      <c r="G380" s="6"/>
      <c r="H380" s="7"/>
      <c r="I380" s="2"/>
      <c r="J380" s="2"/>
      <c r="K380" s="2"/>
      <c r="L380" s="2"/>
      <c r="M380" s="2"/>
      <c r="N380" s="2"/>
      <c r="O380" s="2"/>
      <c r="P380" s="2"/>
      <c r="Q380" s="2"/>
      <c r="R380" s="9"/>
      <c r="S380" s="4"/>
      <c r="T380" s="9"/>
      <c r="U380" s="9"/>
      <c r="V380" s="9"/>
      <c r="W380" s="9"/>
      <c r="X380" s="4"/>
      <c r="Y380" s="6"/>
      <c r="Z380" s="9"/>
      <c r="AA380" s="4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10"/>
      <c r="AU380" s="9"/>
    </row>
    <row r="381" spans="1:47">
      <c r="A381" s="4"/>
      <c r="B381" s="4"/>
      <c r="C381" s="5"/>
      <c r="D381" s="5"/>
      <c r="E381" s="6"/>
      <c r="F381" s="4"/>
      <c r="G381" s="6"/>
      <c r="H381" s="7"/>
      <c r="I381" s="2"/>
      <c r="J381" s="2"/>
      <c r="K381" s="2"/>
      <c r="L381" s="2"/>
      <c r="M381" s="2"/>
      <c r="N381" s="2"/>
      <c r="O381" s="2"/>
      <c r="P381" s="2"/>
      <c r="Q381" s="2"/>
      <c r="R381" s="9"/>
      <c r="S381" s="4"/>
      <c r="T381" s="9"/>
      <c r="U381" s="9"/>
      <c r="V381" s="9"/>
      <c r="W381" s="9"/>
      <c r="X381" s="4"/>
      <c r="Y381" s="6"/>
      <c r="Z381" s="9"/>
      <c r="AA381" s="4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10"/>
      <c r="AU381" s="9"/>
    </row>
    <row r="382" spans="1:47">
      <c r="A382" s="4"/>
      <c r="B382" s="4"/>
      <c r="C382" s="5"/>
      <c r="D382" s="5"/>
      <c r="E382" s="6"/>
      <c r="F382" s="4"/>
      <c r="G382" s="6"/>
      <c r="H382" s="7"/>
      <c r="I382" s="2"/>
      <c r="J382" s="2"/>
      <c r="K382" s="2"/>
      <c r="L382" s="2"/>
      <c r="M382" s="2"/>
      <c r="N382" s="2"/>
      <c r="O382" s="2"/>
      <c r="P382" s="2"/>
      <c r="Q382" s="2"/>
      <c r="R382" s="9"/>
      <c r="S382" s="4"/>
      <c r="T382" s="9"/>
      <c r="U382" s="9"/>
      <c r="V382" s="9"/>
      <c r="W382" s="9"/>
      <c r="X382" s="4"/>
      <c r="Y382" s="6"/>
      <c r="Z382" s="9"/>
      <c r="AA382" s="4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10"/>
      <c r="AU382" s="9"/>
    </row>
    <row r="383" spans="1:47">
      <c r="A383" s="4"/>
      <c r="B383" s="4"/>
      <c r="C383" s="5"/>
      <c r="D383" s="5"/>
      <c r="E383" s="6"/>
      <c r="F383" s="4"/>
      <c r="G383" s="6"/>
      <c r="H383" s="7"/>
      <c r="I383" s="2"/>
      <c r="J383" s="2"/>
      <c r="K383" s="2"/>
      <c r="L383" s="2"/>
      <c r="M383" s="2"/>
      <c r="N383" s="2"/>
      <c r="O383" s="2"/>
      <c r="P383" s="2"/>
      <c r="Q383" s="2"/>
      <c r="R383" s="9"/>
      <c r="S383" s="4"/>
      <c r="T383" s="9"/>
      <c r="U383" s="9"/>
      <c r="V383" s="9"/>
      <c r="W383" s="9"/>
      <c r="X383" s="4"/>
      <c r="Y383" s="6"/>
      <c r="Z383" s="9"/>
      <c r="AA383" s="4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10"/>
      <c r="AU383" s="9"/>
    </row>
    <row r="384" spans="1:47">
      <c r="A384" s="4"/>
      <c r="B384" s="4"/>
      <c r="C384" s="5"/>
      <c r="D384" s="5"/>
      <c r="E384" s="6"/>
      <c r="F384" s="4"/>
      <c r="G384" s="6"/>
      <c r="H384" s="7"/>
      <c r="I384" s="2"/>
      <c r="J384" s="2"/>
      <c r="K384" s="2"/>
      <c r="L384" s="2"/>
      <c r="M384" s="2"/>
      <c r="N384" s="2"/>
      <c r="O384" s="2"/>
      <c r="P384" s="2"/>
      <c r="Q384" s="2"/>
      <c r="R384" s="9"/>
      <c r="S384" s="4"/>
      <c r="T384" s="9"/>
      <c r="U384" s="9"/>
      <c r="V384" s="9"/>
      <c r="W384" s="9"/>
      <c r="X384" s="4"/>
      <c r="Y384" s="6"/>
      <c r="Z384" s="9"/>
      <c r="AA384" s="4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10"/>
      <c r="AU384" s="9"/>
    </row>
    <row r="385" spans="1:47">
      <c r="A385" s="4"/>
      <c r="B385" s="4"/>
      <c r="C385" s="5"/>
      <c r="D385" s="5"/>
      <c r="E385" s="6"/>
      <c r="F385" s="4"/>
      <c r="G385" s="6"/>
      <c r="H385" s="7"/>
      <c r="I385" s="2"/>
      <c r="J385" s="2"/>
      <c r="K385" s="2"/>
      <c r="L385" s="2"/>
      <c r="M385" s="2"/>
      <c r="N385" s="2"/>
      <c r="O385" s="2"/>
      <c r="P385" s="2"/>
      <c r="Q385" s="2"/>
      <c r="R385" s="9"/>
      <c r="S385" s="4"/>
      <c r="T385" s="9"/>
      <c r="U385" s="9"/>
      <c r="V385" s="9"/>
      <c r="W385" s="9"/>
      <c r="X385" s="4"/>
      <c r="Y385" s="6"/>
      <c r="Z385" s="9"/>
      <c r="AA385" s="4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10"/>
      <c r="AU385" s="9"/>
    </row>
    <row r="386" spans="1:47">
      <c r="A386" s="4"/>
      <c r="B386" s="4"/>
      <c r="C386" s="5"/>
      <c r="D386" s="5"/>
      <c r="E386" s="6"/>
      <c r="F386" s="4"/>
      <c r="G386" s="6"/>
      <c r="H386" s="7"/>
      <c r="I386" s="2"/>
      <c r="J386" s="2"/>
      <c r="K386" s="2"/>
      <c r="L386" s="2"/>
      <c r="M386" s="2"/>
      <c r="N386" s="2"/>
      <c r="O386" s="2"/>
      <c r="P386" s="2"/>
      <c r="Q386" s="2"/>
      <c r="R386" s="9"/>
      <c r="S386" s="4"/>
      <c r="T386" s="9"/>
      <c r="U386" s="9"/>
      <c r="V386" s="9"/>
      <c r="W386" s="9"/>
      <c r="X386" s="4"/>
      <c r="Y386" s="6"/>
      <c r="Z386" s="9"/>
      <c r="AA386" s="4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10"/>
      <c r="AU386" s="9"/>
    </row>
    <row r="387" spans="1:47">
      <c r="A387" s="4"/>
      <c r="B387" s="4"/>
      <c r="C387" s="5"/>
      <c r="D387" s="5"/>
      <c r="E387" s="6"/>
      <c r="F387" s="4"/>
      <c r="G387" s="6"/>
      <c r="H387" s="7"/>
      <c r="I387" s="2"/>
      <c r="J387" s="2"/>
      <c r="K387" s="2"/>
      <c r="L387" s="2"/>
      <c r="M387" s="2"/>
      <c r="N387" s="2"/>
      <c r="O387" s="2"/>
      <c r="P387" s="2"/>
      <c r="Q387" s="2"/>
      <c r="R387" s="9"/>
      <c r="S387" s="4"/>
      <c r="T387" s="9"/>
      <c r="U387" s="9"/>
      <c r="V387" s="9"/>
      <c r="W387" s="9"/>
      <c r="X387" s="4"/>
      <c r="Y387" s="6"/>
      <c r="Z387" s="9"/>
      <c r="AA387" s="4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10"/>
      <c r="AU387" s="9"/>
    </row>
    <row r="388" spans="1:47">
      <c r="A388" s="4"/>
      <c r="B388" s="4"/>
      <c r="C388" s="5"/>
      <c r="D388" s="5"/>
      <c r="E388" s="6"/>
      <c r="F388" s="4"/>
      <c r="G388" s="6"/>
      <c r="H388" s="7"/>
      <c r="I388" s="2"/>
      <c r="J388" s="2"/>
      <c r="K388" s="2"/>
      <c r="L388" s="2"/>
      <c r="M388" s="2"/>
      <c r="N388" s="2"/>
      <c r="O388" s="2"/>
      <c r="P388" s="2"/>
      <c r="Q388" s="2"/>
      <c r="R388" s="9"/>
      <c r="S388" s="4"/>
      <c r="T388" s="9"/>
      <c r="U388" s="9"/>
      <c r="V388" s="9"/>
      <c r="W388" s="9"/>
      <c r="X388" s="4"/>
      <c r="Y388" s="6"/>
      <c r="Z388" s="9"/>
      <c r="AA388" s="4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10"/>
      <c r="AU388" s="9"/>
    </row>
    <row r="389" spans="1:47">
      <c r="A389" s="4"/>
      <c r="B389" s="4"/>
      <c r="C389" s="5"/>
      <c r="D389" s="5"/>
      <c r="E389" s="6"/>
      <c r="F389" s="4"/>
      <c r="G389" s="6"/>
      <c r="H389" s="7"/>
      <c r="I389" s="2"/>
      <c r="J389" s="2"/>
      <c r="K389" s="2"/>
      <c r="L389" s="2"/>
      <c r="M389" s="2"/>
      <c r="N389" s="2"/>
      <c r="O389" s="2"/>
      <c r="P389" s="2"/>
      <c r="Q389" s="2"/>
      <c r="R389" s="9"/>
      <c r="S389" s="4"/>
      <c r="T389" s="9"/>
      <c r="U389" s="9"/>
      <c r="V389" s="9"/>
      <c r="W389" s="9"/>
      <c r="X389" s="4"/>
      <c r="Y389" s="6"/>
      <c r="Z389" s="9"/>
      <c r="AA389" s="4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10"/>
      <c r="AU389" s="9"/>
    </row>
    <row r="390" spans="1:47">
      <c r="A390" s="4"/>
      <c r="B390" s="4"/>
      <c r="C390" s="5"/>
      <c r="D390" s="5"/>
      <c r="E390" s="6"/>
      <c r="F390" s="4"/>
      <c r="G390" s="6"/>
      <c r="H390" s="7"/>
      <c r="I390" s="2"/>
      <c r="J390" s="2"/>
      <c r="K390" s="2"/>
      <c r="L390" s="2"/>
      <c r="M390" s="2"/>
      <c r="N390" s="2"/>
      <c r="O390" s="2"/>
      <c r="P390" s="2"/>
      <c r="Q390" s="2"/>
      <c r="R390" s="9"/>
      <c r="S390" s="4"/>
      <c r="T390" s="9"/>
      <c r="U390" s="9"/>
      <c r="V390" s="9"/>
      <c r="W390" s="9"/>
      <c r="X390" s="4"/>
      <c r="Y390" s="6"/>
      <c r="Z390" s="9"/>
      <c r="AA390" s="4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10"/>
      <c r="AU390" s="9"/>
    </row>
    <row r="391" spans="1:47">
      <c r="A391" s="4"/>
      <c r="B391" s="4"/>
      <c r="C391" s="5"/>
      <c r="D391" s="5"/>
      <c r="E391" s="6"/>
      <c r="F391" s="4"/>
      <c r="G391" s="6"/>
      <c r="H391" s="7"/>
      <c r="I391" s="2"/>
      <c r="J391" s="2"/>
      <c r="K391" s="2"/>
      <c r="L391" s="2"/>
      <c r="M391" s="2"/>
      <c r="N391" s="2"/>
      <c r="O391" s="2"/>
      <c r="P391" s="2"/>
      <c r="Q391" s="2"/>
      <c r="R391" s="9"/>
      <c r="S391" s="4"/>
      <c r="T391" s="9"/>
      <c r="U391" s="9"/>
      <c r="V391" s="9"/>
      <c r="W391" s="9"/>
      <c r="X391" s="4"/>
      <c r="Y391" s="6"/>
      <c r="Z391" s="9"/>
      <c r="AA391" s="4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10"/>
      <c r="AU391" s="9"/>
    </row>
    <row r="392" spans="1:47">
      <c r="A392" s="4"/>
      <c r="B392" s="4"/>
      <c r="C392" s="5"/>
      <c r="D392" s="5"/>
      <c r="E392" s="6"/>
      <c r="F392" s="4"/>
      <c r="G392" s="6"/>
      <c r="H392" s="7"/>
      <c r="I392" s="2"/>
      <c r="J392" s="2"/>
      <c r="K392" s="2"/>
      <c r="L392" s="2"/>
      <c r="M392" s="2"/>
      <c r="N392" s="2"/>
      <c r="O392" s="2"/>
      <c r="P392" s="2"/>
      <c r="Q392" s="2"/>
      <c r="R392" s="9"/>
      <c r="S392" s="4"/>
      <c r="T392" s="9"/>
      <c r="U392" s="9"/>
      <c r="V392" s="9"/>
      <c r="W392" s="9"/>
      <c r="X392" s="4"/>
      <c r="Y392" s="6"/>
      <c r="Z392" s="9"/>
      <c r="AA392" s="4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10"/>
      <c r="AU392" s="9"/>
    </row>
    <row r="393" spans="1:47">
      <c r="A393" s="4"/>
      <c r="B393" s="4"/>
      <c r="C393" s="5"/>
      <c r="D393" s="5"/>
      <c r="E393" s="6"/>
      <c r="F393" s="4"/>
      <c r="G393" s="6"/>
      <c r="H393" s="7"/>
      <c r="I393" s="2"/>
      <c r="J393" s="2"/>
      <c r="K393" s="2"/>
      <c r="L393" s="2"/>
      <c r="M393" s="2"/>
      <c r="N393" s="2"/>
      <c r="O393" s="2"/>
      <c r="P393" s="2"/>
      <c r="Q393" s="2"/>
      <c r="R393" s="9"/>
      <c r="S393" s="4"/>
      <c r="T393" s="9"/>
      <c r="U393" s="9"/>
      <c r="V393" s="9"/>
      <c r="W393" s="9"/>
      <c r="X393" s="4"/>
      <c r="Y393" s="6"/>
      <c r="Z393" s="9"/>
      <c r="AA393" s="4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10"/>
      <c r="AU393" s="9"/>
    </row>
    <row r="394" spans="1:47">
      <c r="A394" s="4"/>
      <c r="B394" s="4"/>
      <c r="C394" s="5"/>
      <c r="D394" s="5"/>
      <c r="E394" s="6"/>
      <c r="F394" s="4"/>
      <c r="G394" s="6"/>
      <c r="H394" s="7"/>
      <c r="I394" s="2"/>
      <c r="J394" s="2"/>
      <c r="K394" s="2"/>
      <c r="L394" s="2"/>
      <c r="M394" s="2"/>
      <c r="N394" s="2"/>
      <c r="O394" s="2"/>
      <c r="P394" s="2"/>
      <c r="Q394" s="2"/>
      <c r="R394" s="9"/>
      <c r="S394" s="4"/>
      <c r="T394" s="9"/>
      <c r="U394" s="9"/>
      <c r="V394" s="9"/>
      <c r="W394" s="9"/>
      <c r="X394" s="4"/>
      <c r="Y394" s="6"/>
      <c r="Z394" s="4"/>
      <c r="AA394" s="4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10"/>
      <c r="AU394" s="9"/>
    </row>
    <row r="395" spans="1:47">
      <c r="A395" s="4"/>
      <c r="B395" s="4"/>
      <c r="C395" s="5"/>
      <c r="D395" s="5"/>
      <c r="E395" s="6"/>
      <c r="F395" s="4"/>
      <c r="G395" s="6"/>
      <c r="H395" s="7"/>
      <c r="I395" s="7"/>
      <c r="J395" s="7"/>
      <c r="K395" s="7"/>
      <c r="L395" s="7"/>
      <c r="M395" s="2"/>
      <c r="N395" s="2"/>
      <c r="O395" s="2"/>
      <c r="P395" s="2"/>
      <c r="Q395" s="2"/>
      <c r="R395" s="9"/>
      <c r="S395" s="4"/>
      <c r="T395" s="9"/>
      <c r="U395" s="9"/>
      <c r="V395" s="9"/>
      <c r="W395" s="9"/>
      <c r="X395" s="4"/>
      <c r="Y395" s="6"/>
      <c r="Z395" s="4"/>
      <c r="AA395" s="23"/>
      <c r="AB395" s="24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10"/>
      <c r="AU395" s="9"/>
    </row>
    <row r="396" spans="1:47">
      <c r="A396" s="4"/>
      <c r="B396" s="4"/>
      <c r="C396" s="5"/>
      <c r="D396" s="5"/>
      <c r="E396" s="6"/>
      <c r="F396" s="4"/>
      <c r="G396" s="6"/>
      <c r="H396" s="7"/>
      <c r="I396" s="2"/>
      <c r="J396" s="2"/>
      <c r="K396" s="2"/>
      <c r="L396" s="2"/>
      <c r="M396" s="2"/>
      <c r="N396" s="2"/>
      <c r="O396" s="2"/>
      <c r="P396" s="2"/>
      <c r="Q396" s="2"/>
      <c r="R396" s="9"/>
      <c r="S396" s="4"/>
      <c r="T396" s="9"/>
      <c r="U396" s="9"/>
      <c r="V396" s="9"/>
      <c r="W396" s="9"/>
      <c r="X396" s="4"/>
      <c r="Y396" s="6"/>
      <c r="Z396" s="9"/>
      <c r="AA396" s="4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10"/>
      <c r="AU396" s="9"/>
    </row>
    <row r="397" spans="1:47">
      <c r="A397" s="4"/>
      <c r="B397" s="4"/>
      <c r="C397" s="5"/>
      <c r="D397" s="5"/>
      <c r="E397" s="6"/>
      <c r="F397" s="4"/>
      <c r="G397" s="6"/>
      <c r="H397" s="7"/>
      <c r="I397" s="2"/>
      <c r="J397" s="2"/>
      <c r="K397" s="2"/>
      <c r="L397" s="2"/>
      <c r="M397" s="2"/>
      <c r="N397" s="2"/>
      <c r="O397" s="2"/>
      <c r="P397" s="2"/>
      <c r="Q397" s="2"/>
      <c r="R397" s="9"/>
      <c r="S397" s="4"/>
      <c r="T397" s="9"/>
      <c r="U397" s="9"/>
      <c r="V397" s="9"/>
      <c r="W397" s="9"/>
      <c r="X397" s="4"/>
      <c r="Y397" s="6"/>
      <c r="Z397" s="9"/>
      <c r="AA397" s="4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10"/>
      <c r="AU397" s="9"/>
    </row>
    <row r="398" spans="1:47">
      <c r="A398" s="4"/>
      <c r="B398" s="4"/>
      <c r="C398" s="5"/>
      <c r="D398" s="5"/>
      <c r="E398" s="6"/>
      <c r="F398" s="4"/>
      <c r="G398" s="6"/>
      <c r="H398" s="7"/>
      <c r="I398" s="2"/>
      <c r="J398" s="2"/>
      <c r="K398" s="2"/>
      <c r="L398" s="2"/>
      <c r="M398" s="2"/>
      <c r="N398" s="2"/>
      <c r="O398" s="2"/>
      <c r="P398" s="2"/>
      <c r="Q398" s="2"/>
      <c r="R398" s="9"/>
      <c r="S398" s="4"/>
      <c r="T398" s="9"/>
      <c r="U398" s="9"/>
      <c r="V398" s="9"/>
      <c r="W398" s="9"/>
      <c r="X398" s="4"/>
      <c r="Y398" s="6"/>
      <c r="Z398" s="9"/>
      <c r="AA398" s="4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10"/>
      <c r="AU398" s="9"/>
    </row>
    <row r="399" spans="1:47">
      <c r="A399" s="4"/>
      <c r="B399" s="4"/>
      <c r="C399" s="5"/>
      <c r="D399" s="5"/>
      <c r="E399" s="6"/>
      <c r="F399" s="4"/>
      <c r="G399" s="6"/>
      <c r="H399" s="7"/>
      <c r="I399" s="2"/>
      <c r="J399" s="2"/>
      <c r="K399" s="2"/>
      <c r="L399" s="2"/>
      <c r="M399" s="2"/>
      <c r="N399" s="2"/>
      <c r="O399" s="2"/>
      <c r="P399" s="2"/>
      <c r="Q399" s="2"/>
      <c r="R399" s="9"/>
      <c r="S399" s="4"/>
      <c r="T399" s="9"/>
      <c r="U399" s="9"/>
      <c r="V399" s="9"/>
      <c r="W399" s="9"/>
      <c r="X399" s="4"/>
      <c r="Y399" s="6"/>
      <c r="Z399" s="9"/>
      <c r="AA399" s="4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10"/>
      <c r="AU399" s="9"/>
    </row>
    <row r="400" spans="1:47">
      <c r="A400" s="4"/>
      <c r="B400" s="4"/>
      <c r="C400" s="5"/>
      <c r="D400" s="5"/>
      <c r="E400" s="6"/>
      <c r="F400" s="4"/>
      <c r="G400" s="6"/>
      <c r="H400" s="7"/>
      <c r="I400" s="2"/>
      <c r="J400" s="2"/>
      <c r="K400" s="2"/>
      <c r="L400" s="2"/>
      <c r="M400" s="2"/>
      <c r="N400" s="2"/>
      <c r="O400" s="2"/>
      <c r="P400" s="2"/>
      <c r="Q400" s="2"/>
      <c r="R400" s="9"/>
      <c r="S400" s="4"/>
      <c r="T400" s="9"/>
      <c r="U400" s="9"/>
      <c r="V400" s="9"/>
      <c r="W400" s="9"/>
      <c r="X400" s="4"/>
      <c r="Y400" s="6"/>
      <c r="Z400" s="9"/>
      <c r="AA400" s="4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10"/>
      <c r="AU400" s="9"/>
    </row>
    <row r="401" spans="1:47">
      <c r="A401" s="4"/>
      <c r="B401" s="4"/>
      <c r="C401" s="5"/>
      <c r="D401" s="5"/>
      <c r="E401" s="6"/>
      <c r="F401" s="4"/>
      <c r="G401" s="6"/>
      <c r="H401" s="7"/>
      <c r="I401" s="2"/>
      <c r="J401" s="2"/>
      <c r="K401" s="2"/>
      <c r="L401" s="2"/>
      <c r="M401" s="2"/>
      <c r="N401" s="2"/>
      <c r="O401" s="2"/>
      <c r="P401" s="2"/>
      <c r="Q401" s="2"/>
      <c r="R401" s="9"/>
      <c r="S401" s="4"/>
      <c r="T401" s="9"/>
      <c r="U401" s="9"/>
      <c r="V401" s="9"/>
      <c r="W401" s="9"/>
      <c r="X401" s="4"/>
      <c r="Y401" s="6"/>
      <c r="Z401" s="9"/>
      <c r="AA401" s="4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10"/>
      <c r="AU401" s="9"/>
    </row>
    <row r="402" spans="1:47">
      <c r="A402" s="4"/>
      <c r="B402" s="4"/>
      <c r="C402" s="5"/>
      <c r="D402" s="5"/>
      <c r="E402" s="6"/>
      <c r="F402" s="4"/>
      <c r="G402" s="6"/>
      <c r="H402" s="7"/>
      <c r="I402" s="2"/>
      <c r="J402" s="2"/>
      <c r="K402" s="2"/>
      <c r="L402" s="2"/>
      <c r="M402" s="2"/>
      <c r="N402" s="2"/>
      <c r="O402" s="2"/>
      <c r="P402" s="2"/>
      <c r="Q402" s="2"/>
      <c r="R402" s="9"/>
      <c r="S402" s="4"/>
      <c r="T402" s="9"/>
      <c r="U402" s="9"/>
      <c r="V402" s="9"/>
      <c r="W402" s="9"/>
      <c r="X402" s="4"/>
      <c r="Y402" s="6"/>
      <c r="Z402" s="9"/>
      <c r="AA402" s="4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10"/>
      <c r="AU402" s="9"/>
    </row>
    <row r="403" spans="1:47">
      <c r="A403" s="4"/>
      <c r="B403" s="4"/>
      <c r="C403" s="5"/>
      <c r="D403" s="5"/>
      <c r="E403" s="6"/>
      <c r="F403" s="4"/>
      <c r="G403" s="6"/>
      <c r="H403" s="7"/>
      <c r="I403" s="2"/>
      <c r="J403" s="2"/>
      <c r="K403" s="2"/>
      <c r="L403" s="2"/>
      <c r="M403" s="2"/>
      <c r="N403" s="2"/>
      <c r="O403" s="2"/>
      <c r="P403" s="2"/>
      <c r="Q403" s="2"/>
      <c r="R403" s="9"/>
      <c r="S403" s="4"/>
      <c r="T403" s="9"/>
      <c r="U403" s="9"/>
      <c r="V403" s="9"/>
      <c r="W403" s="9"/>
      <c r="X403" s="4"/>
      <c r="Y403" s="6"/>
      <c r="Z403" s="9"/>
      <c r="AA403" s="4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10"/>
      <c r="AU403" s="9"/>
    </row>
    <row r="404" spans="1:47">
      <c r="A404" s="4"/>
      <c r="B404" s="4"/>
      <c r="C404" s="5"/>
      <c r="D404" s="5"/>
      <c r="E404" s="6"/>
      <c r="F404" s="4"/>
      <c r="G404" s="6"/>
      <c r="H404" s="7"/>
      <c r="I404" s="2"/>
      <c r="J404" s="2"/>
      <c r="K404" s="2"/>
      <c r="L404" s="2"/>
      <c r="M404" s="2"/>
      <c r="N404" s="2"/>
      <c r="O404" s="2"/>
      <c r="P404" s="2"/>
      <c r="Q404" s="2"/>
      <c r="R404" s="9"/>
      <c r="S404" s="4"/>
      <c r="T404" s="9"/>
      <c r="U404" s="9"/>
      <c r="V404" s="9"/>
      <c r="W404" s="9"/>
      <c r="X404" s="4"/>
      <c r="Y404" s="6"/>
      <c r="Z404" s="9"/>
      <c r="AA404" s="4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10"/>
      <c r="AU404" s="9"/>
    </row>
    <row r="405" spans="1:47">
      <c r="A405" s="4"/>
      <c r="B405" s="4"/>
      <c r="C405" s="5"/>
      <c r="D405" s="5"/>
      <c r="E405" s="6"/>
      <c r="F405" s="4"/>
      <c r="G405" s="6"/>
      <c r="H405" s="7"/>
      <c r="I405" s="2"/>
      <c r="J405" s="2"/>
      <c r="K405" s="2"/>
      <c r="L405" s="2"/>
      <c r="M405" s="2"/>
      <c r="N405" s="2"/>
      <c r="O405" s="2"/>
      <c r="P405" s="2"/>
      <c r="Q405" s="2"/>
      <c r="R405" s="9"/>
      <c r="S405" s="4"/>
      <c r="T405" s="9"/>
      <c r="U405" s="9"/>
      <c r="V405" s="9"/>
      <c r="W405" s="9"/>
      <c r="X405" s="4"/>
      <c r="Y405" s="6"/>
      <c r="Z405" s="9"/>
      <c r="AA405" s="4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10"/>
      <c r="AU405" s="9"/>
    </row>
    <row r="406" spans="1:47">
      <c r="A406" s="4"/>
      <c r="B406" s="4"/>
      <c r="C406" s="5"/>
      <c r="D406" s="5"/>
      <c r="E406" s="6"/>
      <c r="F406" s="4"/>
      <c r="G406" s="6"/>
      <c r="H406" s="7"/>
      <c r="I406" s="2"/>
      <c r="J406" s="2"/>
      <c r="K406" s="2"/>
      <c r="L406" s="2"/>
      <c r="M406" s="2"/>
      <c r="N406" s="2"/>
      <c r="O406" s="2"/>
      <c r="P406" s="2"/>
      <c r="Q406" s="2"/>
      <c r="R406" s="9"/>
      <c r="S406" s="4"/>
      <c r="T406" s="9"/>
      <c r="U406" s="9"/>
      <c r="V406" s="9"/>
      <c r="W406" s="9"/>
      <c r="X406" s="4"/>
      <c r="Y406" s="6"/>
      <c r="Z406" s="9"/>
      <c r="AA406" s="4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10"/>
      <c r="AU406" s="9"/>
    </row>
    <row r="407" spans="1:47">
      <c r="A407" s="4"/>
      <c r="B407" s="4"/>
      <c r="C407" s="5"/>
      <c r="D407" s="5"/>
      <c r="E407" s="6"/>
      <c r="F407" s="4"/>
      <c r="G407" s="6"/>
      <c r="H407" s="7"/>
      <c r="I407" s="2"/>
      <c r="J407" s="2"/>
      <c r="K407" s="2"/>
      <c r="L407" s="2"/>
      <c r="M407" s="2"/>
      <c r="N407" s="2"/>
      <c r="O407" s="2"/>
      <c r="P407" s="2"/>
      <c r="Q407" s="2"/>
      <c r="R407" s="9"/>
      <c r="S407" s="4"/>
      <c r="T407" s="9"/>
      <c r="U407" s="9"/>
      <c r="V407" s="9"/>
      <c r="W407" s="9"/>
      <c r="X407" s="4"/>
      <c r="Y407" s="6"/>
      <c r="Z407" s="9"/>
      <c r="AA407" s="4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10"/>
      <c r="AU407" s="9"/>
    </row>
    <row r="408" spans="1:47">
      <c r="A408" s="4"/>
      <c r="B408" s="4"/>
      <c r="C408" s="5"/>
      <c r="D408" s="5"/>
      <c r="E408" s="6"/>
      <c r="F408" s="4"/>
      <c r="G408" s="6"/>
      <c r="H408" s="7"/>
      <c r="I408" s="2"/>
      <c r="J408" s="2"/>
      <c r="K408" s="2"/>
      <c r="L408" s="2"/>
      <c r="M408" s="2"/>
      <c r="N408" s="2"/>
      <c r="O408" s="2"/>
      <c r="P408" s="2"/>
      <c r="Q408" s="2"/>
      <c r="R408" s="9"/>
      <c r="S408" s="4"/>
      <c r="T408" s="9"/>
      <c r="U408" s="9"/>
      <c r="V408" s="9"/>
      <c r="W408" s="9"/>
      <c r="X408" s="4"/>
      <c r="Y408" s="6"/>
      <c r="Z408" s="9"/>
      <c r="AA408" s="4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10"/>
      <c r="AU408" s="9"/>
    </row>
    <row r="409" spans="1:47">
      <c r="A409" s="4"/>
      <c r="B409" s="4"/>
      <c r="C409" s="5"/>
      <c r="D409" s="5"/>
      <c r="E409" s="6"/>
      <c r="F409" s="4"/>
      <c r="G409" s="6"/>
      <c r="H409" s="7"/>
      <c r="I409" s="2"/>
      <c r="J409" s="2"/>
      <c r="K409" s="2"/>
      <c r="L409" s="2"/>
      <c r="M409" s="2"/>
      <c r="N409" s="2"/>
      <c r="O409" s="2"/>
      <c r="P409" s="2"/>
      <c r="Q409" s="2"/>
      <c r="R409" s="9"/>
      <c r="S409" s="4"/>
      <c r="T409" s="9"/>
      <c r="U409" s="9"/>
      <c r="V409" s="9"/>
      <c r="W409" s="9"/>
      <c r="X409" s="4"/>
      <c r="Y409" s="6"/>
      <c r="Z409" s="9"/>
      <c r="AA409" s="4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10"/>
      <c r="AU409" s="9"/>
    </row>
    <row r="410" spans="1:47">
      <c r="A410" s="4"/>
      <c r="B410" s="4"/>
      <c r="C410" s="5"/>
      <c r="D410" s="5"/>
      <c r="E410" s="6"/>
      <c r="F410" s="4"/>
      <c r="G410" s="6"/>
      <c r="H410" s="7"/>
      <c r="I410" s="2"/>
      <c r="J410" s="2"/>
      <c r="K410" s="2"/>
      <c r="L410" s="2"/>
      <c r="M410" s="2"/>
      <c r="N410" s="2"/>
      <c r="O410" s="2"/>
      <c r="P410" s="2"/>
      <c r="Q410" s="2"/>
      <c r="R410" s="9"/>
      <c r="S410" s="4"/>
      <c r="T410" s="9"/>
      <c r="U410" s="9"/>
      <c r="V410" s="9"/>
      <c r="W410" s="9"/>
      <c r="X410" s="4"/>
      <c r="Y410" s="6"/>
      <c r="Z410" s="9"/>
      <c r="AA410" s="4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10"/>
      <c r="AU410" s="9"/>
    </row>
    <row r="411" spans="1:47">
      <c r="A411" s="4"/>
      <c r="B411" s="4"/>
      <c r="C411" s="5"/>
      <c r="D411" s="5"/>
      <c r="E411" s="6"/>
      <c r="F411" s="4"/>
      <c r="G411" s="6"/>
      <c r="H411" s="7"/>
      <c r="I411" s="2"/>
      <c r="J411" s="2"/>
      <c r="K411" s="2"/>
      <c r="L411" s="2"/>
      <c r="M411" s="2"/>
      <c r="N411" s="2"/>
      <c r="O411" s="2"/>
      <c r="P411" s="2"/>
      <c r="Q411" s="2"/>
      <c r="R411" s="9"/>
      <c r="S411" s="4"/>
      <c r="T411" s="9"/>
      <c r="U411" s="9"/>
      <c r="V411" s="9"/>
      <c r="W411" s="9"/>
      <c r="X411" s="4"/>
      <c r="Y411" s="6"/>
      <c r="Z411" s="9"/>
      <c r="AA411" s="4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10"/>
      <c r="AU411" s="9"/>
    </row>
    <row r="412" spans="1:47">
      <c r="A412" s="4"/>
      <c r="B412" s="4"/>
      <c r="C412" s="5"/>
      <c r="D412" s="5"/>
      <c r="E412" s="6"/>
      <c r="F412" s="4"/>
      <c r="G412" s="6"/>
      <c r="H412" s="7"/>
      <c r="I412" s="2"/>
      <c r="J412" s="2"/>
      <c r="K412" s="2"/>
      <c r="L412" s="2"/>
      <c r="M412" s="2"/>
      <c r="N412" s="2"/>
      <c r="O412" s="2"/>
      <c r="P412" s="2"/>
      <c r="Q412" s="2"/>
      <c r="R412" s="9"/>
      <c r="S412" s="4"/>
      <c r="T412" s="9"/>
      <c r="U412" s="9"/>
      <c r="V412" s="9"/>
      <c r="W412" s="9"/>
      <c r="X412" s="4"/>
      <c r="Y412" s="6"/>
      <c r="Z412" s="9"/>
      <c r="AA412" s="4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10"/>
      <c r="AU412" s="9"/>
    </row>
    <row r="413" spans="1:47">
      <c r="A413" s="4"/>
      <c r="B413" s="4"/>
      <c r="C413" s="5"/>
      <c r="D413" s="5"/>
      <c r="E413" s="6"/>
      <c r="F413" s="4"/>
      <c r="G413" s="6"/>
      <c r="H413" s="7"/>
      <c r="I413" s="2"/>
      <c r="J413" s="2"/>
      <c r="K413" s="2"/>
      <c r="L413" s="2"/>
      <c r="M413" s="2"/>
      <c r="N413" s="2"/>
      <c r="O413" s="2"/>
      <c r="P413" s="2"/>
      <c r="Q413" s="2"/>
      <c r="R413" s="9"/>
      <c r="S413" s="4"/>
      <c r="T413" s="9"/>
      <c r="U413" s="9"/>
      <c r="V413" s="9"/>
      <c r="W413" s="9"/>
      <c r="X413" s="4"/>
      <c r="Y413" s="6"/>
      <c r="Z413" s="9"/>
      <c r="AA413" s="4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10"/>
      <c r="AU413" s="9"/>
    </row>
    <row r="414" spans="1:47">
      <c r="A414" s="4"/>
      <c r="B414" s="4"/>
      <c r="C414" s="5"/>
      <c r="D414" s="5"/>
      <c r="E414" s="6"/>
      <c r="F414" s="4"/>
      <c r="G414" s="6"/>
      <c r="H414" s="7"/>
      <c r="I414" s="2"/>
      <c r="J414" s="2"/>
      <c r="K414" s="2"/>
      <c r="L414" s="2"/>
      <c r="M414" s="2"/>
      <c r="N414" s="2"/>
      <c r="O414" s="2"/>
      <c r="P414" s="2"/>
      <c r="Q414" s="2"/>
      <c r="R414" s="9"/>
      <c r="S414" s="4"/>
      <c r="T414" s="9"/>
      <c r="U414" s="9"/>
      <c r="V414" s="9"/>
      <c r="W414" s="9"/>
      <c r="X414" s="4"/>
      <c r="Y414" s="6"/>
      <c r="Z414" s="9"/>
      <c r="AA414" s="4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10"/>
      <c r="AU414" s="9"/>
    </row>
    <row r="415" spans="1:47">
      <c r="A415" s="4"/>
      <c r="B415" s="4"/>
      <c r="C415" s="5"/>
      <c r="D415" s="5"/>
      <c r="E415" s="6"/>
      <c r="F415" s="4"/>
      <c r="G415" s="6"/>
      <c r="H415" s="7"/>
      <c r="I415" s="2"/>
      <c r="J415" s="2"/>
      <c r="K415" s="2"/>
      <c r="L415" s="2"/>
      <c r="M415" s="2"/>
      <c r="N415" s="2"/>
      <c r="O415" s="2"/>
      <c r="P415" s="2"/>
      <c r="Q415" s="2"/>
      <c r="R415" s="9"/>
      <c r="S415" s="4"/>
      <c r="T415" s="9"/>
      <c r="U415" s="9"/>
      <c r="V415" s="9"/>
      <c r="W415" s="9"/>
      <c r="X415" s="4"/>
      <c r="Y415" s="6"/>
      <c r="Z415" s="9"/>
      <c r="AA415" s="4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10"/>
      <c r="AU415" s="9"/>
    </row>
    <row r="416" spans="1:47">
      <c r="A416" s="4"/>
      <c r="B416" s="4"/>
      <c r="C416" s="5"/>
      <c r="D416" s="5"/>
      <c r="E416" s="6"/>
      <c r="F416" s="4"/>
      <c r="G416" s="6"/>
      <c r="H416" s="7"/>
      <c r="I416" s="2"/>
      <c r="J416" s="2"/>
      <c r="K416" s="2"/>
      <c r="L416" s="2"/>
      <c r="M416" s="2"/>
      <c r="N416" s="2"/>
      <c r="O416" s="2"/>
      <c r="P416" s="2"/>
      <c r="Q416" s="2"/>
      <c r="R416" s="9"/>
      <c r="S416" s="4"/>
      <c r="T416" s="9"/>
      <c r="U416" s="9"/>
      <c r="V416" s="9"/>
      <c r="W416" s="9"/>
      <c r="X416" s="4"/>
      <c r="Y416" s="6"/>
      <c r="Z416" s="9"/>
      <c r="AA416" s="4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10"/>
      <c r="AU416" s="9"/>
    </row>
    <row r="417" spans="1:47">
      <c r="A417" s="4"/>
      <c r="B417" s="4"/>
      <c r="C417" s="5"/>
      <c r="D417" s="5"/>
      <c r="E417" s="6"/>
      <c r="F417" s="4"/>
      <c r="G417" s="6"/>
      <c r="H417" s="7"/>
      <c r="I417" s="2"/>
      <c r="J417" s="2"/>
      <c r="K417" s="2"/>
      <c r="L417" s="2"/>
      <c r="M417" s="2"/>
      <c r="N417" s="2"/>
      <c r="O417" s="2"/>
      <c r="P417" s="2"/>
      <c r="Q417" s="2"/>
      <c r="R417" s="9"/>
      <c r="S417" s="4"/>
      <c r="T417" s="9"/>
      <c r="U417" s="9"/>
      <c r="V417" s="9"/>
      <c r="W417" s="9"/>
      <c r="X417" s="4"/>
      <c r="Y417" s="6"/>
      <c r="Z417" s="9"/>
      <c r="AA417" s="4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10"/>
      <c r="AU417" s="9"/>
    </row>
    <row r="418" spans="1:47">
      <c r="A418" s="4"/>
      <c r="B418" s="4"/>
      <c r="C418" s="5"/>
      <c r="D418" s="5"/>
      <c r="E418" s="6"/>
      <c r="F418" s="4"/>
      <c r="G418" s="6"/>
      <c r="H418" s="7"/>
      <c r="I418" s="2"/>
      <c r="J418" s="2"/>
      <c r="K418" s="2"/>
      <c r="L418" s="2"/>
      <c r="M418" s="2"/>
      <c r="N418" s="2"/>
      <c r="O418" s="2"/>
      <c r="P418" s="2"/>
      <c r="Q418" s="2"/>
      <c r="R418" s="9"/>
      <c r="S418" s="4"/>
      <c r="T418" s="9"/>
      <c r="U418" s="9"/>
      <c r="V418" s="9"/>
      <c r="W418" s="9"/>
      <c r="X418" s="4"/>
      <c r="Y418" s="6"/>
      <c r="Z418" s="9"/>
      <c r="AA418" s="4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10"/>
      <c r="AU418" s="9"/>
    </row>
    <row r="419" spans="1:47">
      <c r="A419" s="4"/>
      <c r="B419" s="4"/>
      <c r="C419" s="5"/>
      <c r="D419" s="5"/>
      <c r="E419" s="6"/>
      <c r="F419" s="4"/>
      <c r="G419" s="6"/>
      <c r="H419" s="7"/>
      <c r="I419" s="2"/>
      <c r="J419" s="2"/>
      <c r="K419" s="2"/>
      <c r="L419" s="2"/>
      <c r="M419" s="2"/>
      <c r="N419" s="2"/>
      <c r="O419" s="2"/>
      <c r="P419" s="2"/>
      <c r="Q419" s="2"/>
      <c r="R419" s="9"/>
      <c r="S419" s="4"/>
      <c r="T419" s="9"/>
      <c r="U419" s="9"/>
      <c r="V419" s="9"/>
      <c r="W419" s="9"/>
      <c r="X419" s="4"/>
      <c r="Y419" s="6"/>
      <c r="Z419" s="9"/>
      <c r="AA419" s="4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10"/>
      <c r="AU419" s="9"/>
    </row>
    <row r="420" spans="1:47">
      <c r="A420" s="4"/>
      <c r="B420" s="4"/>
      <c r="C420" s="5"/>
      <c r="D420" s="5"/>
      <c r="E420" s="6"/>
      <c r="F420" s="4"/>
      <c r="G420" s="6"/>
      <c r="H420" s="7"/>
      <c r="I420" s="2"/>
      <c r="J420" s="2"/>
      <c r="K420" s="2"/>
      <c r="L420" s="2"/>
      <c r="M420" s="2"/>
      <c r="N420" s="2"/>
      <c r="O420" s="2"/>
      <c r="P420" s="2"/>
      <c r="Q420" s="2"/>
      <c r="R420" s="9"/>
      <c r="S420" s="4"/>
      <c r="T420" s="9"/>
      <c r="U420" s="9"/>
      <c r="V420" s="9"/>
      <c r="W420" s="9"/>
      <c r="X420" s="4"/>
      <c r="Y420" s="6"/>
      <c r="Z420" s="9"/>
      <c r="AA420" s="4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10"/>
      <c r="AU420" s="9"/>
    </row>
    <row r="421" spans="1:47">
      <c r="A421" s="4"/>
      <c r="B421" s="4"/>
      <c r="C421" s="5"/>
      <c r="D421" s="5"/>
      <c r="E421" s="6"/>
      <c r="F421" s="4"/>
      <c r="G421" s="6"/>
      <c r="H421" s="7"/>
      <c r="I421" s="2"/>
      <c r="J421" s="2"/>
      <c r="K421" s="2"/>
      <c r="L421" s="2"/>
      <c r="M421" s="2"/>
      <c r="N421" s="2"/>
      <c r="O421" s="2"/>
      <c r="P421" s="2"/>
      <c r="Q421" s="2"/>
      <c r="R421" s="9"/>
      <c r="S421" s="4"/>
      <c r="T421" s="9"/>
      <c r="U421" s="9"/>
      <c r="V421" s="9"/>
      <c r="W421" s="9"/>
      <c r="X421" s="4"/>
      <c r="Y421" s="6"/>
      <c r="Z421" s="9"/>
      <c r="AA421" s="4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10"/>
      <c r="AU421" s="9"/>
    </row>
    <row r="422" spans="1:47">
      <c r="A422" s="4"/>
      <c r="B422" s="4"/>
      <c r="C422" s="5"/>
      <c r="D422" s="5"/>
      <c r="E422" s="6"/>
      <c r="F422" s="4"/>
      <c r="G422" s="6"/>
      <c r="H422" s="7"/>
      <c r="I422" s="2"/>
      <c r="J422" s="2"/>
      <c r="K422" s="2"/>
      <c r="L422" s="2"/>
      <c r="M422" s="2"/>
      <c r="N422" s="2"/>
      <c r="O422" s="2"/>
      <c r="P422" s="2"/>
      <c r="Q422" s="2"/>
      <c r="R422" s="9"/>
      <c r="S422" s="4"/>
      <c r="T422" s="9"/>
      <c r="U422" s="9"/>
      <c r="V422" s="9"/>
      <c r="W422" s="9"/>
      <c r="X422" s="4"/>
      <c r="Y422" s="6"/>
      <c r="Z422" s="9"/>
      <c r="AA422" s="4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10"/>
      <c r="AU422" s="9"/>
    </row>
    <row r="423" spans="1:47">
      <c r="A423" s="4"/>
      <c r="B423" s="4"/>
      <c r="C423" s="5"/>
      <c r="D423" s="5"/>
      <c r="E423" s="6"/>
      <c r="F423" s="4"/>
      <c r="G423" s="6"/>
      <c r="H423" s="7"/>
      <c r="I423" s="2"/>
      <c r="J423" s="2"/>
      <c r="K423" s="2"/>
      <c r="L423" s="2"/>
      <c r="M423" s="2"/>
      <c r="N423" s="2"/>
      <c r="O423" s="2"/>
      <c r="P423" s="2"/>
      <c r="Q423" s="2"/>
      <c r="R423" s="9"/>
      <c r="S423" s="4"/>
      <c r="T423" s="9"/>
      <c r="U423" s="9"/>
      <c r="V423" s="9"/>
      <c r="W423" s="9"/>
      <c r="X423" s="4"/>
      <c r="Y423" s="6"/>
      <c r="Z423" s="9"/>
      <c r="AA423" s="4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10"/>
      <c r="AU423" s="9"/>
    </row>
    <row r="424" spans="1:47">
      <c r="A424" s="4"/>
      <c r="B424" s="4"/>
      <c r="C424" s="5"/>
      <c r="D424" s="5"/>
      <c r="E424" s="6"/>
      <c r="F424" s="4"/>
      <c r="G424" s="6"/>
      <c r="H424" s="7"/>
      <c r="I424" s="2"/>
      <c r="J424" s="2"/>
      <c r="K424" s="2"/>
      <c r="L424" s="2"/>
      <c r="M424" s="2"/>
      <c r="N424" s="2"/>
      <c r="O424" s="2"/>
      <c r="P424" s="2"/>
      <c r="Q424" s="2"/>
      <c r="R424" s="9"/>
      <c r="S424" s="4"/>
      <c r="T424" s="9"/>
      <c r="U424" s="9"/>
      <c r="V424" s="9"/>
      <c r="W424" s="9"/>
      <c r="X424" s="4"/>
      <c r="Y424" s="6"/>
      <c r="Z424" s="9"/>
      <c r="AA424" s="4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10"/>
      <c r="AU424" s="9"/>
    </row>
    <row r="425" spans="1:47">
      <c r="A425" s="4"/>
      <c r="B425" s="4"/>
      <c r="C425" s="5"/>
      <c r="D425" s="5"/>
      <c r="E425" s="6"/>
      <c r="F425" s="4"/>
      <c r="G425" s="6"/>
      <c r="H425" s="7"/>
      <c r="I425" s="2"/>
      <c r="J425" s="2"/>
      <c r="K425" s="2"/>
      <c r="L425" s="2"/>
      <c r="M425" s="2"/>
      <c r="N425" s="2"/>
      <c r="O425" s="2"/>
      <c r="P425" s="2"/>
      <c r="Q425" s="2"/>
      <c r="R425" s="9"/>
      <c r="S425" s="4"/>
      <c r="T425" s="9"/>
      <c r="U425" s="9"/>
      <c r="V425" s="9"/>
      <c r="W425" s="9"/>
      <c r="X425" s="4"/>
      <c r="Y425" s="6"/>
      <c r="Z425" s="9"/>
      <c r="AA425" s="4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10"/>
      <c r="AU425" s="9"/>
    </row>
    <row r="426" spans="1:47">
      <c r="A426" s="4"/>
      <c r="B426" s="4"/>
      <c r="C426" s="5"/>
      <c r="D426" s="5"/>
      <c r="E426" s="6"/>
      <c r="F426" s="4"/>
      <c r="G426" s="6"/>
      <c r="H426" s="7"/>
      <c r="I426" s="2"/>
      <c r="J426" s="2"/>
      <c r="K426" s="2"/>
      <c r="L426" s="2"/>
      <c r="M426" s="2"/>
      <c r="N426" s="2"/>
      <c r="O426" s="2"/>
      <c r="P426" s="2"/>
      <c r="Q426" s="2"/>
      <c r="R426" s="9"/>
      <c r="S426" s="4"/>
      <c r="T426" s="9"/>
      <c r="U426" s="9"/>
      <c r="V426" s="9"/>
      <c r="W426" s="9"/>
      <c r="X426" s="4"/>
      <c r="Y426" s="6"/>
      <c r="Z426" s="9"/>
      <c r="AA426" s="4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10"/>
      <c r="AU426" s="9"/>
    </row>
    <row r="427" spans="1:47">
      <c r="A427" s="4"/>
      <c r="B427" s="4"/>
      <c r="C427" s="5"/>
      <c r="D427" s="5"/>
      <c r="E427" s="6"/>
      <c r="F427" s="4"/>
      <c r="G427" s="6"/>
      <c r="H427" s="7"/>
      <c r="I427" s="2"/>
      <c r="J427" s="2"/>
      <c r="K427" s="2"/>
      <c r="L427" s="2"/>
      <c r="M427" s="2"/>
      <c r="N427" s="2"/>
      <c r="O427" s="2"/>
      <c r="P427" s="2"/>
      <c r="Q427" s="2"/>
      <c r="R427" s="9"/>
      <c r="S427" s="4"/>
      <c r="T427" s="9"/>
      <c r="U427" s="9"/>
      <c r="V427" s="9"/>
      <c r="W427" s="9"/>
      <c r="X427" s="4"/>
      <c r="Y427" s="6"/>
      <c r="Z427" s="9"/>
      <c r="AA427" s="4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10"/>
      <c r="AU427" s="9"/>
    </row>
    <row r="428" spans="1:47">
      <c r="A428" s="4"/>
      <c r="B428" s="4"/>
      <c r="C428" s="5"/>
      <c r="D428" s="5"/>
      <c r="E428" s="6"/>
      <c r="F428" s="4"/>
      <c r="G428" s="6"/>
      <c r="H428" s="7"/>
      <c r="I428" s="2"/>
      <c r="J428" s="2"/>
      <c r="K428" s="2"/>
      <c r="L428" s="2"/>
      <c r="M428" s="2"/>
      <c r="N428" s="2"/>
      <c r="O428" s="2"/>
      <c r="P428" s="2"/>
      <c r="Q428" s="2"/>
      <c r="R428" s="9"/>
      <c r="S428" s="4"/>
      <c r="T428" s="9"/>
      <c r="U428" s="9"/>
      <c r="V428" s="9"/>
      <c r="W428" s="9"/>
      <c r="X428" s="4"/>
      <c r="Y428" s="6"/>
      <c r="Z428" s="9"/>
      <c r="AA428" s="4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10"/>
      <c r="AU428" s="9"/>
    </row>
    <row r="429" spans="1:47">
      <c r="A429" s="4"/>
      <c r="B429" s="4"/>
      <c r="C429" s="5"/>
      <c r="D429" s="5"/>
      <c r="E429" s="6"/>
      <c r="F429" s="4"/>
      <c r="G429" s="6"/>
      <c r="H429" s="7"/>
      <c r="I429" s="2"/>
      <c r="J429" s="2"/>
      <c r="K429" s="2"/>
      <c r="L429" s="2"/>
      <c r="M429" s="2"/>
      <c r="N429" s="2"/>
      <c r="O429" s="2"/>
      <c r="P429" s="2"/>
      <c r="Q429" s="2"/>
      <c r="R429" s="9"/>
      <c r="S429" s="4"/>
      <c r="T429" s="9"/>
      <c r="U429" s="9"/>
      <c r="V429" s="9"/>
      <c r="W429" s="9"/>
      <c r="X429" s="4"/>
      <c r="Y429" s="6"/>
      <c r="Z429" s="4"/>
      <c r="AA429" s="23"/>
      <c r="AB429" s="24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10"/>
      <c r="AU429" s="9"/>
    </row>
    <row r="430" spans="1:47">
      <c r="A430" s="4"/>
      <c r="B430" s="4"/>
      <c r="C430" s="5"/>
      <c r="D430" s="5"/>
      <c r="E430" s="6"/>
      <c r="F430" s="4"/>
      <c r="G430" s="6"/>
      <c r="H430" s="7"/>
      <c r="I430" s="2"/>
      <c r="J430" s="2"/>
      <c r="K430" s="2"/>
      <c r="L430" s="2"/>
      <c r="M430" s="2"/>
      <c r="N430" s="2"/>
      <c r="O430" s="2"/>
      <c r="P430" s="2"/>
      <c r="Q430" s="2"/>
      <c r="R430" s="9"/>
      <c r="S430" s="4"/>
      <c r="T430" s="9"/>
      <c r="U430" s="9"/>
      <c r="V430" s="9"/>
      <c r="W430" s="9"/>
      <c r="X430" s="4"/>
      <c r="Y430" s="6"/>
      <c r="Z430" s="4"/>
      <c r="AA430" s="23"/>
      <c r="AB430" s="24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10"/>
      <c r="AU430" s="9"/>
    </row>
    <row r="431" spans="1:47">
      <c r="A431" s="4"/>
      <c r="B431" s="4"/>
      <c r="C431" s="5"/>
      <c r="D431" s="5"/>
      <c r="E431" s="6"/>
      <c r="F431" s="4"/>
      <c r="G431" s="6"/>
      <c r="H431" s="7"/>
      <c r="I431" s="2"/>
      <c r="J431" s="2"/>
      <c r="K431" s="2"/>
      <c r="L431" s="2"/>
      <c r="M431" s="2"/>
      <c r="N431" s="2"/>
      <c r="O431" s="2"/>
      <c r="P431" s="2"/>
      <c r="Q431" s="2"/>
      <c r="R431" s="9"/>
      <c r="S431" s="4"/>
      <c r="T431" s="9"/>
      <c r="U431" s="9"/>
      <c r="V431" s="9"/>
      <c r="W431" s="9"/>
      <c r="X431" s="4"/>
      <c r="Y431" s="6"/>
      <c r="Z431" s="4"/>
      <c r="AA431" s="23"/>
      <c r="AB431" s="24"/>
      <c r="AC431" s="2"/>
      <c r="AD431" s="2"/>
      <c r="AE431" s="2"/>
      <c r="AF431" s="2"/>
      <c r="AG431" s="2"/>
      <c r="AH431" s="2"/>
      <c r="AI431" s="2"/>
      <c r="AJ431" s="2"/>
      <c r="AK431" s="2"/>
      <c r="AL431" s="25"/>
      <c r="AM431" s="24"/>
      <c r="AN431" s="2"/>
      <c r="AO431" s="2"/>
      <c r="AP431" s="2"/>
      <c r="AQ431" s="2"/>
      <c r="AR431" s="2"/>
      <c r="AS431" s="2"/>
      <c r="AT431" s="10"/>
      <c r="AU431" s="9"/>
    </row>
    <row r="432" spans="1:47">
      <c r="A432" s="4"/>
      <c r="B432" s="4"/>
      <c r="C432" s="5"/>
      <c r="D432" s="5"/>
      <c r="E432" s="6"/>
      <c r="F432" s="4"/>
      <c r="G432" s="6"/>
      <c r="H432" s="7"/>
      <c r="I432" s="2"/>
      <c r="J432" s="2"/>
      <c r="K432" s="2"/>
      <c r="L432" s="2"/>
      <c r="M432" s="2"/>
      <c r="N432" s="2"/>
      <c r="O432" s="2"/>
      <c r="P432" s="2"/>
      <c r="Q432" s="2"/>
      <c r="R432" s="9"/>
      <c r="S432" s="4"/>
      <c r="T432" s="9"/>
      <c r="U432" s="9"/>
      <c r="V432" s="9"/>
      <c r="W432" s="9"/>
      <c r="X432" s="4"/>
      <c r="Y432" s="6"/>
      <c r="Z432" s="4"/>
      <c r="AA432" s="23"/>
      <c r="AB432" s="24"/>
      <c r="AC432" s="2"/>
      <c r="AD432" s="2"/>
      <c r="AE432" s="2"/>
      <c r="AF432" s="2"/>
      <c r="AG432" s="2"/>
      <c r="AH432" s="2"/>
      <c r="AI432" s="2"/>
      <c r="AJ432" s="2"/>
      <c r="AK432" s="2"/>
      <c r="AL432" s="25"/>
      <c r="AM432" s="24"/>
      <c r="AN432" s="2"/>
      <c r="AO432" s="2"/>
      <c r="AP432" s="2"/>
      <c r="AQ432" s="2"/>
      <c r="AR432" s="2"/>
      <c r="AS432" s="2"/>
      <c r="AT432" s="10"/>
      <c r="AU432" s="9"/>
    </row>
    <row r="433" spans="1:47">
      <c r="A433" s="4"/>
      <c r="B433" s="4"/>
      <c r="C433" s="5"/>
      <c r="D433" s="5"/>
      <c r="E433" s="6"/>
      <c r="F433" s="4"/>
      <c r="G433" s="6"/>
      <c r="H433" s="7"/>
      <c r="I433" s="2"/>
      <c r="J433" s="2"/>
      <c r="K433" s="2"/>
      <c r="L433" s="2"/>
      <c r="M433" s="2"/>
      <c r="N433" s="2"/>
      <c r="O433" s="2"/>
      <c r="P433" s="2"/>
      <c r="Q433" s="2"/>
      <c r="R433" s="9"/>
      <c r="S433" s="4"/>
      <c r="T433" s="9"/>
      <c r="U433" s="9"/>
      <c r="V433" s="9"/>
      <c r="W433" s="9"/>
      <c r="X433" s="4"/>
      <c r="Y433" s="6"/>
      <c r="Z433" s="4"/>
      <c r="AA433" s="23"/>
      <c r="AB433" s="24"/>
      <c r="AC433" s="2"/>
      <c r="AD433" s="2"/>
      <c r="AE433" s="2"/>
      <c r="AF433" s="2"/>
      <c r="AG433" s="2"/>
      <c r="AH433" s="2"/>
      <c r="AI433" s="2"/>
      <c r="AJ433" s="2"/>
      <c r="AK433" s="2"/>
      <c r="AL433" s="25"/>
      <c r="AM433" s="24"/>
      <c r="AN433" s="2"/>
      <c r="AO433" s="2"/>
      <c r="AP433" s="2"/>
      <c r="AQ433" s="2"/>
      <c r="AR433" s="2"/>
      <c r="AS433" s="2"/>
      <c r="AT433" s="10"/>
      <c r="AU433" s="9"/>
    </row>
    <row r="434" spans="1:47">
      <c r="A434" s="4"/>
      <c r="B434" s="4"/>
      <c r="C434" s="5"/>
      <c r="D434" s="5"/>
      <c r="E434" s="6"/>
      <c r="F434" s="4"/>
      <c r="G434" s="6"/>
      <c r="H434" s="7"/>
      <c r="I434" s="7"/>
      <c r="J434" s="7"/>
      <c r="K434" s="7"/>
      <c r="L434" s="7"/>
      <c r="M434" s="7"/>
      <c r="N434" s="2"/>
      <c r="O434" s="2"/>
      <c r="P434" s="2"/>
      <c r="Q434" s="2"/>
      <c r="R434" s="9"/>
      <c r="S434" s="4"/>
      <c r="T434" s="9"/>
      <c r="U434" s="9"/>
      <c r="V434" s="9"/>
      <c r="W434" s="9"/>
      <c r="X434" s="4"/>
      <c r="Y434" s="6"/>
      <c r="Z434" s="9"/>
      <c r="AA434" s="4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10"/>
      <c r="AU434" s="9"/>
    </row>
    <row r="435" spans="1:47">
      <c r="A435" s="4"/>
      <c r="B435" s="4"/>
      <c r="C435" s="5"/>
      <c r="D435" s="5"/>
      <c r="E435" s="6"/>
      <c r="F435" s="4"/>
      <c r="G435" s="6"/>
      <c r="H435" s="7"/>
      <c r="I435" s="2"/>
      <c r="J435" s="2"/>
      <c r="K435" s="2"/>
      <c r="L435" s="2"/>
      <c r="M435" s="2"/>
      <c r="N435" s="2"/>
      <c r="O435" s="2"/>
      <c r="P435" s="2"/>
      <c r="Q435" s="2"/>
      <c r="R435" s="9"/>
      <c r="S435" s="4"/>
      <c r="T435" s="9"/>
      <c r="U435" s="9"/>
      <c r="V435" s="9"/>
      <c r="W435" s="9"/>
      <c r="X435" s="4"/>
      <c r="Y435" s="6"/>
      <c r="Z435" s="4"/>
      <c r="AA435" s="23"/>
      <c r="AB435" s="24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10"/>
      <c r="AU435" s="9"/>
    </row>
    <row r="436" spans="1:47">
      <c r="A436" s="4"/>
      <c r="B436" s="4"/>
      <c r="C436" s="5"/>
      <c r="D436" s="5"/>
      <c r="E436" s="6"/>
      <c r="F436" s="4"/>
      <c r="G436" s="6"/>
      <c r="H436" s="7"/>
      <c r="I436" s="11"/>
      <c r="J436" s="7"/>
      <c r="K436" s="7"/>
      <c r="L436" s="7"/>
      <c r="M436" s="7"/>
      <c r="N436" s="2"/>
      <c r="O436" s="2"/>
      <c r="P436" s="2"/>
      <c r="Q436" s="2"/>
      <c r="R436" s="9"/>
      <c r="S436" s="4"/>
      <c r="T436" s="9"/>
      <c r="U436" s="9"/>
      <c r="V436" s="9"/>
      <c r="W436" s="9"/>
      <c r="X436" s="4"/>
      <c r="Y436" s="6"/>
      <c r="Z436" s="9"/>
      <c r="AA436" s="4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10"/>
      <c r="AU436" s="9"/>
    </row>
    <row r="437" spans="1:47">
      <c r="A437" s="4"/>
      <c r="B437" s="4"/>
      <c r="C437" s="5"/>
      <c r="D437" s="5"/>
      <c r="E437" s="6"/>
      <c r="F437" s="4"/>
      <c r="G437" s="6"/>
      <c r="H437" s="7"/>
      <c r="I437" s="7"/>
      <c r="J437" s="7"/>
      <c r="K437" s="7"/>
      <c r="L437" s="7"/>
      <c r="M437" s="2"/>
      <c r="N437" s="2"/>
      <c r="O437" s="2"/>
      <c r="P437" s="2"/>
      <c r="Q437" s="2"/>
      <c r="R437" s="9"/>
      <c r="S437" s="4"/>
      <c r="T437" s="9"/>
      <c r="U437" s="9"/>
      <c r="V437" s="9"/>
      <c r="W437" s="9"/>
      <c r="X437" s="4"/>
      <c r="Y437" s="6"/>
      <c r="Z437" s="9"/>
      <c r="AA437" s="4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10"/>
      <c r="AU437" s="9"/>
    </row>
    <row r="438" spans="1:47">
      <c r="A438" s="4"/>
      <c r="B438" s="4"/>
      <c r="C438" s="5"/>
      <c r="D438" s="5"/>
      <c r="E438" s="6"/>
      <c r="F438" s="4"/>
      <c r="G438" s="6"/>
      <c r="H438" s="7"/>
      <c r="I438" s="7"/>
      <c r="J438" s="7"/>
      <c r="K438" s="7"/>
      <c r="L438" s="7"/>
      <c r="M438" s="2"/>
      <c r="N438" s="2"/>
      <c r="O438" s="2"/>
      <c r="P438" s="2"/>
      <c r="Q438" s="2"/>
      <c r="R438" s="9"/>
      <c r="S438" s="4"/>
      <c r="T438" s="9"/>
      <c r="U438" s="9"/>
      <c r="V438" s="9"/>
      <c r="W438" s="9"/>
      <c r="X438" s="4"/>
      <c r="Y438" s="6"/>
      <c r="Z438" s="4"/>
      <c r="AA438" s="23"/>
      <c r="AB438" s="24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10"/>
      <c r="AU438" s="9"/>
    </row>
    <row r="439" spans="1:47">
      <c r="A439" s="4"/>
      <c r="B439" s="4"/>
      <c r="C439" s="5"/>
      <c r="D439" s="5"/>
      <c r="E439" s="6"/>
      <c r="F439" s="4"/>
      <c r="G439" s="6"/>
      <c r="H439" s="7"/>
      <c r="I439" s="7"/>
      <c r="J439" s="2"/>
      <c r="K439" s="2"/>
      <c r="L439" s="2"/>
      <c r="M439" s="2"/>
      <c r="N439" s="2"/>
      <c r="O439" s="2"/>
      <c r="P439" s="2"/>
      <c r="Q439" s="2"/>
      <c r="R439" s="9"/>
      <c r="S439" s="4"/>
      <c r="T439" s="9"/>
      <c r="U439" s="9"/>
      <c r="V439" s="9"/>
      <c r="W439" s="9"/>
      <c r="X439" s="4"/>
      <c r="Y439" s="6"/>
      <c r="Z439" s="9"/>
      <c r="AA439" s="4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10"/>
      <c r="AU439" s="9"/>
    </row>
    <row r="440" spans="1:47">
      <c r="A440" s="4"/>
      <c r="B440" s="4"/>
      <c r="C440" s="5"/>
      <c r="D440" s="5"/>
      <c r="E440" s="6"/>
      <c r="F440" s="4"/>
      <c r="G440" s="6"/>
      <c r="H440" s="7"/>
      <c r="I440" s="2"/>
      <c r="J440" s="2"/>
      <c r="K440" s="2"/>
      <c r="L440" s="2"/>
      <c r="M440" s="2"/>
      <c r="N440" s="2"/>
      <c r="O440" s="2"/>
      <c r="P440" s="2"/>
      <c r="Q440" s="2"/>
      <c r="R440" s="9"/>
      <c r="S440" s="4"/>
      <c r="T440" s="9"/>
      <c r="U440" s="9"/>
      <c r="V440" s="9"/>
      <c r="W440" s="9"/>
      <c r="X440" s="4"/>
      <c r="Y440" s="6"/>
      <c r="Z440" s="9"/>
      <c r="AA440" s="4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10"/>
      <c r="AU440" s="9"/>
    </row>
    <row r="441" spans="1:47">
      <c r="A441" s="4"/>
      <c r="B441" s="4"/>
      <c r="C441" s="5"/>
      <c r="D441" s="5"/>
      <c r="E441" s="6"/>
      <c r="F441" s="4"/>
      <c r="G441" s="6"/>
      <c r="H441" s="7"/>
      <c r="I441" s="2"/>
      <c r="J441" s="2"/>
      <c r="K441" s="2"/>
      <c r="L441" s="2"/>
      <c r="M441" s="2"/>
      <c r="N441" s="2"/>
      <c r="O441" s="2"/>
      <c r="P441" s="2"/>
      <c r="Q441" s="2"/>
      <c r="R441" s="9"/>
      <c r="S441" s="4"/>
      <c r="T441" s="9"/>
      <c r="U441" s="9"/>
      <c r="V441" s="9"/>
      <c r="W441" s="9"/>
      <c r="X441" s="4"/>
      <c r="Y441" s="6"/>
      <c r="Z441" s="9"/>
      <c r="AA441" s="4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10"/>
      <c r="AU441" s="9"/>
    </row>
    <row r="442" spans="1:47">
      <c r="A442" s="4"/>
      <c r="B442" s="4"/>
      <c r="C442" s="5"/>
      <c r="D442" s="5"/>
      <c r="E442" s="6"/>
      <c r="F442" s="4"/>
      <c r="G442" s="6"/>
      <c r="H442" s="7"/>
      <c r="I442" s="2"/>
      <c r="J442" s="2"/>
      <c r="K442" s="2"/>
      <c r="L442" s="2"/>
      <c r="M442" s="2"/>
      <c r="N442" s="2"/>
      <c r="O442" s="2"/>
      <c r="P442" s="2"/>
      <c r="Q442" s="2"/>
      <c r="R442" s="9"/>
      <c r="S442" s="4"/>
      <c r="T442" s="9"/>
      <c r="U442" s="9"/>
      <c r="V442" s="9"/>
      <c r="W442" s="9"/>
      <c r="X442" s="4"/>
      <c r="Y442" s="6"/>
      <c r="Z442" s="9"/>
      <c r="AA442" s="4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10"/>
      <c r="AU442" s="9"/>
    </row>
    <row r="443" spans="1:47">
      <c r="A443" s="4"/>
      <c r="B443" s="4"/>
      <c r="C443" s="5"/>
      <c r="D443" s="5"/>
      <c r="E443" s="6"/>
      <c r="F443" s="4"/>
      <c r="G443" s="6"/>
      <c r="H443" s="7"/>
      <c r="I443" s="7"/>
      <c r="J443" s="26"/>
      <c r="K443" s="24"/>
      <c r="L443" s="24"/>
      <c r="M443" s="2"/>
      <c r="N443" s="2"/>
      <c r="O443" s="2"/>
      <c r="P443" s="2"/>
      <c r="Q443" s="2"/>
      <c r="R443" s="9"/>
      <c r="S443" s="4"/>
      <c r="T443" s="9"/>
      <c r="U443" s="9"/>
      <c r="V443" s="9"/>
      <c r="W443" s="9"/>
      <c r="X443" s="4"/>
      <c r="Y443" s="6"/>
      <c r="Z443" s="4"/>
      <c r="AA443" s="4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10"/>
      <c r="AU443" s="9"/>
    </row>
    <row r="444" spans="1:47">
      <c r="A444" s="4"/>
      <c r="B444" s="4"/>
      <c r="C444" s="5"/>
      <c r="D444" s="5"/>
      <c r="E444" s="6"/>
      <c r="F444" s="4"/>
      <c r="G444" s="6"/>
      <c r="H444" s="7"/>
      <c r="I444" s="2"/>
      <c r="J444" s="2"/>
      <c r="K444" s="2"/>
      <c r="L444" s="2"/>
      <c r="M444" s="2"/>
      <c r="N444" s="2"/>
      <c r="O444" s="2"/>
      <c r="P444" s="2"/>
      <c r="Q444" s="2"/>
      <c r="R444" s="9"/>
      <c r="S444" s="4"/>
      <c r="T444" s="9"/>
      <c r="U444" s="9"/>
      <c r="V444" s="9"/>
      <c r="W444" s="9"/>
      <c r="X444" s="4"/>
      <c r="Y444" s="6"/>
      <c r="Z444" s="9"/>
      <c r="AA444" s="4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10"/>
      <c r="AU444" s="9"/>
    </row>
    <row r="445" spans="1:47">
      <c r="A445" s="4"/>
      <c r="B445" s="4"/>
      <c r="C445" s="5"/>
      <c r="D445" s="5"/>
      <c r="E445" s="6"/>
      <c r="F445" s="4"/>
      <c r="G445" s="6"/>
      <c r="H445" s="7"/>
      <c r="I445" s="2"/>
      <c r="J445" s="2"/>
      <c r="K445" s="2"/>
      <c r="L445" s="2"/>
      <c r="M445" s="2"/>
      <c r="N445" s="2"/>
      <c r="O445" s="2"/>
      <c r="P445" s="2"/>
      <c r="Q445" s="2"/>
      <c r="R445" s="9"/>
      <c r="S445" s="4"/>
      <c r="T445" s="9"/>
      <c r="U445" s="9"/>
      <c r="V445" s="9"/>
      <c r="W445" s="9"/>
      <c r="X445" s="4"/>
      <c r="Y445" s="6"/>
      <c r="Z445" s="9"/>
      <c r="AA445" s="4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10"/>
      <c r="AU445" s="9"/>
    </row>
    <row r="446" spans="1:47">
      <c r="A446" s="4"/>
      <c r="B446" s="4"/>
      <c r="C446" s="5"/>
      <c r="D446" s="5"/>
      <c r="E446" s="6"/>
      <c r="F446" s="4"/>
      <c r="G446" s="6"/>
      <c r="H446" s="7"/>
      <c r="I446" s="2"/>
      <c r="J446" s="2"/>
      <c r="K446" s="2"/>
      <c r="L446" s="2"/>
      <c r="M446" s="2"/>
      <c r="N446" s="2"/>
      <c r="O446" s="2"/>
      <c r="P446" s="2"/>
      <c r="Q446" s="2"/>
      <c r="R446" s="9"/>
      <c r="S446" s="4"/>
      <c r="T446" s="9"/>
      <c r="U446" s="9"/>
      <c r="V446" s="9"/>
      <c r="W446" s="9"/>
      <c r="X446" s="4"/>
      <c r="Y446" s="6"/>
      <c r="Z446" s="9"/>
      <c r="AA446" s="4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10"/>
      <c r="AU446" s="9"/>
    </row>
    <row r="447" spans="1:47">
      <c r="A447" s="4"/>
      <c r="B447" s="4"/>
      <c r="C447" s="5"/>
      <c r="D447" s="5"/>
      <c r="E447" s="6"/>
      <c r="F447" s="4"/>
      <c r="G447" s="6"/>
      <c r="H447" s="7"/>
      <c r="I447" s="2"/>
      <c r="J447" s="2"/>
      <c r="K447" s="2"/>
      <c r="L447" s="2"/>
      <c r="M447" s="2"/>
      <c r="N447" s="2"/>
      <c r="O447" s="2"/>
      <c r="P447" s="2"/>
      <c r="Q447" s="2"/>
      <c r="R447" s="9"/>
      <c r="S447" s="4"/>
      <c r="T447" s="9"/>
      <c r="U447" s="9"/>
      <c r="V447" s="9"/>
      <c r="W447" s="9"/>
      <c r="X447" s="4"/>
      <c r="Y447" s="6"/>
      <c r="Z447" s="9"/>
      <c r="AA447" s="4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10"/>
      <c r="AU447" s="9"/>
    </row>
    <row r="448" spans="1:47">
      <c r="A448" s="4"/>
      <c r="B448" s="4"/>
      <c r="C448" s="5"/>
      <c r="D448" s="5"/>
      <c r="E448" s="6"/>
      <c r="F448" s="4"/>
      <c r="G448" s="6"/>
      <c r="H448" s="7"/>
      <c r="I448" s="2"/>
      <c r="J448" s="2"/>
      <c r="K448" s="2"/>
      <c r="L448" s="2"/>
      <c r="M448" s="2"/>
      <c r="N448" s="2"/>
      <c r="O448" s="2"/>
      <c r="P448" s="2"/>
      <c r="Q448" s="2"/>
      <c r="R448" s="9"/>
      <c r="S448" s="4"/>
      <c r="T448" s="9"/>
      <c r="U448" s="9"/>
      <c r="V448" s="9"/>
      <c r="W448" s="9"/>
      <c r="X448" s="4"/>
      <c r="Y448" s="6"/>
      <c r="Z448" s="9"/>
      <c r="AA448" s="4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10"/>
      <c r="AU448" s="9"/>
    </row>
    <row r="449" spans="1:47">
      <c r="A449" s="4"/>
      <c r="B449" s="4"/>
      <c r="C449" s="5"/>
      <c r="D449" s="5"/>
      <c r="E449" s="6"/>
      <c r="F449" s="4"/>
      <c r="G449" s="6"/>
      <c r="H449" s="7"/>
      <c r="I449" s="7"/>
      <c r="J449" s="2"/>
      <c r="K449" s="2"/>
      <c r="L449" s="2"/>
      <c r="M449" s="2"/>
      <c r="N449" s="2"/>
      <c r="O449" s="2"/>
      <c r="P449" s="2"/>
      <c r="Q449" s="2"/>
      <c r="R449" s="9"/>
      <c r="S449" s="4"/>
      <c r="T449" s="9"/>
      <c r="U449" s="9"/>
      <c r="V449" s="9"/>
      <c r="W449" s="9"/>
      <c r="X449" s="4"/>
      <c r="Y449" s="6"/>
      <c r="Z449" s="9"/>
      <c r="AA449" s="4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10"/>
      <c r="AU449" s="9"/>
    </row>
    <row r="450" spans="1:47">
      <c r="A450" s="4"/>
      <c r="B450" s="4"/>
      <c r="C450" s="5"/>
      <c r="D450" s="5"/>
      <c r="E450" s="6"/>
      <c r="F450" s="4"/>
      <c r="G450" s="6"/>
      <c r="H450" s="7"/>
      <c r="I450" s="2"/>
      <c r="J450" s="2"/>
      <c r="K450" s="2"/>
      <c r="L450" s="2"/>
      <c r="M450" s="2"/>
      <c r="N450" s="2"/>
      <c r="O450" s="2"/>
      <c r="P450" s="2"/>
      <c r="Q450" s="2"/>
      <c r="R450" s="9"/>
      <c r="S450" s="4"/>
      <c r="T450" s="9"/>
      <c r="U450" s="9"/>
      <c r="V450" s="9"/>
      <c r="W450" s="9"/>
      <c r="X450" s="4"/>
      <c r="Y450" s="6"/>
      <c r="Z450" s="9"/>
      <c r="AA450" s="4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10"/>
      <c r="AU450" s="9"/>
    </row>
    <row r="451" spans="1:47">
      <c r="A451" s="4"/>
      <c r="B451" s="4"/>
      <c r="C451" s="5"/>
      <c r="D451" s="5"/>
      <c r="E451" s="6"/>
      <c r="F451" s="4"/>
      <c r="G451" s="6"/>
      <c r="H451" s="7"/>
      <c r="I451" s="2"/>
      <c r="J451" s="2"/>
      <c r="K451" s="2"/>
      <c r="L451" s="2"/>
      <c r="M451" s="2"/>
      <c r="N451" s="2"/>
      <c r="O451" s="2"/>
      <c r="P451" s="2"/>
      <c r="Q451" s="2"/>
      <c r="R451" s="9"/>
      <c r="S451" s="4"/>
      <c r="T451" s="9"/>
      <c r="U451" s="9"/>
      <c r="V451" s="9"/>
      <c r="W451" s="9"/>
      <c r="X451" s="4"/>
      <c r="Y451" s="6"/>
      <c r="Z451" s="9"/>
      <c r="AA451" s="4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10"/>
      <c r="AU451" s="9"/>
    </row>
    <row r="452" spans="1:47">
      <c r="A452" s="4"/>
      <c r="B452" s="4"/>
      <c r="C452" s="5"/>
      <c r="D452" s="5"/>
      <c r="E452" s="6"/>
      <c r="F452" s="4"/>
      <c r="G452" s="6"/>
      <c r="H452" s="7"/>
      <c r="I452" s="2"/>
      <c r="J452" s="2"/>
      <c r="K452" s="2"/>
      <c r="L452" s="2"/>
      <c r="M452" s="2"/>
      <c r="N452" s="2"/>
      <c r="O452" s="2"/>
      <c r="P452" s="2"/>
      <c r="Q452" s="2"/>
      <c r="R452" s="9"/>
      <c r="S452" s="4"/>
      <c r="T452" s="9"/>
      <c r="U452" s="9"/>
      <c r="V452" s="9"/>
      <c r="W452" s="9"/>
      <c r="X452" s="4"/>
      <c r="Y452" s="6"/>
      <c r="Z452" s="9"/>
      <c r="AA452" s="4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10"/>
      <c r="AU452" s="9"/>
    </row>
    <row r="453" spans="1:47">
      <c r="A453" s="4"/>
      <c r="B453" s="4"/>
      <c r="C453" s="5"/>
      <c r="D453" s="5"/>
      <c r="E453" s="6"/>
      <c r="F453" s="4"/>
      <c r="G453" s="6"/>
      <c r="H453" s="7"/>
      <c r="I453" s="2"/>
      <c r="J453" s="2"/>
      <c r="K453" s="2"/>
      <c r="L453" s="2"/>
      <c r="M453" s="2"/>
      <c r="N453" s="2"/>
      <c r="O453" s="2"/>
      <c r="P453" s="2"/>
      <c r="Q453" s="2"/>
      <c r="R453" s="9"/>
      <c r="S453" s="4"/>
      <c r="T453" s="9"/>
      <c r="U453" s="9"/>
      <c r="V453" s="9"/>
      <c r="W453" s="9"/>
      <c r="X453" s="4"/>
      <c r="Y453" s="6"/>
      <c r="Z453" s="9"/>
      <c r="AA453" s="4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10"/>
      <c r="AU453" s="9"/>
    </row>
    <row r="454" spans="1:47">
      <c r="A454" s="4"/>
      <c r="B454" s="4"/>
      <c r="C454" s="5"/>
      <c r="D454" s="5"/>
      <c r="E454" s="6"/>
      <c r="F454" s="4"/>
      <c r="G454" s="6"/>
      <c r="H454" s="7"/>
      <c r="I454" s="2"/>
      <c r="J454" s="2"/>
      <c r="K454" s="2"/>
      <c r="L454" s="2"/>
      <c r="M454" s="2"/>
      <c r="N454" s="2"/>
      <c r="O454" s="2"/>
      <c r="P454" s="2"/>
      <c r="Q454" s="2"/>
      <c r="R454" s="9"/>
      <c r="S454" s="4"/>
      <c r="T454" s="9"/>
      <c r="U454" s="9"/>
      <c r="V454" s="9"/>
      <c r="W454" s="9"/>
      <c r="X454" s="4"/>
      <c r="Y454" s="6"/>
      <c r="Z454" s="4"/>
      <c r="AA454" s="23"/>
      <c r="AB454" s="24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10"/>
      <c r="AU454" s="9"/>
    </row>
    <row r="455" spans="1:47">
      <c r="A455" s="4"/>
      <c r="B455" s="4"/>
      <c r="C455" s="5"/>
      <c r="D455" s="5"/>
      <c r="E455" s="6"/>
      <c r="F455" s="4"/>
      <c r="G455" s="6"/>
      <c r="H455" s="7"/>
      <c r="I455" s="2"/>
      <c r="J455" s="2"/>
      <c r="K455" s="2"/>
      <c r="L455" s="2"/>
      <c r="M455" s="2"/>
      <c r="N455" s="2"/>
      <c r="O455" s="2"/>
      <c r="P455" s="2"/>
      <c r="Q455" s="2"/>
      <c r="R455" s="9"/>
      <c r="S455" s="4"/>
      <c r="T455" s="9"/>
      <c r="U455" s="9"/>
      <c r="V455" s="9"/>
      <c r="W455" s="9"/>
      <c r="X455" s="4"/>
      <c r="Y455" s="6"/>
      <c r="Z455" s="4"/>
      <c r="AA455" s="23"/>
      <c r="AB455" s="24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10"/>
      <c r="AU455" s="9"/>
    </row>
    <row r="456" spans="1:47">
      <c r="A456" s="4"/>
      <c r="B456" s="4"/>
      <c r="C456" s="5"/>
      <c r="D456" s="5"/>
      <c r="E456" s="6"/>
      <c r="F456" s="4"/>
      <c r="G456" s="6"/>
      <c r="H456" s="7"/>
      <c r="I456" s="2"/>
      <c r="J456" s="2"/>
      <c r="K456" s="2"/>
      <c r="L456" s="2"/>
      <c r="M456" s="2"/>
      <c r="N456" s="2"/>
      <c r="O456" s="2"/>
      <c r="P456" s="2"/>
      <c r="Q456" s="2"/>
      <c r="R456" s="9"/>
      <c r="S456" s="4"/>
      <c r="T456" s="9"/>
      <c r="U456" s="9"/>
      <c r="V456" s="9"/>
      <c r="W456" s="9"/>
      <c r="X456" s="4"/>
      <c r="Y456" s="6"/>
      <c r="Z456" s="4"/>
      <c r="AA456" s="23"/>
      <c r="AB456" s="24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10"/>
      <c r="AU456" s="9"/>
    </row>
    <row r="457" spans="1:47">
      <c r="A457" s="4"/>
      <c r="B457" s="4"/>
      <c r="C457" s="5"/>
      <c r="D457" s="5"/>
      <c r="E457" s="6"/>
      <c r="F457" s="4"/>
      <c r="G457" s="6"/>
      <c r="H457" s="7"/>
      <c r="I457" s="2"/>
      <c r="J457" s="2"/>
      <c r="K457" s="2"/>
      <c r="L457" s="2"/>
      <c r="M457" s="2"/>
      <c r="N457" s="2"/>
      <c r="O457" s="2"/>
      <c r="P457" s="2"/>
      <c r="Q457" s="2"/>
      <c r="R457" s="9"/>
      <c r="S457" s="4"/>
      <c r="T457" s="9"/>
      <c r="U457" s="9"/>
      <c r="V457" s="9"/>
      <c r="W457" s="9"/>
      <c r="X457" s="4"/>
      <c r="Y457" s="6"/>
      <c r="Z457" s="4"/>
      <c r="AA457" s="23"/>
      <c r="AB457" s="24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10"/>
      <c r="AU457" s="9"/>
    </row>
    <row r="458" spans="1:47">
      <c r="A458" s="4"/>
      <c r="B458" s="4"/>
      <c r="C458" s="5"/>
      <c r="D458" s="5"/>
      <c r="E458" s="6"/>
      <c r="F458" s="4"/>
      <c r="G458" s="6"/>
      <c r="H458" s="7"/>
      <c r="I458" s="7"/>
      <c r="J458" s="7"/>
      <c r="K458" s="7"/>
      <c r="L458" s="7"/>
      <c r="M458" s="7"/>
      <c r="N458" s="7"/>
      <c r="O458" s="2"/>
      <c r="P458" s="2"/>
      <c r="Q458" s="2"/>
      <c r="R458" s="9"/>
      <c r="S458" s="4"/>
      <c r="T458" s="9"/>
      <c r="U458" s="9"/>
      <c r="V458" s="9"/>
      <c r="W458" s="9"/>
      <c r="X458" s="4"/>
      <c r="Y458" s="6"/>
      <c r="Z458" s="9"/>
      <c r="AA458" s="4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10"/>
      <c r="AU458" s="9"/>
    </row>
    <row r="459" spans="1:47">
      <c r="A459" s="4"/>
      <c r="B459" s="4"/>
      <c r="C459" s="5"/>
      <c r="D459" s="5"/>
      <c r="E459" s="6"/>
      <c r="F459" s="4"/>
      <c r="G459" s="6"/>
      <c r="H459" s="7"/>
      <c r="I459" s="2"/>
      <c r="J459" s="2"/>
      <c r="K459" s="2"/>
      <c r="L459" s="2"/>
      <c r="M459" s="2"/>
      <c r="N459" s="2"/>
      <c r="O459" s="2"/>
      <c r="P459" s="2"/>
      <c r="Q459" s="2"/>
      <c r="R459" s="9"/>
      <c r="S459" s="4"/>
      <c r="T459" s="9"/>
      <c r="U459" s="9"/>
      <c r="V459" s="9"/>
      <c r="W459" s="9"/>
      <c r="X459" s="4"/>
      <c r="Y459" s="6"/>
      <c r="Z459" s="4"/>
      <c r="AA459" s="23"/>
      <c r="AB459" s="24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10"/>
      <c r="AU459" s="9"/>
    </row>
    <row r="460" spans="1:47">
      <c r="A460" s="4"/>
      <c r="B460" s="4"/>
      <c r="C460" s="5"/>
      <c r="D460" s="5"/>
      <c r="E460" s="6"/>
      <c r="F460" s="4"/>
      <c r="G460" s="6"/>
      <c r="H460" s="7"/>
      <c r="I460" s="2"/>
      <c r="J460" s="2"/>
      <c r="K460" s="2"/>
      <c r="L460" s="2"/>
      <c r="M460" s="2"/>
      <c r="N460" s="2"/>
      <c r="O460" s="2"/>
      <c r="P460" s="2"/>
      <c r="Q460" s="2"/>
      <c r="R460" s="9"/>
      <c r="S460" s="4"/>
      <c r="T460" s="9"/>
      <c r="U460" s="9"/>
      <c r="V460" s="9"/>
      <c r="W460" s="9"/>
      <c r="X460" s="4"/>
      <c r="Y460" s="6"/>
      <c r="Z460" s="4"/>
      <c r="AA460" s="23"/>
      <c r="AB460" s="24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10"/>
      <c r="AU460" s="9"/>
    </row>
    <row r="461" spans="1:47">
      <c r="A461" s="4"/>
      <c r="B461" s="4"/>
      <c r="C461" s="5"/>
      <c r="D461" s="5"/>
      <c r="E461" s="6"/>
      <c r="F461" s="4"/>
      <c r="G461" s="6"/>
      <c r="H461" s="7"/>
      <c r="I461" s="2"/>
      <c r="J461" s="2"/>
      <c r="K461" s="2"/>
      <c r="L461" s="2"/>
      <c r="M461" s="2"/>
      <c r="N461" s="2"/>
      <c r="O461" s="2"/>
      <c r="P461" s="2"/>
      <c r="Q461" s="2"/>
      <c r="R461" s="9"/>
      <c r="S461" s="4"/>
      <c r="T461" s="9"/>
      <c r="U461" s="9"/>
      <c r="V461" s="9"/>
      <c r="W461" s="9"/>
      <c r="X461" s="4"/>
      <c r="Y461" s="6"/>
      <c r="Z461" s="4"/>
      <c r="AA461" s="23"/>
      <c r="AB461" s="24"/>
      <c r="AC461" s="2"/>
      <c r="AD461" s="2"/>
      <c r="AE461" s="25"/>
      <c r="AF461" s="24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10"/>
      <c r="AU461" s="9"/>
    </row>
    <row r="462" spans="1:47">
      <c r="A462" s="4"/>
      <c r="B462" s="4"/>
      <c r="C462" s="5"/>
      <c r="D462" s="5"/>
      <c r="E462" s="6"/>
      <c r="F462" s="4"/>
      <c r="G462" s="6"/>
      <c r="H462" s="7"/>
      <c r="I462" s="2"/>
      <c r="J462" s="2"/>
      <c r="K462" s="2"/>
      <c r="L462" s="2"/>
      <c r="M462" s="2"/>
      <c r="N462" s="2"/>
      <c r="O462" s="2"/>
      <c r="P462" s="2"/>
      <c r="Q462" s="2"/>
      <c r="R462" s="9"/>
      <c r="S462" s="4"/>
      <c r="T462" s="9"/>
      <c r="U462" s="9"/>
      <c r="V462" s="9"/>
      <c r="W462" s="9"/>
      <c r="X462" s="4"/>
      <c r="Y462" s="6"/>
      <c r="Z462" s="4"/>
      <c r="AA462" s="23"/>
      <c r="AB462" s="24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10"/>
      <c r="AU462" s="9"/>
    </row>
    <row r="463" spans="1:47">
      <c r="A463" s="4"/>
      <c r="B463" s="4"/>
      <c r="C463" s="5"/>
      <c r="D463" s="5"/>
      <c r="E463" s="6"/>
      <c r="F463" s="4"/>
      <c r="G463" s="6"/>
      <c r="H463" s="7"/>
      <c r="I463" s="2"/>
      <c r="J463" s="2"/>
      <c r="K463" s="2"/>
      <c r="L463" s="2"/>
      <c r="M463" s="2"/>
      <c r="N463" s="2"/>
      <c r="O463" s="2"/>
      <c r="P463" s="2"/>
      <c r="Q463" s="2"/>
      <c r="R463" s="9"/>
      <c r="S463" s="4"/>
      <c r="T463" s="9"/>
      <c r="U463" s="9"/>
      <c r="V463" s="9"/>
      <c r="W463" s="9"/>
      <c r="X463" s="4"/>
      <c r="Y463" s="6"/>
      <c r="Z463" s="9"/>
      <c r="AA463" s="4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10"/>
      <c r="AU463" s="9"/>
    </row>
    <row r="464" spans="1:47">
      <c r="A464" s="4"/>
      <c r="B464" s="4"/>
      <c r="C464" s="5"/>
      <c r="D464" s="5"/>
      <c r="E464" s="6"/>
      <c r="F464" s="4"/>
      <c r="G464" s="6"/>
      <c r="H464" s="7"/>
      <c r="I464" s="2"/>
      <c r="J464" s="2"/>
      <c r="K464" s="2"/>
      <c r="L464" s="2"/>
      <c r="M464" s="2"/>
      <c r="N464" s="2"/>
      <c r="O464" s="2"/>
      <c r="P464" s="2"/>
      <c r="Q464" s="2"/>
      <c r="R464" s="9"/>
      <c r="S464" s="4"/>
      <c r="T464" s="9"/>
      <c r="U464" s="9"/>
      <c r="V464" s="9"/>
      <c r="W464" s="9"/>
      <c r="X464" s="4"/>
      <c r="Y464" s="6"/>
      <c r="Z464" s="4"/>
      <c r="AA464" s="23"/>
      <c r="AB464" s="24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10"/>
      <c r="AU464" s="9"/>
    </row>
    <row r="465" spans="1:47">
      <c r="A465" s="4"/>
      <c r="B465" s="4"/>
      <c r="C465" s="5"/>
      <c r="D465" s="5"/>
      <c r="E465" s="6"/>
      <c r="F465" s="4"/>
      <c r="G465" s="6"/>
      <c r="H465" s="7"/>
      <c r="I465" s="2"/>
      <c r="J465" s="2"/>
      <c r="K465" s="2"/>
      <c r="L465" s="2"/>
      <c r="M465" s="2"/>
      <c r="N465" s="2"/>
      <c r="O465" s="2"/>
      <c r="P465" s="2"/>
      <c r="Q465" s="2"/>
      <c r="R465" s="9"/>
      <c r="S465" s="4"/>
      <c r="T465" s="9"/>
      <c r="U465" s="9"/>
      <c r="V465" s="9"/>
      <c r="W465" s="9"/>
      <c r="X465" s="4"/>
      <c r="Y465" s="6"/>
      <c r="Z465" s="9"/>
      <c r="AA465" s="4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10"/>
      <c r="AU465" s="9"/>
    </row>
    <row r="466" spans="1:47">
      <c r="A466" s="4"/>
      <c r="B466" s="4"/>
      <c r="C466" s="5"/>
      <c r="D466" s="5"/>
      <c r="E466" s="6"/>
      <c r="F466" s="4"/>
      <c r="G466" s="6"/>
      <c r="H466" s="7"/>
      <c r="I466" s="2"/>
      <c r="J466" s="2"/>
      <c r="K466" s="2"/>
      <c r="L466" s="2"/>
      <c r="M466" s="2"/>
      <c r="N466" s="2"/>
      <c r="O466" s="2"/>
      <c r="P466" s="2"/>
      <c r="Q466" s="2"/>
      <c r="R466" s="9"/>
      <c r="S466" s="4"/>
      <c r="T466" s="9"/>
      <c r="U466" s="9"/>
      <c r="V466" s="9"/>
      <c r="W466" s="9"/>
      <c r="X466" s="4"/>
      <c r="Y466" s="6"/>
      <c r="Z466" s="4"/>
      <c r="AA466" s="23"/>
      <c r="AB466" s="24"/>
      <c r="AC466" s="2"/>
      <c r="AD466" s="2"/>
      <c r="AE466" s="25"/>
      <c r="AF466" s="24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10"/>
      <c r="AU466" s="9"/>
    </row>
    <row r="467" spans="1:47">
      <c r="A467" s="4"/>
      <c r="B467" s="4"/>
      <c r="C467" s="5"/>
      <c r="D467" s="5"/>
      <c r="E467" s="6"/>
      <c r="F467" s="4"/>
      <c r="G467" s="6"/>
      <c r="H467" s="7"/>
      <c r="I467" s="2"/>
      <c r="J467" s="2"/>
      <c r="K467" s="2"/>
      <c r="L467" s="2"/>
      <c r="M467" s="2"/>
      <c r="N467" s="2"/>
      <c r="O467" s="2"/>
      <c r="P467" s="2"/>
      <c r="Q467" s="2"/>
      <c r="R467" s="9"/>
      <c r="S467" s="4"/>
      <c r="T467" s="9"/>
      <c r="U467" s="9"/>
      <c r="V467" s="9"/>
      <c r="W467" s="9"/>
      <c r="X467" s="4"/>
      <c r="Y467" s="6"/>
      <c r="Z467" s="4"/>
      <c r="AA467" s="23"/>
      <c r="AB467" s="24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10"/>
      <c r="AU467" s="9"/>
    </row>
    <row r="468" spans="1:47">
      <c r="A468" s="4"/>
      <c r="B468" s="4"/>
      <c r="C468" s="5"/>
      <c r="D468" s="5"/>
      <c r="E468" s="6"/>
      <c r="F468" s="4"/>
      <c r="G468" s="6"/>
      <c r="H468" s="7"/>
      <c r="I468" s="2"/>
      <c r="J468" s="2"/>
      <c r="K468" s="2"/>
      <c r="L468" s="2"/>
      <c r="M468" s="2"/>
      <c r="N468" s="2"/>
      <c r="O468" s="2"/>
      <c r="P468" s="2"/>
      <c r="Q468" s="2"/>
      <c r="R468" s="9"/>
      <c r="S468" s="4"/>
      <c r="T468" s="9"/>
      <c r="U468" s="9"/>
      <c r="V468" s="9"/>
      <c r="W468" s="9"/>
      <c r="X468" s="4"/>
      <c r="Y468" s="6"/>
      <c r="Z468" s="4"/>
      <c r="AA468" s="23"/>
      <c r="AB468" s="24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10"/>
      <c r="AU468" s="9"/>
    </row>
    <row r="469" spans="1:47">
      <c r="A469" s="4"/>
      <c r="B469" s="4"/>
      <c r="C469" s="5"/>
      <c r="D469" s="5"/>
      <c r="E469" s="6"/>
      <c r="F469" s="4"/>
      <c r="G469" s="6"/>
      <c r="H469" s="7"/>
      <c r="I469" s="7"/>
      <c r="J469" s="7"/>
      <c r="K469" s="7"/>
      <c r="L469" s="7"/>
      <c r="M469" s="2"/>
      <c r="N469" s="2"/>
      <c r="O469" s="2"/>
      <c r="P469" s="2"/>
      <c r="Q469" s="2"/>
      <c r="R469" s="9"/>
      <c r="S469" s="4"/>
      <c r="T469" s="9"/>
      <c r="U469" s="9"/>
      <c r="V469" s="9"/>
      <c r="W469" s="9"/>
      <c r="X469" s="4"/>
      <c r="Y469" s="6"/>
      <c r="Z469" s="4"/>
      <c r="AA469" s="23"/>
      <c r="AB469" s="24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10"/>
      <c r="AU469" s="9"/>
    </row>
    <row r="470" spans="1:47">
      <c r="A470" s="4"/>
      <c r="B470" s="4"/>
      <c r="C470" s="5"/>
      <c r="D470" s="5"/>
      <c r="E470" s="6"/>
      <c r="F470" s="4"/>
      <c r="G470" s="6"/>
      <c r="H470" s="7"/>
      <c r="I470" s="2"/>
      <c r="J470" s="2"/>
      <c r="K470" s="2"/>
      <c r="L470" s="2"/>
      <c r="M470" s="2"/>
      <c r="N470" s="2"/>
      <c r="O470" s="2"/>
      <c r="P470" s="2"/>
      <c r="Q470" s="2"/>
      <c r="R470" s="9"/>
      <c r="S470" s="4"/>
      <c r="T470" s="9"/>
      <c r="U470" s="9"/>
      <c r="V470" s="9"/>
      <c r="W470" s="9"/>
      <c r="X470" s="4"/>
      <c r="Y470" s="6"/>
      <c r="Z470" s="4"/>
      <c r="AA470" s="23"/>
      <c r="AB470" s="24"/>
      <c r="AC470" s="2"/>
      <c r="AD470" s="2"/>
      <c r="AE470" s="25"/>
      <c r="AF470" s="24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10"/>
      <c r="AU470" s="9"/>
    </row>
    <row r="471" spans="1:47">
      <c r="A471" s="4"/>
      <c r="B471" s="4"/>
      <c r="C471" s="5"/>
      <c r="D471" s="5"/>
      <c r="E471" s="6"/>
      <c r="F471" s="4"/>
      <c r="G471" s="6"/>
      <c r="H471" s="7"/>
      <c r="I471" s="2"/>
      <c r="J471" s="2"/>
      <c r="K471" s="2"/>
      <c r="L471" s="2"/>
      <c r="M471" s="2"/>
      <c r="N471" s="2"/>
      <c r="O471" s="2"/>
      <c r="P471" s="2"/>
      <c r="Q471" s="2"/>
      <c r="R471" s="9"/>
      <c r="S471" s="4"/>
      <c r="T471" s="9"/>
      <c r="U471" s="9"/>
      <c r="V471" s="9"/>
      <c r="W471" s="9"/>
      <c r="X471" s="4"/>
      <c r="Y471" s="6"/>
      <c r="Z471" s="4"/>
      <c r="AA471" s="23"/>
      <c r="AB471" s="24"/>
      <c r="AC471" s="2"/>
      <c r="AD471" s="2"/>
      <c r="AE471" s="25"/>
      <c r="AF471" s="24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10"/>
      <c r="AU471" s="9"/>
    </row>
    <row r="472" spans="1:47">
      <c r="A472" s="4"/>
      <c r="B472" s="4"/>
      <c r="C472" s="5"/>
      <c r="D472" s="5"/>
      <c r="E472" s="6"/>
      <c r="F472" s="4"/>
      <c r="G472" s="6"/>
      <c r="H472" s="7"/>
      <c r="I472" s="7"/>
      <c r="J472" s="26"/>
      <c r="K472" s="24"/>
      <c r="L472" s="24"/>
      <c r="M472" s="2"/>
      <c r="N472" s="2"/>
      <c r="O472" s="2"/>
      <c r="P472" s="2"/>
      <c r="Q472" s="2"/>
      <c r="R472" s="9"/>
      <c r="S472" s="4"/>
      <c r="T472" s="9"/>
      <c r="U472" s="9"/>
      <c r="V472" s="9"/>
      <c r="W472" s="9"/>
      <c r="X472" s="4"/>
      <c r="Y472" s="6"/>
      <c r="Z472" s="4"/>
      <c r="AA472" s="23"/>
      <c r="AB472" s="24"/>
      <c r="AC472" s="2"/>
      <c r="AD472" s="2"/>
      <c r="AE472" s="2"/>
      <c r="AF472" s="2"/>
      <c r="AG472" s="2"/>
      <c r="AH472" s="2"/>
      <c r="AI472" s="2"/>
      <c r="AJ472" s="7"/>
      <c r="AK472" s="2"/>
      <c r="AL472" s="2"/>
      <c r="AM472" s="2"/>
      <c r="AN472" s="2"/>
      <c r="AO472" s="2"/>
      <c r="AP472" s="2"/>
      <c r="AQ472" s="2"/>
      <c r="AR472" s="2"/>
      <c r="AS472" s="2"/>
      <c r="AT472" s="10"/>
      <c r="AU472" s="9"/>
    </row>
    <row r="473" spans="1:47">
      <c r="A473" s="4"/>
      <c r="B473" s="4"/>
      <c r="C473" s="5"/>
      <c r="D473" s="5"/>
      <c r="E473" s="6"/>
      <c r="F473" s="4"/>
      <c r="G473" s="6"/>
      <c r="H473" s="7"/>
      <c r="I473" s="7"/>
      <c r="J473" s="7"/>
      <c r="K473" s="7"/>
      <c r="L473" s="7"/>
      <c r="M473" s="2"/>
      <c r="N473" s="2"/>
      <c r="O473" s="2"/>
      <c r="P473" s="2"/>
      <c r="Q473" s="2"/>
      <c r="R473" s="9"/>
      <c r="S473" s="4"/>
      <c r="T473" s="9"/>
      <c r="U473" s="9"/>
      <c r="V473" s="9"/>
      <c r="W473" s="9"/>
      <c r="X473" s="4"/>
      <c r="Y473" s="6"/>
      <c r="Z473" s="4"/>
      <c r="AA473" s="23"/>
      <c r="AB473" s="24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10"/>
      <c r="AU473" s="9"/>
    </row>
    <row r="474" spans="1:47">
      <c r="A474" s="4"/>
      <c r="B474" s="4"/>
      <c r="C474" s="5"/>
      <c r="D474" s="5"/>
      <c r="E474" s="6"/>
      <c r="F474" s="4"/>
      <c r="G474" s="6"/>
      <c r="H474" s="7"/>
      <c r="I474" s="2"/>
      <c r="J474" s="2"/>
      <c r="K474" s="2"/>
      <c r="L474" s="2"/>
      <c r="M474" s="2"/>
      <c r="N474" s="2"/>
      <c r="O474" s="2"/>
      <c r="P474" s="2"/>
      <c r="Q474" s="2"/>
      <c r="R474" s="9"/>
      <c r="S474" s="4"/>
      <c r="T474" s="9"/>
      <c r="U474" s="9"/>
      <c r="V474" s="9"/>
      <c r="W474" s="9"/>
      <c r="X474" s="4"/>
      <c r="Y474" s="6"/>
      <c r="Z474" s="4"/>
      <c r="AA474" s="23"/>
      <c r="AB474" s="24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10"/>
      <c r="AU474" s="9"/>
    </row>
    <row r="475" spans="1:47">
      <c r="A475" s="4"/>
      <c r="B475" s="4"/>
      <c r="C475" s="5"/>
      <c r="D475" s="5"/>
      <c r="E475" s="6"/>
      <c r="F475" s="4"/>
      <c r="G475" s="6"/>
      <c r="H475" s="7"/>
      <c r="I475" s="2"/>
      <c r="J475" s="2"/>
      <c r="K475" s="2"/>
      <c r="L475" s="2"/>
      <c r="M475" s="2"/>
      <c r="N475" s="2"/>
      <c r="O475" s="2"/>
      <c r="P475" s="2"/>
      <c r="Q475" s="2"/>
      <c r="R475" s="9"/>
      <c r="S475" s="4"/>
      <c r="T475" s="9"/>
      <c r="U475" s="9"/>
      <c r="V475" s="9"/>
      <c r="W475" s="9"/>
      <c r="X475" s="4"/>
      <c r="Y475" s="6"/>
      <c r="Z475" s="4"/>
      <c r="AA475" s="23"/>
      <c r="AB475" s="24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10"/>
      <c r="AU475" s="9"/>
    </row>
    <row r="476" spans="1:47">
      <c r="A476" s="4"/>
      <c r="B476" s="4"/>
      <c r="C476" s="5"/>
      <c r="D476" s="5"/>
      <c r="E476" s="6"/>
      <c r="F476" s="4"/>
      <c r="G476" s="6"/>
      <c r="H476" s="7"/>
      <c r="I476" s="7"/>
      <c r="J476" s="7"/>
      <c r="K476" s="7"/>
      <c r="L476" s="7"/>
      <c r="M476" s="2"/>
      <c r="N476" s="2"/>
      <c r="O476" s="2"/>
      <c r="P476" s="2"/>
      <c r="Q476" s="2"/>
      <c r="R476" s="9"/>
      <c r="S476" s="4"/>
      <c r="T476" s="9"/>
      <c r="U476" s="9"/>
      <c r="V476" s="9"/>
      <c r="W476" s="9"/>
      <c r="X476" s="4"/>
      <c r="Y476" s="6"/>
      <c r="Z476" s="4"/>
      <c r="AA476" s="23"/>
      <c r="AB476" s="24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10"/>
      <c r="AU476" s="9"/>
    </row>
    <row r="477" spans="1:47">
      <c r="A477" s="4"/>
      <c r="B477" s="4"/>
      <c r="C477" s="5"/>
      <c r="D477" s="5"/>
      <c r="E477" s="6"/>
      <c r="F477" s="4"/>
      <c r="G477" s="6"/>
      <c r="H477" s="7"/>
      <c r="I477" s="7"/>
      <c r="J477" s="7"/>
      <c r="K477" s="7"/>
      <c r="L477" s="7"/>
      <c r="M477" s="2"/>
      <c r="N477" s="2"/>
      <c r="O477" s="2"/>
      <c r="P477" s="2"/>
      <c r="Q477" s="2"/>
      <c r="R477" s="9"/>
      <c r="S477" s="4"/>
      <c r="T477" s="9"/>
      <c r="U477" s="9"/>
      <c r="V477" s="9"/>
      <c r="W477" s="9"/>
      <c r="X477" s="4"/>
      <c r="Y477" s="6"/>
      <c r="Z477" s="4"/>
      <c r="AA477" s="23"/>
      <c r="AB477" s="24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10"/>
      <c r="AU477" s="9"/>
    </row>
    <row r="478" spans="1:47">
      <c r="A478" s="4"/>
      <c r="B478" s="4"/>
      <c r="C478" s="5"/>
      <c r="D478" s="5"/>
      <c r="E478" s="6"/>
      <c r="F478" s="4"/>
      <c r="G478" s="6"/>
      <c r="H478" s="7"/>
      <c r="I478" s="2"/>
      <c r="J478" s="2"/>
      <c r="K478" s="2"/>
      <c r="L478" s="2"/>
      <c r="M478" s="2"/>
      <c r="N478" s="2"/>
      <c r="O478" s="2"/>
      <c r="P478" s="2"/>
      <c r="Q478" s="2"/>
      <c r="R478" s="9"/>
      <c r="S478" s="4"/>
      <c r="T478" s="9"/>
      <c r="U478" s="9"/>
      <c r="V478" s="9"/>
      <c r="W478" s="9"/>
      <c r="X478" s="4"/>
      <c r="Y478" s="6"/>
      <c r="Z478" s="4"/>
      <c r="AA478" s="23"/>
      <c r="AB478" s="24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10"/>
      <c r="AU478" s="9"/>
    </row>
    <row r="479" spans="1:47">
      <c r="A479" s="4"/>
      <c r="B479" s="4"/>
      <c r="C479" s="5"/>
      <c r="D479" s="5"/>
      <c r="E479" s="6"/>
      <c r="F479" s="4"/>
      <c r="G479" s="6"/>
      <c r="H479" s="7"/>
      <c r="I479" s="7"/>
      <c r="J479" s="7"/>
      <c r="K479" s="7"/>
      <c r="L479" s="7"/>
      <c r="M479" s="2"/>
      <c r="N479" s="2"/>
      <c r="O479" s="2"/>
      <c r="P479" s="2"/>
      <c r="Q479" s="2"/>
      <c r="R479" s="9"/>
      <c r="S479" s="4"/>
      <c r="T479" s="9"/>
      <c r="U479" s="9"/>
      <c r="V479" s="9"/>
      <c r="W479" s="9"/>
      <c r="X479" s="4"/>
      <c r="Y479" s="6"/>
      <c r="Z479" s="4"/>
      <c r="AA479" s="23"/>
      <c r="AB479" s="24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10"/>
      <c r="AU479" s="9"/>
    </row>
    <row r="480" spans="1:47">
      <c r="A480" s="4"/>
      <c r="B480" s="4"/>
      <c r="C480" s="5"/>
      <c r="D480" s="5"/>
      <c r="E480" s="6"/>
      <c r="F480" s="4"/>
      <c r="G480" s="6"/>
      <c r="H480" s="7"/>
      <c r="I480" s="2"/>
      <c r="J480" s="2"/>
      <c r="K480" s="2"/>
      <c r="L480" s="2"/>
      <c r="M480" s="2"/>
      <c r="N480" s="2"/>
      <c r="O480" s="2"/>
      <c r="P480" s="2"/>
      <c r="Q480" s="2"/>
      <c r="R480" s="9"/>
      <c r="S480" s="4"/>
      <c r="T480" s="9"/>
      <c r="U480" s="9"/>
      <c r="V480" s="9"/>
      <c r="W480" s="9"/>
      <c r="X480" s="4"/>
      <c r="Y480" s="6"/>
      <c r="Z480" s="4"/>
      <c r="AA480" s="23"/>
      <c r="AB480" s="24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10"/>
      <c r="AU480" s="9"/>
    </row>
    <row r="481" spans="1:47">
      <c r="A481" s="4"/>
      <c r="B481" s="4"/>
      <c r="C481" s="5"/>
      <c r="D481" s="5"/>
      <c r="E481" s="6"/>
      <c r="F481" s="4"/>
      <c r="G481" s="6"/>
      <c r="H481" s="7"/>
      <c r="I481" s="2"/>
      <c r="J481" s="2"/>
      <c r="K481" s="2"/>
      <c r="L481" s="2"/>
      <c r="M481" s="2"/>
      <c r="N481" s="2"/>
      <c r="O481" s="2"/>
      <c r="P481" s="2"/>
      <c r="Q481" s="2"/>
      <c r="R481" s="9"/>
      <c r="S481" s="4"/>
      <c r="T481" s="9"/>
      <c r="U481" s="9"/>
      <c r="V481" s="9"/>
      <c r="W481" s="9"/>
      <c r="X481" s="4"/>
      <c r="Y481" s="6"/>
      <c r="Z481" s="4"/>
      <c r="AA481" s="23"/>
      <c r="AB481" s="24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10"/>
      <c r="AU481" s="9"/>
    </row>
    <row r="482" spans="1:47">
      <c r="A482" s="4"/>
      <c r="B482" s="4"/>
      <c r="C482" s="5"/>
      <c r="D482" s="5"/>
      <c r="E482" s="6"/>
      <c r="F482" s="4"/>
      <c r="G482" s="6"/>
      <c r="H482" s="7"/>
      <c r="I482" s="2"/>
      <c r="J482" s="2"/>
      <c r="K482" s="2"/>
      <c r="L482" s="2"/>
      <c r="M482" s="2"/>
      <c r="N482" s="2"/>
      <c r="O482" s="2"/>
      <c r="P482" s="2"/>
      <c r="Q482" s="2"/>
      <c r="R482" s="9"/>
      <c r="S482" s="4"/>
      <c r="T482" s="9"/>
      <c r="U482" s="9"/>
      <c r="V482" s="9"/>
      <c r="W482" s="9"/>
      <c r="X482" s="4"/>
      <c r="Y482" s="6"/>
      <c r="Z482" s="4"/>
      <c r="AA482" s="23"/>
      <c r="AB482" s="24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10"/>
      <c r="AU482" s="9"/>
    </row>
    <row r="483" spans="1:47">
      <c r="A483" s="4"/>
      <c r="B483" s="4"/>
      <c r="C483" s="5"/>
      <c r="D483" s="5"/>
      <c r="E483" s="6"/>
      <c r="F483" s="4"/>
      <c r="G483" s="6"/>
      <c r="H483" s="7"/>
      <c r="I483" s="2"/>
      <c r="J483" s="2"/>
      <c r="K483" s="2"/>
      <c r="L483" s="2"/>
      <c r="M483" s="2"/>
      <c r="N483" s="2"/>
      <c r="O483" s="2"/>
      <c r="P483" s="2"/>
      <c r="Q483" s="2"/>
      <c r="R483" s="9"/>
      <c r="S483" s="4"/>
      <c r="T483" s="9"/>
      <c r="U483" s="9"/>
      <c r="V483" s="9"/>
      <c r="W483" s="9"/>
      <c r="X483" s="4"/>
      <c r="Y483" s="6"/>
      <c r="Z483" s="4"/>
      <c r="AA483" s="23"/>
      <c r="AB483" s="24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10"/>
      <c r="AU483" s="9"/>
    </row>
    <row r="484" spans="1:47">
      <c r="A484" s="4"/>
      <c r="B484" s="4"/>
      <c r="C484" s="5"/>
      <c r="D484" s="5"/>
      <c r="E484" s="6"/>
      <c r="F484" s="4"/>
      <c r="G484" s="6"/>
      <c r="H484" s="7"/>
      <c r="I484" s="7"/>
      <c r="J484" s="7"/>
      <c r="K484" s="7"/>
      <c r="L484" s="7"/>
      <c r="M484" s="2"/>
      <c r="N484" s="2"/>
      <c r="O484" s="2"/>
      <c r="P484" s="2"/>
      <c r="Q484" s="2"/>
      <c r="R484" s="9"/>
      <c r="S484" s="4"/>
      <c r="T484" s="9"/>
      <c r="U484" s="9"/>
      <c r="V484" s="9"/>
      <c r="W484" s="9"/>
      <c r="X484" s="4"/>
      <c r="Y484" s="6"/>
      <c r="Z484" s="4"/>
      <c r="AA484" s="23"/>
      <c r="AB484" s="24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10"/>
      <c r="AU484" s="9"/>
    </row>
    <row r="485" spans="1:47">
      <c r="A485" s="4"/>
      <c r="B485" s="4"/>
      <c r="C485" s="5"/>
      <c r="D485" s="5"/>
      <c r="E485" s="6"/>
      <c r="F485" s="4"/>
      <c r="G485" s="6"/>
      <c r="H485" s="7"/>
      <c r="I485" s="2"/>
      <c r="J485" s="2"/>
      <c r="K485" s="2"/>
      <c r="L485" s="2"/>
      <c r="M485" s="2"/>
      <c r="N485" s="2"/>
      <c r="O485" s="2"/>
      <c r="P485" s="2"/>
      <c r="Q485" s="2"/>
      <c r="R485" s="9"/>
      <c r="S485" s="4"/>
      <c r="T485" s="9"/>
      <c r="U485" s="9"/>
      <c r="V485" s="9"/>
      <c r="W485" s="9"/>
      <c r="X485" s="4"/>
      <c r="Y485" s="6"/>
      <c r="Z485" s="4"/>
      <c r="AA485" s="23"/>
      <c r="AB485" s="24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10"/>
      <c r="AU485" s="9"/>
    </row>
    <row r="486" spans="1:47">
      <c r="A486" s="4"/>
      <c r="B486" s="4"/>
      <c r="C486" s="5"/>
      <c r="D486" s="5"/>
      <c r="E486" s="6"/>
      <c r="F486" s="4"/>
      <c r="G486" s="6"/>
      <c r="H486" s="7"/>
      <c r="I486" s="2"/>
      <c r="J486" s="2"/>
      <c r="K486" s="2"/>
      <c r="L486" s="2"/>
      <c r="M486" s="2"/>
      <c r="N486" s="2"/>
      <c r="O486" s="2"/>
      <c r="P486" s="2"/>
      <c r="Q486" s="2"/>
      <c r="R486" s="9"/>
      <c r="S486" s="4"/>
      <c r="T486" s="9"/>
      <c r="U486" s="9"/>
      <c r="V486" s="9"/>
      <c r="W486" s="9"/>
      <c r="X486" s="4"/>
      <c r="Y486" s="6"/>
      <c r="Z486" s="4"/>
      <c r="AA486" s="23"/>
      <c r="AB486" s="24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10"/>
      <c r="AU486" s="9"/>
    </row>
    <row r="487" spans="1:47">
      <c r="A487" s="4"/>
      <c r="B487" s="4"/>
      <c r="C487" s="5"/>
      <c r="D487" s="5"/>
      <c r="E487" s="6"/>
      <c r="F487" s="4"/>
      <c r="G487" s="6"/>
      <c r="H487" s="7"/>
      <c r="I487" s="7"/>
      <c r="J487" s="7"/>
      <c r="K487" s="2"/>
      <c r="L487" s="2"/>
      <c r="M487" s="2"/>
      <c r="N487" s="2"/>
      <c r="O487" s="2"/>
      <c r="P487" s="2"/>
      <c r="Q487" s="2"/>
      <c r="R487" s="9"/>
      <c r="S487" s="4"/>
      <c r="T487" s="9"/>
      <c r="U487" s="9"/>
      <c r="V487" s="9"/>
      <c r="W487" s="9"/>
      <c r="X487" s="4"/>
      <c r="Y487" s="6"/>
      <c r="Z487" s="9"/>
      <c r="AA487" s="4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10"/>
      <c r="AU487" s="9"/>
    </row>
    <row r="488" spans="1:47">
      <c r="A488" s="4"/>
      <c r="B488" s="4"/>
      <c r="C488" s="5"/>
      <c r="D488" s="5"/>
      <c r="E488" s="6"/>
      <c r="F488" s="4"/>
      <c r="G488" s="6"/>
      <c r="H488" s="7"/>
      <c r="I488" s="2"/>
      <c r="J488" s="2"/>
      <c r="K488" s="2"/>
      <c r="L488" s="2"/>
      <c r="M488" s="2"/>
      <c r="N488" s="2"/>
      <c r="O488" s="2"/>
      <c r="P488" s="2"/>
      <c r="Q488" s="2"/>
      <c r="R488" s="9"/>
      <c r="S488" s="4"/>
      <c r="T488" s="9"/>
      <c r="U488" s="9"/>
      <c r="V488" s="9"/>
      <c r="W488" s="9"/>
      <c r="X488" s="4"/>
      <c r="Y488" s="6"/>
      <c r="Z488" s="4"/>
      <c r="AA488" s="23"/>
      <c r="AB488" s="24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10"/>
      <c r="AU488" s="9"/>
    </row>
    <row r="489" spans="1:47">
      <c r="A489" s="4"/>
      <c r="B489" s="4"/>
      <c r="C489" s="5"/>
      <c r="D489" s="5"/>
      <c r="E489" s="6"/>
      <c r="F489" s="4"/>
      <c r="G489" s="6"/>
      <c r="H489" s="7"/>
      <c r="I489" s="2"/>
      <c r="J489" s="2"/>
      <c r="K489" s="2"/>
      <c r="L489" s="2"/>
      <c r="M489" s="2"/>
      <c r="N489" s="2"/>
      <c r="O489" s="2"/>
      <c r="P489" s="2"/>
      <c r="Q489" s="2"/>
      <c r="R489" s="9"/>
      <c r="S489" s="4"/>
      <c r="T489" s="9"/>
      <c r="U489" s="9"/>
      <c r="V489" s="9"/>
      <c r="W489" s="9"/>
      <c r="X489" s="4"/>
      <c r="Y489" s="6"/>
      <c r="Z489" s="4"/>
      <c r="AA489" s="23"/>
      <c r="AB489" s="24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10"/>
      <c r="AU489" s="9"/>
    </row>
    <row r="490" spans="1:47">
      <c r="A490" s="4"/>
      <c r="B490" s="4"/>
      <c r="C490" s="5"/>
      <c r="D490" s="5"/>
      <c r="E490" s="6"/>
      <c r="F490" s="4"/>
      <c r="G490" s="6"/>
      <c r="H490" s="7"/>
      <c r="I490" s="2"/>
      <c r="J490" s="2"/>
      <c r="K490" s="2"/>
      <c r="L490" s="2"/>
      <c r="M490" s="2"/>
      <c r="N490" s="2"/>
      <c r="O490" s="2"/>
      <c r="P490" s="2"/>
      <c r="Q490" s="2"/>
      <c r="R490" s="9"/>
      <c r="S490" s="4"/>
      <c r="T490" s="9"/>
      <c r="U490" s="9"/>
      <c r="V490" s="9"/>
      <c r="W490" s="9"/>
      <c r="X490" s="4"/>
      <c r="Y490" s="6"/>
      <c r="Z490" s="4"/>
      <c r="AA490" s="23"/>
      <c r="AB490" s="24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10"/>
      <c r="AU490" s="9"/>
    </row>
    <row r="491" spans="1:47">
      <c r="A491" s="4"/>
      <c r="B491" s="4"/>
      <c r="C491" s="5"/>
      <c r="D491" s="5"/>
      <c r="E491" s="6"/>
      <c r="F491" s="4"/>
      <c r="G491" s="6"/>
      <c r="H491" s="7"/>
      <c r="I491" s="2"/>
      <c r="J491" s="2"/>
      <c r="K491" s="2"/>
      <c r="L491" s="2"/>
      <c r="M491" s="2"/>
      <c r="N491" s="2"/>
      <c r="O491" s="2"/>
      <c r="P491" s="2"/>
      <c r="Q491" s="2"/>
      <c r="R491" s="9"/>
      <c r="S491" s="4"/>
      <c r="T491" s="9"/>
      <c r="U491" s="9"/>
      <c r="V491" s="9"/>
      <c r="W491" s="9"/>
      <c r="X491" s="4"/>
      <c r="Y491" s="6"/>
      <c r="Z491" s="4"/>
      <c r="AA491" s="23"/>
      <c r="AB491" s="24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10"/>
      <c r="AU491" s="9"/>
    </row>
    <row r="492" spans="1:47">
      <c r="A492" s="4"/>
      <c r="B492" s="4"/>
      <c r="C492" s="5"/>
      <c r="D492" s="5"/>
      <c r="E492" s="6"/>
      <c r="F492" s="4"/>
      <c r="G492" s="6"/>
      <c r="H492" s="7"/>
      <c r="I492" s="2"/>
      <c r="J492" s="2"/>
      <c r="K492" s="2"/>
      <c r="L492" s="2"/>
      <c r="M492" s="2"/>
      <c r="N492" s="2"/>
      <c r="O492" s="2"/>
      <c r="P492" s="2"/>
      <c r="Q492" s="2"/>
      <c r="R492" s="9"/>
      <c r="S492" s="4"/>
      <c r="T492" s="9"/>
      <c r="U492" s="9"/>
      <c r="V492" s="9"/>
      <c r="W492" s="9"/>
      <c r="X492" s="4"/>
      <c r="Y492" s="6"/>
      <c r="Z492" s="4"/>
      <c r="AA492" s="23"/>
      <c r="AB492" s="24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10"/>
      <c r="AU492" s="9"/>
    </row>
    <row r="493" spans="1:47">
      <c r="A493" s="4"/>
      <c r="B493" s="4"/>
      <c r="C493" s="5"/>
      <c r="D493" s="5"/>
      <c r="E493" s="6"/>
      <c r="F493" s="4"/>
      <c r="G493" s="6"/>
      <c r="H493" s="7"/>
      <c r="I493" s="2"/>
      <c r="J493" s="2"/>
      <c r="K493" s="2"/>
      <c r="L493" s="2"/>
      <c r="M493" s="2"/>
      <c r="N493" s="2"/>
      <c r="O493" s="2"/>
      <c r="P493" s="2"/>
      <c r="Q493" s="2"/>
      <c r="R493" s="9"/>
      <c r="S493" s="4"/>
      <c r="T493" s="9"/>
      <c r="U493" s="9"/>
      <c r="V493" s="9"/>
      <c r="W493" s="9"/>
      <c r="X493" s="4"/>
      <c r="Y493" s="6"/>
      <c r="Z493" s="4"/>
      <c r="AA493" s="23"/>
      <c r="AB493" s="24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10"/>
      <c r="AU493" s="9"/>
    </row>
    <row r="494" spans="1:47">
      <c r="A494" s="4"/>
      <c r="B494" s="4"/>
      <c r="C494" s="5"/>
      <c r="D494" s="5"/>
      <c r="E494" s="6"/>
      <c r="F494" s="4"/>
      <c r="G494" s="6"/>
      <c r="H494" s="7"/>
      <c r="I494" s="2"/>
      <c r="J494" s="2"/>
      <c r="K494" s="2"/>
      <c r="L494" s="2"/>
      <c r="M494" s="2"/>
      <c r="N494" s="2"/>
      <c r="O494" s="2"/>
      <c r="P494" s="2"/>
      <c r="Q494" s="2"/>
      <c r="R494" s="9"/>
      <c r="S494" s="4"/>
      <c r="T494" s="9"/>
      <c r="U494" s="9"/>
      <c r="V494" s="9"/>
      <c r="W494" s="9"/>
      <c r="X494" s="4"/>
      <c r="Y494" s="6"/>
      <c r="Z494" s="4"/>
      <c r="AA494" s="23"/>
      <c r="AB494" s="24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10"/>
      <c r="AU494" s="9"/>
    </row>
    <row r="495" spans="1:47">
      <c r="A495" s="4"/>
      <c r="B495" s="4"/>
      <c r="C495" s="5"/>
      <c r="D495" s="5"/>
      <c r="E495" s="6"/>
      <c r="F495" s="4"/>
      <c r="G495" s="6"/>
      <c r="H495" s="7"/>
      <c r="I495" s="2"/>
      <c r="J495" s="2"/>
      <c r="K495" s="2"/>
      <c r="L495" s="2"/>
      <c r="M495" s="2"/>
      <c r="N495" s="2"/>
      <c r="O495" s="2"/>
      <c r="P495" s="2"/>
      <c r="Q495" s="2"/>
      <c r="R495" s="9"/>
      <c r="S495" s="4"/>
      <c r="T495" s="9"/>
      <c r="U495" s="9"/>
      <c r="V495" s="9"/>
      <c r="W495" s="9"/>
      <c r="X495" s="4"/>
      <c r="Y495" s="6"/>
      <c r="Z495" s="4"/>
      <c r="AA495" s="23"/>
      <c r="AB495" s="24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10"/>
      <c r="AU495" s="9"/>
    </row>
    <row r="496" spans="1:47">
      <c r="A496" s="4"/>
      <c r="B496" s="4"/>
      <c r="C496" s="5"/>
      <c r="D496" s="5"/>
      <c r="E496" s="6"/>
      <c r="F496" s="4"/>
      <c r="G496" s="6"/>
      <c r="H496" s="7"/>
      <c r="I496" s="2"/>
      <c r="J496" s="2"/>
      <c r="K496" s="2"/>
      <c r="L496" s="2"/>
      <c r="M496" s="2"/>
      <c r="N496" s="2"/>
      <c r="O496" s="2"/>
      <c r="P496" s="2"/>
      <c r="Q496" s="2"/>
      <c r="R496" s="9"/>
      <c r="S496" s="4"/>
      <c r="T496" s="9"/>
      <c r="U496" s="9"/>
      <c r="V496" s="9"/>
      <c r="W496" s="9"/>
      <c r="X496" s="4"/>
      <c r="Y496" s="6"/>
      <c r="Z496" s="4"/>
      <c r="AA496" s="23"/>
      <c r="AB496" s="24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10"/>
      <c r="AU496" s="9"/>
    </row>
    <row r="497" spans="1:47">
      <c r="A497" s="4"/>
      <c r="B497" s="4"/>
      <c r="C497" s="5"/>
      <c r="D497" s="5"/>
      <c r="E497" s="6"/>
      <c r="F497" s="4"/>
      <c r="G497" s="6"/>
      <c r="H497" s="7"/>
      <c r="I497" s="2"/>
      <c r="J497" s="2"/>
      <c r="K497" s="2"/>
      <c r="L497" s="2"/>
      <c r="M497" s="2"/>
      <c r="N497" s="2"/>
      <c r="O497" s="2"/>
      <c r="P497" s="2"/>
      <c r="Q497" s="2"/>
      <c r="R497" s="9"/>
      <c r="S497" s="4"/>
      <c r="T497" s="9"/>
      <c r="U497" s="9"/>
      <c r="V497" s="9"/>
      <c r="W497" s="9"/>
      <c r="X497" s="4"/>
      <c r="Y497" s="6"/>
      <c r="Z497" s="4"/>
      <c r="AA497" s="23"/>
      <c r="AB497" s="24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10"/>
      <c r="AU497" s="9"/>
    </row>
    <row r="498" spans="1:47">
      <c r="A498" s="4"/>
      <c r="B498" s="4"/>
      <c r="C498" s="5"/>
      <c r="D498" s="5"/>
      <c r="E498" s="6"/>
      <c r="F498" s="4"/>
      <c r="G498" s="6"/>
      <c r="H498" s="7"/>
      <c r="I498" s="2"/>
      <c r="J498" s="2"/>
      <c r="K498" s="2"/>
      <c r="L498" s="2"/>
      <c r="M498" s="2"/>
      <c r="N498" s="2"/>
      <c r="O498" s="2"/>
      <c r="P498" s="2"/>
      <c r="Q498" s="2"/>
      <c r="R498" s="9"/>
      <c r="S498" s="4"/>
      <c r="T498" s="9"/>
      <c r="U498" s="9"/>
      <c r="V498" s="9"/>
      <c r="W498" s="9"/>
      <c r="X498" s="4"/>
      <c r="Y498" s="6"/>
      <c r="Z498" s="4"/>
      <c r="AA498" s="23"/>
      <c r="AB498" s="24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10"/>
      <c r="AU498" s="9"/>
    </row>
    <row r="499" spans="1:47">
      <c r="A499" s="4"/>
      <c r="B499" s="4"/>
      <c r="C499" s="5"/>
      <c r="D499" s="5"/>
      <c r="E499" s="6"/>
      <c r="F499" s="4"/>
      <c r="G499" s="6"/>
      <c r="H499" s="7"/>
      <c r="I499" s="2"/>
      <c r="J499" s="2"/>
      <c r="K499" s="2"/>
      <c r="L499" s="2"/>
      <c r="M499" s="2"/>
      <c r="N499" s="2"/>
      <c r="O499" s="2"/>
      <c r="P499" s="2"/>
      <c r="Q499" s="2"/>
      <c r="R499" s="9"/>
      <c r="S499" s="4"/>
      <c r="T499" s="9"/>
      <c r="U499" s="9"/>
      <c r="V499" s="9"/>
      <c r="W499" s="9"/>
      <c r="X499" s="4"/>
      <c r="Y499" s="6"/>
      <c r="Z499" s="4"/>
      <c r="AA499" s="23"/>
      <c r="AB499" s="24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10"/>
      <c r="AU499" s="9"/>
    </row>
    <row r="500" spans="1:47">
      <c r="A500" s="4"/>
      <c r="B500" s="4"/>
      <c r="C500" s="5"/>
      <c r="D500" s="5"/>
      <c r="E500" s="6"/>
      <c r="F500" s="4"/>
      <c r="G500" s="6"/>
      <c r="H500" s="7"/>
      <c r="I500" s="2"/>
      <c r="J500" s="2"/>
      <c r="K500" s="2"/>
      <c r="L500" s="2"/>
      <c r="M500" s="2"/>
      <c r="N500" s="2"/>
      <c r="O500" s="2"/>
      <c r="P500" s="2"/>
      <c r="Q500" s="2"/>
      <c r="R500" s="9"/>
      <c r="S500" s="4"/>
      <c r="T500" s="9"/>
      <c r="U500" s="9"/>
      <c r="V500" s="9"/>
      <c r="W500" s="9"/>
      <c r="X500" s="4"/>
      <c r="Y500" s="6"/>
      <c r="Z500" s="4"/>
      <c r="AA500" s="23"/>
      <c r="AB500" s="24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10"/>
      <c r="AU500" s="9"/>
    </row>
    <row r="501" spans="1:47">
      <c r="A501" s="4"/>
      <c r="B501" s="4"/>
      <c r="C501" s="5"/>
      <c r="D501" s="5"/>
      <c r="E501" s="6"/>
      <c r="F501" s="4"/>
      <c r="G501" s="6"/>
      <c r="H501" s="7"/>
      <c r="I501" s="2"/>
      <c r="J501" s="2"/>
      <c r="K501" s="2"/>
      <c r="L501" s="2"/>
      <c r="M501" s="2"/>
      <c r="N501" s="2"/>
      <c r="O501" s="2"/>
      <c r="P501" s="2"/>
      <c r="Q501" s="2"/>
      <c r="R501" s="9"/>
      <c r="S501" s="4"/>
      <c r="T501" s="9"/>
      <c r="U501" s="9"/>
      <c r="V501" s="9"/>
      <c r="W501" s="9"/>
      <c r="X501" s="4"/>
      <c r="Y501" s="6"/>
      <c r="Z501" s="4"/>
      <c r="AA501" s="23"/>
      <c r="AB501" s="24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10"/>
      <c r="AU501" s="9"/>
    </row>
    <row r="502" spans="1:47">
      <c r="A502" s="4"/>
      <c r="B502" s="4"/>
      <c r="C502" s="5"/>
      <c r="D502" s="5"/>
      <c r="E502" s="6"/>
      <c r="F502" s="4"/>
      <c r="G502" s="6"/>
      <c r="H502" s="7"/>
      <c r="I502" s="2"/>
      <c r="J502" s="2"/>
      <c r="K502" s="2"/>
      <c r="L502" s="2"/>
      <c r="M502" s="2"/>
      <c r="N502" s="2"/>
      <c r="O502" s="2"/>
      <c r="P502" s="2"/>
      <c r="Q502" s="2"/>
      <c r="R502" s="9"/>
      <c r="S502" s="4"/>
      <c r="T502" s="9"/>
      <c r="U502" s="9"/>
      <c r="V502" s="9"/>
      <c r="W502" s="9"/>
      <c r="X502" s="4"/>
      <c r="Y502" s="6"/>
      <c r="Z502" s="4"/>
      <c r="AA502" s="23"/>
      <c r="AB502" s="24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10"/>
      <c r="AU502" s="9"/>
    </row>
    <row r="503" spans="1:47">
      <c r="A503" s="4"/>
      <c r="B503" s="4"/>
      <c r="C503" s="5"/>
      <c r="D503" s="5"/>
      <c r="E503" s="6"/>
      <c r="F503" s="4"/>
      <c r="G503" s="6"/>
      <c r="H503" s="7"/>
      <c r="I503" s="2"/>
      <c r="J503" s="2"/>
      <c r="K503" s="2"/>
      <c r="L503" s="2"/>
      <c r="M503" s="2"/>
      <c r="N503" s="2"/>
      <c r="O503" s="2"/>
      <c r="P503" s="2"/>
      <c r="Q503" s="2"/>
      <c r="R503" s="9"/>
      <c r="S503" s="4"/>
      <c r="T503" s="9"/>
      <c r="U503" s="9"/>
      <c r="V503" s="9"/>
      <c r="W503" s="9"/>
      <c r="X503" s="4"/>
      <c r="Y503" s="6"/>
      <c r="Z503" s="4"/>
      <c r="AA503" s="23"/>
      <c r="AB503" s="24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10"/>
      <c r="AU503" s="9"/>
    </row>
    <row r="504" spans="1:47">
      <c r="A504" s="4"/>
      <c r="B504" s="4"/>
      <c r="C504" s="5"/>
      <c r="D504" s="5"/>
      <c r="E504" s="6"/>
      <c r="F504" s="4"/>
      <c r="G504" s="6"/>
      <c r="H504" s="7"/>
      <c r="I504" s="2"/>
      <c r="J504" s="2"/>
      <c r="K504" s="2"/>
      <c r="L504" s="2"/>
      <c r="M504" s="2"/>
      <c r="N504" s="2"/>
      <c r="O504" s="2"/>
      <c r="P504" s="2"/>
      <c r="Q504" s="2"/>
      <c r="R504" s="9"/>
      <c r="S504" s="4"/>
      <c r="T504" s="9"/>
      <c r="U504" s="9"/>
      <c r="V504" s="9"/>
      <c r="W504" s="9"/>
      <c r="X504" s="4"/>
      <c r="Y504" s="6"/>
      <c r="Z504" s="4"/>
      <c r="AA504" s="23"/>
      <c r="AB504" s="24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10"/>
      <c r="AU504" s="9"/>
    </row>
    <row r="505" spans="1:47">
      <c r="A505" s="4"/>
      <c r="B505" s="4"/>
      <c r="C505" s="5"/>
      <c r="D505" s="5"/>
      <c r="E505" s="6"/>
      <c r="F505" s="4"/>
      <c r="G505" s="6"/>
      <c r="H505" s="7"/>
      <c r="I505" s="2"/>
      <c r="J505" s="2"/>
      <c r="K505" s="2"/>
      <c r="L505" s="2"/>
      <c r="M505" s="2"/>
      <c r="N505" s="2"/>
      <c r="O505" s="2"/>
      <c r="P505" s="2"/>
      <c r="Q505" s="2"/>
      <c r="R505" s="9"/>
      <c r="S505" s="4"/>
      <c r="T505" s="9"/>
      <c r="U505" s="9"/>
      <c r="V505" s="9"/>
      <c r="W505" s="9"/>
      <c r="X505" s="4"/>
      <c r="Y505" s="6"/>
      <c r="Z505" s="4"/>
      <c r="AA505" s="23"/>
      <c r="AB505" s="24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10"/>
      <c r="AU505" s="9"/>
    </row>
    <row r="506" spans="1:47">
      <c r="A506" s="4"/>
      <c r="B506" s="4"/>
      <c r="C506" s="5"/>
      <c r="D506" s="5"/>
      <c r="E506" s="6"/>
      <c r="F506" s="4"/>
      <c r="G506" s="6"/>
      <c r="H506" s="7"/>
      <c r="I506" s="2"/>
      <c r="J506" s="2"/>
      <c r="K506" s="2"/>
      <c r="L506" s="2"/>
      <c r="M506" s="2"/>
      <c r="N506" s="2"/>
      <c r="O506" s="2"/>
      <c r="P506" s="2"/>
      <c r="Q506" s="2"/>
      <c r="R506" s="9"/>
      <c r="S506" s="4"/>
      <c r="T506" s="9"/>
      <c r="U506" s="9"/>
      <c r="V506" s="9"/>
      <c r="W506" s="9"/>
      <c r="X506" s="4"/>
      <c r="Y506" s="6"/>
      <c r="Z506" s="4"/>
      <c r="AA506" s="23"/>
      <c r="AB506" s="24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10"/>
      <c r="AU506" s="9"/>
    </row>
    <row r="507" spans="1:47">
      <c r="A507" s="4"/>
      <c r="B507" s="4"/>
      <c r="C507" s="5"/>
      <c r="D507" s="5"/>
      <c r="E507" s="6"/>
      <c r="F507" s="4"/>
      <c r="G507" s="6"/>
      <c r="H507" s="7"/>
      <c r="I507" s="2"/>
      <c r="J507" s="2"/>
      <c r="K507" s="2"/>
      <c r="L507" s="2"/>
      <c r="M507" s="2"/>
      <c r="N507" s="2"/>
      <c r="O507" s="2"/>
      <c r="P507" s="2"/>
      <c r="Q507" s="2"/>
      <c r="R507" s="9"/>
      <c r="S507" s="4"/>
      <c r="T507" s="9"/>
      <c r="U507" s="9"/>
      <c r="V507" s="9"/>
      <c r="W507" s="9"/>
      <c r="X507" s="4"/>
      <c r="Y507" s="6"/>
      <c r="Z507" s="4"/>
      <c r="AA507" s="23"/>
      <c r="AB507" s="24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10"/>
      <c r="AU507" s="9"/>
    </row>
    <row r="508" spans="1:47">
      <c r="A508" s="4"/>
      <c r="B508" s="4"/>
      <c r="C508" s="5"/>
      <c r="D508" s="5"/>
      <c r="E508" s="6"/>
      <c r="F508" s="4"/>
      <c r="G508" s="6"/>
      <c r="H508" s="7"/>
      <c r="I508" s="2"/>
      <c r="J508" s="2"/>
      <c r="K508" s="2"/>
      <c r="L508" s="2"/>
      <c r="M508" s="2"/>
      <c r="N508" s="2"/>
      <c r="O508" s="2"/>
      <c r="P508" s="2"/>
      <c r="Q508" s="2"/>
      <c r="R508" s="9"/>
      <c r="S508" s="4"/>
      <c r="T508" s="9"/>
      <c r="U508" s="9"/>
      <c r="V508" s="9"/>
      <c r="W508" s="9"/>
      <c r="X508" s="4"/>
      <c r="Y508" s="6"/>
      <c r="Z508" s="4"/>
      <c r="AA508" s="23"/>
      <c r="AB508" s="24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10"/>
      <c r="AU508" s="9"/>
    </row>
    <row r="509" spans="1:47">
      <c r="A509" s="4"/>
      <c r="B509" s="4"/>
      <c r="C509" s="5"/>
      <c r="D509" s="5"/>
      <c r="E509" s="6"/>
      <c r="F509" s="4"/>
      <c r="G509" s="6"/>
      <c r="H509" s="7"/>
      <c r="I509" s="2"/>
      <c r="J509" s="2"/>
      <c r="K509" s="2"/>
      <c r="L509" s="2"/>
      <c r="M509" s="2"/>
      <c r="N509" s="2"/>
      <c r="O509" s="2"/>
      <c r="P509" s="2"/>
      <c r="Q509" s="2"/>
      <c r="R509" s="9"/>
      <c r="S509" s="4"/>
      <c r="T509" s="9"/>
      <c r="U509" s="9"/>
      <c r="V509" s="9"/>
      <c r="W509" s="9"/>
      <c r="X509" s="4"/>
      <c r="Y509" s="6"/>
      <c r="Z509" s="4"/>
      <c r="AA509" s="23"/>
      <c r="AB509" s="24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10"/>
      <c r="AU509" s="9"/>
    </row>
    <row r="510" spans="1:47">
      <c r="A510" s="4"/>
      <c r="B510" s="4"/>
      <c r="C510" s="5"/>
      <c r="D510" s="5"/>
      <c r="E510" s="6"/>
      <c r="F510" s="4"/>
      <c r="G510" s="6"/>
      <c r="H510" s="7"/>
      <c r="I510" s="2"/>
      <c r="J510" s="2"/>
      <c r="K510" s="2"/>
      <c r="L510" s="2"/>
      <c r="M510" s="2"/>
      <c r="N510" s="2"/>
      <c r="O510" s="2"/>
      <c r="P510" s="2"/>
      <c r="Q510" s="2"/>
      <c r="R510" s="9"/>
      <c r="S510" s="4"/>
      <c r="T510" s="9"/>
      <c r="U510" s="9"/>
      <c r="V510" s="9"/>
      <c r="W510" s="9"/>
      <c r="X510" s="4"/>
      <c r="Y510" s="6"/>
      <c r="Z510" s="4"/>
      <c r="AA510" s="23"/>
      <c r="AB510" s="24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10"/>
      <c r="AU510" s="9"/>
    </row>
    <row r="511" spans="1:47">
      <c r="A511" s="4"/>
      <c r="B511" s="4"/>
      <c r="C511" s="5"/>
      <c r="D511" s="5"/>
      <c r="E511" s="6"/>
      <c r="F511" s="4"/>
      <c r="G511" s="6"/>
      <c r="H511" s="7"/>
      <c r="I511" s="7"/>
      <c r="J511" s="7"/>
      <c r="K511" s="7"/>
      <c r="L511" s="7"/>
      <c r="M511" s="2"/>
      <c r="N511" s="2"/>
      <c r="O511" s="2"/>
      <c r="P511" s="2"/>
      <c r="Q511" s="2"/>
      <c r="R511" s="9"/>
      <c r="S511" s="4"/>
      <c r="T511" s="9"/>
      <c r="U511" s="9"/>
      <c r="V511" s="9"/>
      <c r="W511" s="9"/>
      <c r="X511" s="4"/>
      <c r="Y511" s="6"/>
      <c r="Z511" s="4"/>
      <c r="AA511" s="23"/>
      <c r="AB511" s="24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10"/>
      <c r="AU511" s="9"/>
    </row>
    <row r="512" spans="1:47">
      <c r="A512" s="4"/>
      <c r="B512" s="4"/>
      <c r="C512" s="5"/>
      <c r="D512" s="5"/>
      <c r="E512" s="6"/>
      <c r="F512" s="4"/>
      <c r="G512" s="6"/>
      <c r="H512" s="7"/>
      <c r="I512" s="2"/>
      <c r="J512" s="2"/>
      <c r="K512" s="2"/>
      <c r="L512" s="2"/>
      <c r="M512" s="2"/>
      <c r="N512" s="2"/>
      <c r="O512" s="2"/>
      <c r="P512" s="2"/>
      <c r="Q512" s="2"/>
      <c r="R512" s="9"/>
      <c r="S512" s="4"/>
      <c r="T512" s="9"/>
      <c r="U512" s="9"/>
      <c r="V512" s="9"/>
      <c r="W512" s="9"/>
      <c r="X512" s="4"/>
      <c r="Y512" s="6"/>
      <c r="Z512" s="4"/>
      <c r="AA512" s="23"/>
      <c r="AB512" s="24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10"/>
      <c r="AU512" s="9"/>
    </row>
    <row r="513" spans="1:47">
      <c r="A513" s="4"/>
      <c r="B513" s="4"/>
      <c r="C513" s="5"/>
      <c r="D513" s="5"/>
      <c r="E513" s="6"/>
      <c r="F513" s="4"/>
      <c r="G513" s="6"/>
      <c r="H513" s="7"/>
      <c r="I513" s="7"/>
      <c r="J513" s="7"/>
      <c r="K513" s="7"/>
      <c r="L513" s="7"/>
      <c r="M513" s="2"/>
      <c r="N513" s="2"/>
      <c r="O513" s="2"/>
      <c r="P513" s="2"/>
      <c r="Q513" s="2"/>
      <c r="R513" s="9"/>
      <c r="S513" s="4"/>
      <c r="T513" s="9"/>
      <c r="U513" s="9"/>
      <c r="V513" s="9"/>
      <c r="W513" s="9"/>
      <c r="X513" s="4"/>
      <c r="Y513" s="6"/>
      <c r="Z513" s="4"/>
      <c r="AA513" s="23"/>
      <c r="AB513" s="24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10"/>
      <c r="AU513" s="9"/>
    </row>
    <row r="514" spans="1:47">
      <c r="A514" s="4"/>
      <c r="B514" s="4"/>
      <c r="C514" s="5"/>
      <c r="D514" s="5"/>
      <c r="E514" s="6"/>
      <c r="F514" s="4"/>
      <c r="G514" s="6"/>
      <c r="H514" s="7"/>
      <c r="I514" s="7"/>
      <c r="J514" s="7"/>
      <c r="K514" s="7"/>
      <c r="L514" s="7"/>
      <c r="M514" s="2"/>
      <c r="N514" s="2"/>
      <c r="O514" s="2"/>
      <c r="P514" s="2"/>
      <c r="Q514" s="2"/>
      <c r="R514" s="9"/>
      <c r="S514" s="4"/>
      <c r="T514" s="9"/>
      <c r="U514" s="9"/>
      <c r="V514" s="9"/>
      <c r="W514" s="9"/>
      <c r="X514" s="4"/>
      <c r="Y514" s="6"/>
      <c r="Z514" s="4"/>
      <c r="AA514" s="23"/>
      <c r="AB514" s="24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10"/>
      <c r="AU514" s="9"/>
    </row>
    <row r="515" spans="1:47">
      <c r="A515" s="4"/>
      <c r="B515" s="4"/>
      <c r="C515" s="5"/>
      <c r="D515" s="5"/>
      <c r="E515" s="6"/>
      <c r="F515" s="4"/>
      <c r="G515" s="6"/>
      <c r="H515" s="7"/>
      <c r="I515" s="2"/>
      <c r="J515" s="2"/>
      <c r="K515" s="2"/>
      <c r="L515" s="2"/>
      <c r="M515" s="2"/>
      <c r="N515" s="2"/>
      <c r="O515" s="2"/>
      <c r="P515" s="2"/>
      <c r="Q515" s="2"/>
      <c r="R515" s="9"/>
      <c r="S515" s="4"/>
      <c r="T515" s="9"/>
      <c r="U515" s="9"/>
      <c r="V515" s="9"/>
      <c r="W515" s="9"/>
      <c r="X515" s="4"/>
      <c r="Y515" s="6"/>
      <c r="Z515" s="4"/>
      <c r="AA515" s="23"/>
      <c r="AB515" s="24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10"/>
      <c r="AU515" s="9"/>
    </row>
    <row r="516" spans="1:47">
      <c r="A516" s="4"/>
      <c r="B516" s="4"/>
      <c r="C516" s="5"/>
      <c r="D516" s="5"/>
      <c r="E516" s="6"/>
      <c r="F516" s="4"/>
      <c r="G516" s="6"/>
      <c r="H516" s="7"/>
      <c r="I516" s="7"/>
      <c r="J516" s="7"/>
      <c r="K516" s="7"/>
      <c r="L516" s="7"/>
      <c r="M516" s="2"/>
      <c r="N516" s="2"/>
      <c r="O516" s="2"/>
      <c r="P516" s="2"/>
      <c r="Q516" s="2"/>
      <c r="R516" s="9"/>
      <c r="S516" s="4"/>
      <c r="T516" s="9"/>
      <c r="U516" s="9"/>
      <c r="V516" s="9"/>
      <c r="W516" s="9"/>
      <c r="X516" s="4"/>
      <c r="Y516" s="6"/>
      <c r="Z516" s="4"/>
      <c r="AA516" s="23"/>
      <c r="AB516" s="24"/>
      <c r="AC516" s="2"/>
      <c r="AD516" s="2"/>
      <c r="AE516" s="2"/>
      <c r="AF516" s="2"/>
      <c r="AG516" s="2"/>
      <c r="AH516" s="2"/>
      <c r="AI516" s="2"/>
      <c r="AJ516" s="7"/>
      <c r="AK516" s="2"/>
      <c r="AL516" s="2"/>
      <c r="AM516" s="2"/>
      <c r="AN516" s="2"/>
      <c r="AO516" s="2"/>
      <c r="AP516" s="2"/>
      <c r="AQ516" s="2"/>
      <c r="AR516" s="2"/>
      <c r="AS516" s="2"/>
      <c r="AT516" s="10"/>
      <c r="AU516" s="9"/>
    </row>
    <row r="517" spans="1:47">
      <c r="A517" s="4"/>
      <c r="B517" s="4"/>
      <c r="C517" s="5"/>
      <c r="D517" s="5"/>
      <c r="E517" s="6"/>
      <c r="F517" s="4"/>
      <c r="G517" s="6"/>
      <c r="H517" s="7"/>
      <c r="I517" s="2"/>
      <c r="J517" s="2"/>
      <c r="K517" s="2"/>
      <c r="L517" s="2"/>
      <c r="M517" s="2"/>
      <c r="N517" s="2"/>
      <c r="O517" s="2"/>
      <c r="P517" s="2"/>
      <c r="Q517" s="2"/>
      <c r="R517" s="9"/>
      <c r="S517" s="4"/>
      <c r="T517" s="9"/>
      <c r="U517" s="9"/>
      <c r="V517" s="9"/>
      <c r="W517" s="9"/>
      <c r="X517" s="4"/>
      <c r="Y517" s="6"/>
      <c r="Z517" s="4"/>
      <c r="AA517" s="23"/>
      <c r="AB517" s="24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10"/>
      <c r="AU517" s="9"/>
    </row>
    <row r="518" spans="1:47">
      <c r="A518" s="4"/>
      <c r="B518" s="4"/>
      <c r="C518" s="5"/>
      <c r="D518" s="5"/>
      <c r="E518" s="6"/>
      <c r="F518" s="4"/>
      <c r="G518" s="6"/>
      <c r="H518" s="7"/>
      <c r="I518" s="2"/>
      <c r="J518" s="2"/>
      <c r="K518" s="2"/>
      <c r="L518" s="2"/>
      <c r="M518" s="2"/>
      <c r="N518" s="2"/>
      <c r="O518" s="2"/>
      <c r="P518" s="2"/>
      <c r="Q518" s="2"/>
      <c r="R518" s="9"/>
      <c r="S518" s="4"/>
      <c r="T518" s="9"/>
      <c r="U518" s="9"/>
      <c r="V518" s="9"/>
      <c r="W518" s="9"/>
      <c r="X518" s="4"/>
      <c r="Y518" s="6"/>
      <c r="Z518" s="4"/>
      <c r="AA518" s="23"/>
      <c r="AB518" s="24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10"/>
      <c r="AU518" s="9"/>
    </row>
    <row r="519" spans="1:47">
      <c r="A519" s="4"/>
      <c r="B519" s="4"/>
      <c r="C519" s="5"/>
      <c r="D519" s="5"/>
      <c r="E519" s="6"/>
      <c r="F519" s="4"/>
      <c r="G519" s="6"/>
      <c r="H519" s="7"/>
      <c r="I519" s="2"/>
      <c r="J519" s="2"/>
      <c r="K519" s="2"/>
      <c r="L519" s="2"/>
      <c r="M519" s="2"/>
      <c r="N519" s="2"/>
      <c r="O519" s="2"/>
      <c r="P519" s="2"/>
      <c r="Q519" s="2"/>
      <c r="R519" s="9"/>
      <c r="S519" s="4"/>
      <c r="T519" s="9"/>
      <c r="U519" s="9"/>
      <c r="V519" s="9"/>
      <c r="W519" s="9"/>
      <c r="X519" s="4"/>
      <c r="Y519" s="6"/>
      <c r="Z519" s="4"/>
      <c r="AA519" s="23"/>
      <c r="AB519" s="24"/>
      <c r="AC519" s="25"/>
      <c r="AD519" s="24"/>
      <c r="AE519" s="2"/>
      <c r="AF519" s="2"/>
      <c r="AG519" s="2"/>
      <c r="AH519" s="2"/>
      <c r="AI519" s="2"/>
      <c r="AJ519" s="2"/>
      <c r="AK519" s="2"/>
      <c r="AL519" s="25"/>
      <c r="AM519" s="24"/>
      <c r="AN519" s="2"/>
      <c r="AO519" s="2"/>
      <c r="AP519" s="2"/>
      <c r="AQ519" s="2"/>
      <c r="AR519" s="2"/>
      <c r="AS519" s="2"/>
      <c r="AT519" s="10"/>
      <c r="AU519" s="9"/>
    </row>
    <row r="520" spans="1:47">
      <c r="A520" s="4"/>
      <c r="B520" s="4"/>
      <c r="C520" s="5"/>
      <c r="D520" s="5"/>
      <c r="E520" s="6"/>
      <c r="F520" s="4"/>
      <c r="G520" s="6"/>
      <c r="H520" s="7"/>
      <c r="I520" s="2"/>
      <c r="J520" s="2"/>
      <c r="K520" s="2"/>
      <c r="L520" s="2"/>
      <c r="M520" s="2"/>
      <c r="N520" s="2"/>
      <c r="O520" s="2"/>
      <c r="P520" s="2"/>
      <c r="Q520" s="2"/>
      <c r="R520" s="9"/>
      <c r="S520" s="4"/>
      <c r="T520" s="9"/>
      <c r="U520" s="9"/>
      <c r="V520" s="9"/>
      <c r="W520" s="9"/>
      <c r="X520" s="4"/>
      <c r="Y520" s="6"/>
      <c r="Z520" s="4"/>
      <c r="AA520" s="23"/>
      <c r="AB520" s="24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10"/>
      <c r="AU520" s="9"/>
    </row>
    <row r="521" spans="1:47">
      <c r="A521" s="4"/>
      <c r="B521" s="4"/>
      <c r="C521" s="5"/>
      <c r="D521" s="5"/>
      <c r="E521" s="6"/>
      <c r="F521" s="4"/>
      <c r="G521" s="6"/>
      <c r="H521" s="7"/>
      <c r="I521" s="2"/>
      <c r="J521" s="2"/>
      <c r="K521" s="2"/>
      <c r="L521" s="2"/>
      <c r="M521" s="2"/>
      <c r="N521" s="2"/>
      <c r="O521" s="2"/>
      <c r="P521" s="2"/>
      <c r="Q521" s="2"/>
      <c r="R521" s="9"/>
      <c r="S521" s="4"/>
      <c r="T521" s="9"/>
      <c r="U521" s="9"/>
      <c r="V521" s="9"/>
      <c r="W521" s="9"/>
      <c r="X521" s="4"/>
      <c r="Y521" s="6"/>
      <c r="Z521" s="4"/>
      <c r="AA521" s="23"/>
      <c r="AB521" s="24"/>
      <c r="AC521" s="25"/>
      <c r="AD521" s="24"/>
      <c r="AE521" s="2"/>
      <c r="AF521" s="2"/>
      <c r="AG521" s="2"/>
      <c r="AH521" s="2"/>
      <c r="AI521" s="2"/>
      <c r="AJ521" s="2"/>
      <c r="AK521" s="2"/>
      <c r="AL521" s="25"/>
      <c r="AM521" s="24"/>
      <c r="AN521" s="2"/>
      <c r="AO521" s="2"/>
      <c r="AP521" s="2"/>
      <c r="AQ521" s="2"/>
      <c r="AR521" s="2"/>
      <c r="AS521" s="2"/>
      <c r="AT521" s="10"/>
      <c r="AU521" s="9"/>
    </row>
    <row r="522" spans="1:47">
      <c r="A522" s="4"/>
      <c r="B522" s="4"/>
      <c r="C522" s="5"/>
      <c r="D522" s="5"/>
      <c r="E522" s="6"/>
      <c r="F522" s="4"/>
      <c r="G522" s="6"/>
      <c r="H522" s="7"/>
      <c r="I522" s="2"/>
      <c r="J522" s="2"/>
      <c r="K522" s="2"/>
      <c r="L522" s="2"/>
      <c r="M522" s="2"/>
      <c r="N522" s="2"/>
      <c r="O522" s="2"/>
      <c r="P522" s="2"/>
      <c r="Q522" s="2"/>
      <c r="R522" s="9"/>
      <c r="S522" s="4"/>
      <c r="T522" s="9"/>
      <c r="U522" s="9"/>
      <c r="V522" s="9"/>
      <c r="W522" s="9"/>
      <c r="X522" s="4"/>
      <c r="Y522" s="6"/>
      <c r="Z522" s="4"/>
      <c r="AA522" s="23"/>
      <c r="AB522" s="24"/>
      <c r="AC522" s="25"/>
      <c r="AD522" s="24"/>
      <c r="AE522" s="2"/>
      <c r="AF522" s="2"/>
      <c r="AG522" s="2"/>
      <c r="AH522" s="2"/>
      <c r="AI522" s="2"/>
      <c r="AJ522" s="2"/>
      <c r="AK522" s="2"/>
      <c r="AL522" s="25"/>
      <c r="AM522" s="24"/>
      <c r="AN522" s="2"/>
      <c r="AO522" s="2"/>
      <c r="AP522" s="2"/>
      <c r="AQ522" s="2"/>
      <c r="AR522" s="2"/>
      <c r="AS522" s="2"/>
      <c r="AT522" s="10"/>
      <c r="AU522" s="9"/>
    </row>
    <row r="523" spans="1:47">
      <c r="A523" s="4"/>
      <c r="B523" s="4"/>
      <c r="C523" s="5"/>
      <c r="D523" s="5"/>
      <c r="E523" s="6"/>
      <c r="F523" s="4"/>
      <c r="G523" s="6"/>
      <c r="H523" s="7"/>
      <c r="I523" s="2"/>
      <c r="J523" s="2"/>
      <c r="K523" s="2"/>
      <c r="L523" s="2"/>
      <c r="M523" s="2"/>
      <c r="N523" s="2"/>
      <c r="O523" s="2"/>
      <c r="P523" s="2"/>
      <c r="Q523" s="2"/>
      <c r="R523" s="9"/>
      <c r="S523" s="4"/>
      <c r="T523" s="9"/>
      <c r="U523" s="9"/>
      <c r="V523" s="9"/>
      <c r="W523" s="9"/>
      <c r="X523" s="4"/>
      <c r="Y523" s="6"/>
      <c r="Z523" s="4"/>
      <c r="AA523" s="23"/>
      <c r="AB523" s="24"/>
      <c r="AC523" s="25"/>
      <c r="AD523" s="24"/>
      <c r="AE523" s="2"/>
      <c r="AF523" s="2"/>
      <c r="AG523" s="2"/>
      <c r="AH523" s="2"/>
      <c r="AI523" s="2"/>
      <c r="AJ523" s="2"/>
      <c r="AK523" s="2"/>
      <c r="AL523" s="25"/>
      <c r="AM523" s="24"/>
      <c r="AN523" s="2"/>
      <c r="AO523" s="2"/>
      <c r="AP523" s="2"/>
      <c r="AQ523" s="2"/>
      <c r="AR523" s="2"/>
      <c r="AS523" s="2"/>
      <c r="AT523" s="10"/>
      <c r="AU523" s="9"/>
    </row>
    <row r="524" spans="1:47">
      <c r="A524" s="4"/>
      <c r="B524" s="4"/>
      <c r="C524" s="5"/>
      <c r="D524" s="5"/>
      <c r="E524" s="6"/>
      <c r="F524" s="4"/>
      <c r="G524" s="6"/>
      <c r="H524" s="7"/>
      <c r="I524" s="2"/>
      <c r="J524" s="2"/>
      <c r="K524" s="2"/>
      <c r="L524" s="2"/>
      <c r="M524" s="2"/>
      <c r="N524" s="2"/>
      <c r="O524" s="2"/>
      <c r="P524" s="2"/>
      <c r="Q524" s="2"/>
      <c r="R524" s="9"/>
      <c r="S524" s="4"/>
      <c r="T524" s="9"/>
      <c r="U524" s="9"/>
      <c r="V524" s="9"/>
      <c r="W524" s="9"/>
      <c r="X524" s="4"/>
      <c r="Y524" s="6"/>
      <c r="Z524" s="4"/>
      <c r="AA524" s="23"/>
      <c r="AB524" s="24"/>
      <c r="AC524" s="25"/>
      <c r="AD524" s="24"/>
      <c r="AE524" s="2"/>
      <c r="AF524" s="2"/>
      <c r="AG524" s="2"/>
      <c r="AH524" s="2"/>
      <c r="AI524" s="2"/>
      <c r="AJ524" s="2"/>
      <c r="AK524" s="2"/>
      <c r="AL524" s="25"/>
      <c r="AM524" s="24"/>
      <c r="AN524" s="2"/>
      <c r="AO524" s="2"/>
      <c r="AP524" s="2"/>
      <c r="AQ524" s="2"/>
      <c r="AR524" s="2"/>
      <c r="AS524" s="2"/>
      <c r="AT524" s="10"/>
      <c r="AU524" s="9"/>
    </row>
    <row r="525" spans="1:47">
      <c r="A525" s="4"/>
      <c r="B525" s="4"/>
      <c r="C525" s="5"/>
      <c r="D525" s="5"/>
      <c r="E525" s="6"/>
      <c r="F525" s="4"/>
      <c r="G525" s="6"/>
      <c r="H525" s="7"/>
      <c r="I525" s="2"/>
      <c r="J525" s="2"/>
      <c r="K525" s="2"/>
      <c r="L525" s="2"/>
      <c r="M525" s="2"/>
      <c r="N525" s="2"/>
      <c r="O525" s="2"/>
      <c r="P525" s="2"/>
      <c r="Q525" s="2"/>
      <c r="R525" s="9"/>
      <c r="S525" s="4"/>
      <c r="T525" s="9"/>
      <c r="U525" s="9"/>
      <c r="V525" s="9"/>
      <c r="W525" s="9"/>
      <c r="X525" s="4"/>
      <c r="Y525" s="6"/>
      <c r="Z525" s="4"/>
      <c r="AA525" s="23"/>
      <c r="AB525" s="24"/>
      <c r="AC525" s="25"/>
      <c r="AD525" s="24"/>
      <c r="AE525" s="2"/>
      <c r="AF525" s="2"/>
      <c r="AG525" s="2"/>
      <c r="AH525" s="2"/>
      <c r="AI525" s="2"/>
      <c r="AJ525" s="2"/>
      <c r="AK525" s="2"/>
      <c r="AL525" s="25"/>
      <c r="AM525" s="24"/>
      <c r="AN525" s="2"/>
      <c r="AO525" s="2"/>
      <c r="AP525" s="2"/>
      <c r="AQ525" s="2"/>
      <c r="AR525" s="2"/>
      <c r="AS525" s="2"/>
      <c r="AT525" s="10"/>
      <c r="AU525" s="9"/>
    </row>
    <row r="526" spans="1:47">
      <c r="A526" s="4"/>
      <c r="B526" s="4"/>
      <c r="C526" s="5"/>
      <c r="D526" s="5"/>
      <c r="E526" s="6"/>
      <c r="F526" s="4"/>
      <c r="G526" s="6"/>
      <c r="H526" s="7"/>
      <c r="I526" s="2"/>
      <c r="J526" s="2"/>
      <c r="K526" s="2"/>
      <c r="L526" s="2"/>
      <c r="M526" s="2"/>
      <c r="N526" s="2"/>
      <c r="O526" s="2"/>
      <c r="P526" s="2"/>
      <c r="Q526" s="2"/>
      <c r="R526" s="9"/>
      <c r="S526" s="4"/>
      <c r="T526" s="9"/>
      <c r="U526" s="9"/>
      <c r="V526" s="9"/>
      <c r="W526" s="9"/>
      <c r="X526" s="4"/>
      <c r="Y526" s="6"/>
      <c r="Z526" s="4"/>
      <c r="AA526" s="23"/>
      <c r="AB526" s="24"/>
      <c r="AC526" s="2"/>
      <c r="AD526" s="2"/>
      <c r="AE526" s="2"/>
      <c r="AF526" s="2"/>
      <c r="AG526" s="2"/>
      <c r="AH526" s="2"/>
      <c r="AI526" s="2"/>
      <c r="AJ526" s="2"/>
      <c r="AK526" s="2"/>
      <c r="AL526" s="25"/>
      <c r="AM526" s="24"/>
      <c r="AN526" s="2"/>
      <c r="AO526" s="2"/>
      <c r="AP526" s="2"/>
      <c r="AQ526" s="2"/>
      <c r="AR526" s="2"/>
      <c r="AS526" s="2"/>
      <c r="AT526" s="10"/>
      <c r="AU526" s="9"/>
    </row>
    <row r="527" spans="1:47">
      <c r="A527" s="4"/>
      <c r="B527" s="4"/>
      <c r="C527" s="5"/>
      <c r="D527" s="5"/>
      <c r="E527" s="6"/>
      <c r="F527" s="4"/>
      <c r="G527" s="6"/>
      <c r="H527" s="7"/>
      <c r="I527" s="2"/>
      <c r="J527" s="2"/>
      <c r="K527" s="2"/>
      <c r="L527" s="2"/>
      <c r="M527" s="2"/>
      <c r="N527" s="2"/>
      <c r="O527" s="2"/>
      <c r="P527" s="2"/>
      <c r="Q527" s="2"/>
      <c r="R527" s="9"/>
      <c r="S527" s="4"/>
      <c r="T527" s="9"/>
      <c r="U527" s="9"/>
      <c r="V527" s="9"/>
      <c r="W527" s="9"/>
      <c r="X527" s="4"/>
      <c r="Y527" s="6"/>
      <c r="Z527" s="4"/>
      <c r="AA527" s="4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10"/>
      <c r="AU527" s="9"/>
    </row>
    <row r="528" spans="1:47">
      <c r="A528" s="4"/>
      <c r="B528" s="4"/>
      <c r="C528" s="5"/>
      <c r="D528" s="5"/>
      <c r="E528" s="6"/>
      <c r="F528" s="4"/>
      <c r="G528" s="6"/>
      <c r="H528" s="7"/>
      <c r="I528" s="7"/>
      <c r="J528" s="7"/>
      <c r="K528" s="7"/>
      <c r="L528" s="2"/>
      <c r="M528" s="2"/>
      <c r="N528" s="2"/>
      <c r="O528" s="2"/>
      <c r="P528" s="2"/>
      <c r="Q528" s="2"/>
      <c r="R528" s="9"/>
      <c r="S528" s="4"/>
      <c r="T528" s="9"/>
      <c r="U528" s="9"/>
      <c r="V528" s="9"/>
      <c r="W528" s="9"/>
      <c r="X528" s="4"/>
      <c r="Y528" s="6"/>
      <c r="Z528" s="9"/>
      <c r="AA528" s="23"/>
      <c r="AB528" s="24"/>
      <c r="AC528" s="2"/>
      <c r="AD528" s="2"/>
      <c r="AE528" s="2"/>
      <c r="AF528" s="2"/>
      <c r="AG528" s="2"/>
      <c r="AH528" s="2"/>
      <c r="AI528" s="2"/>
      <c r="AJ528" s="2"/>
      <c r="AK528" s="2"/>
      <c r="AL528" s="25"/>
      <c r="AM528" s="24"/>
      <c r="AN528" s="2"/>
      <c r="AO528" s="2"/>
      <c r="AP528" s="2"/>
      <c r="AQ528" s="2"/>
      <c r="AR528" s="2"/>
      <c r="AS528" s="2"/>
      <c r="AT528" s="10"/>
      <c r="AU528" s="9"/>
    </row>
    <row r="529" spans="1:47">
      <c r="A529" s="4"/>
      <c r="B529" s="4"/>
      <c r="C529" s="5"/>
      <c r="D529" s="5"/>
      <c r="E529" s="6"/>
      <c r="F529" s="4"/>
      <c r="G529" s="6"/>
      <c r="H529" s="7"/>
      <c r="I529" s="2"/>
      <c r="J529" s="2"/>
      <c r="K529" s="2"/>
      <c r="L529" s="2"/>
      <c r="M529" s="2"/>
      <c r="N529" s="2"/>
      <c r="O529" s="2"/>
      <c r="P529" s="2"/>
      <c r="Q529" s="2"/>
      <c r="R529" s="9"/>
      <c r="S529" s="4"/>
      <c r="T529" s="9"/>
      <c r="U529" s="9"/>
      <c r="V529" s="9"/>
      <c r="W529" s="9"/>
      <c r="X529" s="4"/>
      <c r="Y529" s="6"/>
      <c r="Z529" s="4"/>
      <c r="AA529" s="23"/>
      <c r="AB529" s="24"/>
      <c r="AC529" s="2"/>
      <c r="AD529" s="2"/>
      <c r="AE529" s="2"/>
      <c r="AF529" s="2"/>
      <c r="AG529" s="2"/>
      <c r="AH529" s="2"/>
      <c r="AI529" s="2"/>
      <c r="AJ529" s="2"/>
      <c r="AK529" s="2"/>
      <c r="AL529" s="25"/>
      <c r="AM529" s="24"/>
      <c r="AN529" s="2"/>
      <c r="AO529" s="2"/>
      <c r="AP529" s="2"/>
      <c r="AQ529" s="2"/>
      <c r="AR529" s="2"/>
      <c r="AS529" s="2"/>
      <c r="AT529" s="10"/>
      <c r="AU529" s="9"/>
    </row>
    <row r="530" spans="1:47">
      <c r="A530" s="4"/>
      <c r="B530" s="4"/>
      <c r="C530" s="5"/>
      <c r="D530" s="5"/>
      <c r="E530" s="6"/>
      <c r="F530" s="4"/>
      <c r="G530" s="6"/>
      <c r="H530" s="7"/>
      <c r="I530" s="2"/>
      <c r="J530" s="2"/>
      <c r="K530" s="2"/>
      <c r="L530" s="2"/>
      <c r="M530" s="2"/>
      <c r="N530" s="2"/>
      <c r="O530" s="2"/>
      <c r="P530" s="2"/>
      <c r="Q530" s="2"/>
      <c r="R530" s="9"/>
      <c r="S530" s="4"/>
      <c r="T530" s="9"/>
      <c r="U530" s="9"/>
      <c r="V530" s="9"/>
      <c r="W530" s="9"/>
      <c r="X530" s="4"/>
      <c r="Y530" s="6"/>
      <c r="Z530" s="4"/>
      <c r="AA530" s="23"/>
      <c r="AB530" s="24"/>
      <c r="AC530" s="2"/>
      <c r="AD530" s="2"/>
      <c r="AE530" s="2"/>
      <c r="AF530" s="2"/>
      <c r="AG530" s="2"/>
      <c r="AH530" s="2"/>
      <c r="AI530" s="2"/>
      <c r="AJ530" s="2"/>
      <c r="AK530" s="2"/>
      <c r="AL530" s="25"/>
      <c r="AM530" s="24"/>
      <c r="AN530" s="2"/>
      <c r="AO530" s="2"/>
      <c r="AP530" s="2"/>
      <c r="AQ530" s="2"/>
      <c r="AR530" s="2"/>
      <c r="AS530" s="2"/>
      <c r="AT530" s="10"/>
      <c r="AU530" s="9"/>
    </row>
    <row r="531" spans="1:47">
      <c r="A531" s="4"/>
      <c r="B531" s="4"/>
      <c r="C531" s="5"/>
      <c r="D531" s="5"/>
      <c r="E531" s="6"/>
      <c r="F531" s="4"/>
      <c r="G531" s="6"/>
      <c r="H531" s="7"/>
      <c r="I531" s="2"/>
      <c r="J531" s="2"/>
      <c r="K531" s="2"/>
      <c r="L531" s="2"/>
      <c r="M531" s="2"/>
      <c r="N531" s="2"/>
      <c r="O531" s="2"/>
      <c r="P531" s="2"/>
      <c r="Q531" s="2"/>
      <c r="R531" s="9"/>
      <c r="S531" s="4"/>
      <c r="T531" s="9"/>
      <c r="U531" s="9"/>
      <c r="V531" s="9"/>
      <c r="W531" s="9"/>
      <c r="X531" s="4"/>
      <c r="Y531" s="6"/>
      <c r="Z531" s="4"/>
      <c r="AA531" s="23"/>
      <c r="AB531" s="24"/>
      <c r="AC531" s="2"/>
      <c r="AD531" s="2"/>
      <c r="AE531" s="2"/>
      <c r="AF531" s="2"/>
      <c r="AG531" s="2"/>
      <c r="AH531" s="2"/>
      <c r="AI531" s="2"/>
      <c r="AJ531" s="2"/>
      <c r="AK531" s="2"/>
      <c r="AL531" s="25"/>
      <c r="AM531" s="24"/>
      <c r="AN531" s="2"/>
      <c r="AO531" s="2"/>
      <c r="AP531" s="2"/>
      <c r="AQ531" s="2"/>
      <c r="AR531" s="2"/>
      <c r="AS531" s="2"/>
      <c r="AT531" s="10"/>
      <c r="AU531" s="9"/>
    </row>
    <row r="532" spans="1:47">
      <c r="A532" s="4"/>
      <c r="B532" s="4"/>
      <c r="C532" s="5"/>
      <c r="D532" s="5"/>
      <c r="E532" s="6"/>
      <c r="F532" s="4"/>
      <c r="G532" s="6"/>
      <c r="H532" s="7"/>
      <c r="I532" s="2"/>
      <c r="J532" s="2"/>
      <c r="K532" s="2"/>
      <c r="L532" s="2"/>
      <c r="M532" s="2"/>
      <c r="N532" s="2"/>
      <c r="O532" s="2"/>
      <c r="P532" s="2"/>
      <c r="Q532" s="2"/>
      <c r="R532" s="9"/>
      <c r="S532" s="4"/>
      <c r="T532" s="9"/>
      <c r="U532" s="9"/>
      <c r="V532" s="9"/>
      <c r="W532" s="9"/>
      <c r="X532" s="4"/>
      <c r="Y532" s="6"/>
      <c r="Z532" s="4"/>
      <c r="AA532" s="23"/>
      <c r="AB532" s="24"/>
      <c r="AC532" s="2"/>
      <c r="AD532" s="2"/>
      <c r="AE532" s="2"/>
      <c r="AF532" s="2"/>
      <c r="AG532" s="2"/>
      <c r="AH532" s="2"/>
      <c r="AI532" s="2"/>
      <c r="AJ532" s="2"/>
      <c r="AK532" s="2"/>
      <c r="AL532" s="25"/>
      <c r="AM532" s="24"/>
      <c r="AN532" s="2"/>
      <c r="AO532" s="2"/>
      <c r="AP532" s="2"/>
      <c r="AQ532" s="2"/>
      <c r="AR532" s="2"/>
      <c r="AS532" s="2"/>
      <c r="AT532" s="10"/>
      <c r="AU532" s="9"/>
    </row>
    <row r="533" spans="1:47">
      <c r="A533" s="4"/>
      <c r="B533" s="4"/>
      <c r="C533" s="5"/>
      <c r="D533" s="5"/>
      <c r="E533" s="6"/>
      <c r="F533" s="4"/>
      <c r="G533" s="6"/>
      <c r="H533" s="7"/>
      <c r="I533" s="7"/>
      <c r="J533" s="7"/>
      <c r="K533" s="7"/>
      <c r="L533" s="7"/>
      <c r="M533" s="2"/>
      <c r="N533" s="2"/>
      <c r="O533" s="2"/>
      <c r="P533" s="2"/>
      <c r="Q533" s="2"/>
      <c r="R533" s="9"/>
      <c r="S533" s="4"/>
      <c r="T533" s="9"/>
      <c r="U533" s="9"/>
      <c r="V533" s="9"/>
      <c r="W533" s="9"/>
      <c r="X533" s="4"/>
      <c r="Y533" s="6"/>
      <c r="Z533" s="4"/>
      <c r="AA533" s="23"/>
      <c r="AB533" s="24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10"/>
      <c r="AU533" s="9"/>
    </row>
    <row r="534" spans="1:47">
      <c r="A534" s="4"/>
      <c r="B534" s="4"/>
      <c r="C534" s="5"/>
      <c r="D534" s="5"/>
      <c r="E534" s="6"/>
      <c r="F534" s="4"/>
      <c r="G534" s="6"/>
      <c r="H534" s="7"/>
      <c r="I534" s="7"/>
      <c r="J534" s="7"/>
      <c r="K534" s="7"/>
      <c r="L534" s="7"/>
      <c r="M534" s="2"/>
      <c r="N534" s="2"/>
      <c r="O534" s="2"/>
      <c r="P534" s="2"/>
      <c r="Q534" s="2"/>
      <c r="R534" s="9"/>
      <c r="S534" s="4"/>
      <c r="T534" s="9"/>
      <c r="U534" s="9"/>
      <c r="V534" s="9"/>
      <c r="W534" s="9"/>
      <c r="X534" s="4"/>
      <c r="Y534" s="6"/>
      <c r="Z534" s="4"/>
      <c r="AA534" s="23"/>
      <c r="AB534" s="24"/>
      <c r="AC534" s="2"/>
      <c r="AD534" s="2"/>
      <c r="AE534" s="25"/>
      <c r="AF534" s="24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10"/>
      <c r="AU534" s="9"/>
    </row>
    <row r="535" spans="1:47">
      <c r="A535" s="4"/>
      <c r="B535" s="4"/>
      <c r="C535" s="5"/>
      <c r="D535" s="5"/>
      <c r="E535" s="6"/>
      <c r="F535" s="4"/>
      <c r="G535" s="6"/>
      <c r="H535" s="7"/>
      <c r="I535" s="2"/>
      <c r="J535" s="2"/>
      <c r="K535" s="2"/>
      <c r="L535" s="2"/>
      <c r="M535" s="2"/>
      <c r="N535" s="2"/>
      <c r="O535" s="2"/>
      <c r="P535" s="2"/>
      <c r="Q535" s="2"/>
      <c r="R535" s="9"/>
      <c r="S535" s="4"/>
      <c r="T535" s="9"/>
      <c r="U535" s="9"/>
      <c r="V535" s="9"/>
      <c r="W535" s="9"/>
      <c r="X535" s="4"/>
      <c r="Y535" s="6"/>
      <c r="Z535" s="4"/>
      <c r="AA535" s="23"/>
      <c r="AB535" s="24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10"/>
      <c r="AU535" s="9"/>
    </row>
    <row r="536" spans="1:47">
      <c r="A536" s="4"/>
      <c r="B536" s="4"/>
      <c r="C536" s="5"/>
      <c r="D536" s="5"/>
      <c r="E536" s="6"/>
      <c r="F536" s="4"/>
      <c r="G536" s="6"/>
      <c r="H536" s="7"/>
      <c r="I536" s="2"/>
      <c r="J536" s="2"/>
      <c r="K536" s="2"/>
      <c r="L536" s="2"/>
      <c r="M536" s="2"/>
      <c r="N536" s="2"/>
      <c r="O536" s="2"/>
      <c r="P536" s="2"/>
      <c r="Q536" s="2"/>
      <c r="R536" s="9"/>
      <c r="S536" s="4"/>
      <c r="T536" s="9"/>
      <c r="U536" s="9"/>
      <c r="V536" s="9"/>
      <c r="W536" s="9"/>
      <c r="X536" s="4"/>
      <c r="Y536" s="6"/>
      <c r="Z536" s="4"/>
      <c r="AA536" s="23"/>
      <c r="AB536" s="24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10"/>
      <c r="AU536" s="9"/>
    </row>
    <row r="537" spans="1:47">
      <c r="A537" s="4"/>
      <c r="B537" s="4"/>
      <c r="C537" s="5"/>
      <c r="D537" s="5"/>
      <c r="E537" s="6"/>
      <c r="F537" s="4"/>
      <c r="G537" s="6"/>
      <c r="H537" s="7"/>
      <c r="I537" s="2"/>
      <c r="J537" s="2"/>
      <c r="K537" s="2"/>
      <c r="L537" s="2"/>
      <c r="M537" s="2"/>
      <c r="N537" s="2"/>
      <c r="O537" s="2"/>
      <c r="P537" s="2"/>
      <c r="Q537" s="2"/>
      <c r="R537" s="9"/>
      <c r="S537" s="4"/>
      <c r="T537" s="9"/>
      <c r="U537" s="9"/>
      <c r="V537" s="9"/>
      <c r="W537" s="9"/>
      <c r="X537" s="4"/>
      <c r="Y537" s="6"/>
      <c r="Z537" s="4"/>
      <c r="AA537" s="23"/>
      <c r="AB537" s="24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10"/>
      <c r="AU537" s="9"/>
    </row>
    <row r="538" spans="1:47">
      <c r="A538" s="4"/>
      <c r="B538" s="4"/>
      <c r="C538" s="5"/>
      <c r="D538" s="5"/>
      <c r="E538" s="6"/>
      <c r="F538" s="4"/>
      <c r="G538" s="6"/>
      <c r="H538" s="7"/>
      <c r="I538" s="2"/>
      <c r="J538" s="2"/>
      <c r="K538" s="2"/>
      <c r="L538" s="2"/>
      <c r="M538" s="2"/>
      <c r="N538" s="2"/>
      <c r="O538" s="2"/>
      <c r="P538" s="2"/>
      <c r="Q538" s="2"/>
      <c r="R538" s="9"/>
      <c r="S538" s="4"/>
      <c r="T538" s="9"/>
      <c r="U538" s="9"/>
      <c r="V538" s="9"/>
      <c r="W538" s="9"/>
      <c r="X538" s="4"/>
      <c r="Y538" s="6"/>
      <c r="Z538" s="4"/>
      <c r="AA538" s="23"/>
      <c r="AB538" s="24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10"/>
      <c r="AU538" s="9"/>
    </row>
    <row r="539" spans="1:47">
      <c r="A539" s="4"/>
      <c r="B539" s="4"/>
      <c r="C539" s="5"/>
      <c r="D539" s="5"/>
      <c r="E539" s="6"/>
      <c r="F539" s="4"/>
      <c r="G539" s="6"/>
      <c r="H539" s="7"/>
      <c r="I539" s="2"/>
      <c r="J539" s="2"/>
      <c r="K539" s="2"/>
      <c r="L539" s="2"/>
      <c r="M539" s="2"/>
      <c r="N539" s="2"/>
      <c r="O539" s="2"/>
      <c r="P539" s="2"/>
      <c r="Q539" s="2"/>
      <c r="R539" s="9"/>
      <c r="S539" s="4"/>
      <c r="T539" s="9"/>
      <c r="U539" s="9"/>
      <c r="V539" s="9"/>
      <c r="W539" s="9"/>
      <c r="X539" s="4"/>
      <c r="Y539" s="6"/>
      <c r="Z539" s="4"/>
      <c r="AA539" s="23"/>
      <c r="AB539" s="24"/>
      <c r="AC539" s="2"/>
      <c r="AD539" s="2"/>
      <c r="AE539" s="2"/>
      <c r="AF539" s="2"/>
      <c r="AG539" s="2"/>
      <c r="AH539" s="2"/>
      <c r="AI539" s="2"/>
      <c r="AJ539" s="2"/>
      <c r="AK539" s="2"/>
      <c r="AL539" s="25"/>
      <c r="AM539" s="24"/>
      <c r="AN539" s="2"/>
      <c r="AO539" s="2"/>
      <c r="AP539" s="2"/>
      <c r="AQ539" s="2"/>
      <c r="AR539" s="2"/>
      <c r="AS539" s="2"/>
      <c r="AT539" s="10"/>
      <c r="AU539" s="9"/>
    </row>
    <row r="540" spans="1:47">
      <c r="A540" s="4"/>
      <c r="B540" s="4"/>
      <c r="C540" s="5"/>
      <c r="D540" s="5"/>
      <c r="E540" s="6"/>
      <c r="F540" s="4"/>
      <c r="G540" s="6"/>
      <c r="H540" s="7"/>
      <c r="I540" s="2"/>
      <c r="J540" s="2"/>
      <c r="K540" s="2"/>
      <c r="L540" s="2"/>
      <c r="M540" s="2"/>
      <c r="N540" s="2"/>
      <c r="O540" s="2"/>
      <c r="P540" s="2"/>
      <c r="Q540" s="2"/>
      <c r="R540" s="9"/>
      <c r="S540" s="4"/>
      <c r="T540" s="9"/>
      <c r="U540" s="9"/>
      <c r="V540" s="9"/>
      <c r="W540" s="9"/>
      <c r="X540" s="4"/>
      <c r="Y540" s="6"/>
      <c r="Z540" s="4"/>
      <c r="AA540" s="23"/>
      <c r="AB540" s="24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10"/>
      <c r="AU540" s="9"/>
    </row>
    <row r="541" spans="1:47">
      <c r="A541" s="4"/>
      <c r="B541" s="4"/>
      <c r="C541" s="5"/>
      <c r="D541" s="5"/>
      <c r="E541" s="6"/>
      <c r="F541" s="4"/>
      <c r="G541" s="6"/>
      <c r="H541" s="7"/>
      <c r="I541" s="2"/>
      <c r="J541" s="2"/>
      <c r="K541" s="2"/>
      <c r="L541" s="2"/>
      <c r="M541" s="2"/>
      <c r="N541" s="2"/>
      <c r="O541" s="2"/>
      <c r="P541" s="2"/>
      <c r="Q541" s="2"/>
      <c r="R541" s="9"/>
      <c r="S541" s="4"/>
      <c r="T541" s="9"/>
      <c r="U541" s="9"/>
      <c r="V541" s="9"/>
      <c r="W541" s="9"/>
      <c r="X541" s="4"/>
      <c r="Y541" s="6"/>
      <c r="Z541" s="4"/>
      <c r="AA541" s="23"/>
      <c r="AB541" s="24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10"/>
      <c r="AU541" s="9"/>
    </row>
    <row r="542" spans="1:47">
      <c r="A542" s="4"/>
      <c r="B542" s="4"/>
      <c r="C542" s="5"/>
      <c r="D542" s="5"/>
      <c r="E542" s="6"/>
      <c r="F542" s="4"/>
      <c r="G542" s="6"/>
      <c r="H542" s="7"/>
      <c r="I542" s="2"/>
      <c r="J542" s="2"/>
      <c r="K542" s="2"/>
      <c r="L542" s="2"/>
      <c r="M542" s="2"/>
      <c r="N542" s="2"/>
      <c r="O542" s="2"/>
      <c r="P542" s="2"/>
      <c r="Q542" s="2"/>
      <c r="R542" s="9"/>
      <c r="S542" s="4"/>
      <c r="T542" s="9"/>
      <c r="U542" s="9"/>
      <c r="V542" s="9"/>
      <c r="W542" s="9"/>
      <c r="X542" s="4"/>
      <c r="Y542" s="6"/>
      <c r="Z542" s="4"/>
      <c r="AA542" s="23"/>
      <c r="AB542" s="24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10"/>
      <c r="AU542" s="9"/>
    </row>
    <row r="543" spans="1:47">
      <c r="A543" s="4"/>
      <c r="B543" s="4"/>
      <c r="C543" s="5"/>
      <c r="D543" s="5"/>
      <c r="E543" s="6"/>
      <c r="F543" s="4"/>
      <c r="G543" s="6"/>
      <c r="H543" s="7"/>
      <c r="I543" s="2"/>
      <c r="J543" s="2"/>
      <c r="K543" s="2"/>
      <c r="L543" s="2"/>
      <c r="M543" s="2"/>
      <c r="N543" s="2"/>
      <c r="O543" s="2"/>
      <c r="P543" s="2"/>
      <c r="Q543" s="2"/>
      <c r="R543" s="9"/>
      <c r="S543" s="4"/>
      <c r="T543" s="9"/>
      <c r="U543" s="9"/>
      <c r="V543" s="9"/>
      <c r="W543" s="9"/>
      <c r="X543" s="4"/>
      <c r="Y543" s="6"/>
      <c r="Z543" s="4"/>
      <c r="AA543" s="4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10"/>
      <c r="AU543" s="9"/>
    </row>
    <row r="544" spans="1:47">
      <c r="A544" s="4"/>
      <c r="B544" s="4"/>
      <c r="C544" s="5"/>
      <c r="D544" s="5"/>
      <c r="E544" s="6"/>
      <c r="F544" s="4"/>
      <c r="G544" s="6"/>
      <c r="H544" s="7"/>
      <c r="I544" s="2"/>
      <c r="J544" s="2"/>
      <c r="K544" s="2"/>
      <c r="L544" s="2"/>
      <c r="M544" s="2"/>
      <c r="N544" s="2"/>
      <c r="O544" s="2"/>
      <c r="P544" s="2"/>
      <c r="Q544" s="2"/>
      <c r="R544" s="9"/>
      <c r="S544" s="4"/>
      <c r="T544" s="9"/>
      <c r="U544" s="9"/>
      <c r="V544" s="9"/>
      <c r="W544" s="9"/>
      <c r="X544" s="4"/>
      <c r="Y544" s="6"/>
      <c r="Z544" s="4"/>
      <c r="AA544" s="23"/>
      <c r="AB544" s="24"/>
      <c r="AC544" s="2"/>
      <c r="AD544" s="2"/>
      <c r="AE544" s="2"/>
      <c r="AF544" s="2"/>
      <c r="AG544" s="2"/>
      <c r="AH544" s="2"/>
      <c r="AI544" s="2"/>
      <c r="AJ544" s="2"/>
      <c r="AK544" s="2"/>
      <c r="AL544" s="25"/>
      <c r="AM544" s="24"/>
      <c r="AN544" s="2"/>
      <c r="AO544" s="2"/>
      <c r="AP544" s="2"/>
      <c r="AQ544" s="2"/>
      <c r="AR544" s="2"/>
      <c r="AS544" s="2"/>
      <c r="AT544" s="10"/>
      <c r="AU544" s="9"/>
    </row>
    <row r="545" spans="1:47">
      <c r="A545" s="4"/>
      <c r="B545" s="4"/>
      <c r="C545" s="5"/>
      <c r="D545" s="5"/>
      <c r="E545" s="6"/>
      <c r="F545" s="4"/>
      <c r="G545" s="6"/>
      <c r="H545" s="7"/>
      <c r="I545" s="2"/>
      <c r="J545" s="2"/>
      <c r="K545" s="2"/>
      <c r="L545" s="2"/>
      <c r="M545" s="2"/>
      <c r="N545" s="2"/>
      <c r="O545" s="2"/>
      <c r="P545" s="2"/>
      <c r="Q545" s="2"/>
      <c r="R545" s="9"/>
      <c r="S545" s="4"/>
      <c r="T545" s="9"/>
      <c r="U545" s="9"/>
      <c r="V545" s="9"/>
      <c r="W545" s="9"/>
      <c r="X545" s="4"/>
      <c r="Y545" s="6"/>
      <c r="Z545" s="4"/>
      <c r="AA545" s="23"/>
      <c r="AB545" s="24"/>
      <c r="AC545" s="25"/>
      <c r="AD545" s="24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10"/>
      <c r="AU545" s="9"/>
    </row>
    <row r="546" spans="1:47">
      <c r="A546" s="4"/>
      <c r="B546" s="4"/>
      <c r="C546" s="5"/>
      <c r="D546" s="5"/>
      <c r="E546" s="6"/>
      <c r="F546" s="4"/>
      <c r="G546" s="6"/>
      <c r="H546" s="7"/>
      <c r="I546" s="2"/>
      <c r="J546" s="2"/>
      <c r="K546" s="2"/>
      <c r="L546" s="2"/>
      <c r="M546" s="2"/>
      <c r="N546" s="2"/>
      <c r="O546" s="2"/>
      <c r="P546" s="2"/>
      <c r="Q546" s="2"/>
      <c r="R546" s="9"/>
      <c r="S546" s="4"/>
      <c r="T546" s="9"/>
      <c r="U546" s="9"/>
      <c r="V546" s="9"/>
      <c r="W546" s="9"/>
      <c r="X546" s="4"/>
      <c r="Y546" s="6"/>
      <c r="Z546" s="4"/>
      <c r="AA546" s="4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10"/>
      <c r="AU546" s="9"/>
    </row>
    <row r="547" spans="1:47">
      <c r="A547" s="4"/>
      <c r="B547" s="4"/>
      <c r="C547" s="5"/>
      <c r="D547" s="5"/>
      <c r="E547" s="6"/>
      <c r="F547" s="4"/>
      <c r="G547" s="6"/>
      <c r="H547" s="7"/>
      <c r="I547" s="2"/>
      <c r="J547" s="2"/>
      <c r="K547" s="2"/>
      <c r="L547" s="2"/>
      <c r="M547" s="2"/>
      <c r="N547" s="2"/>
      <c r="O547" s="2"/>
      <c r="P547" s="2"/>
      <c r="Q547" s="2"/>
      <c r="R547" s="9"/>
      <c r="S547" s="4"/>
      <c r="T547" s="9"/>
      <c r="U547" s="9"/>
      <c r="V547" s="9"/>
      <c r="W547" s="9"/>
      <c r="X547" s="4"/>
      <c r="Y547" s="6"/>
      <c r="Z547" s="4"/>
      <c r="AA547" s="23"/>
      <c r="AB547" s="24"/>
      <c r="AC547" s="25"/>
      <c r="AD547" s="24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10"/>
      <c r="AU547" s="9"/>
    </row>
    <row r="548" spans="1:47">
      <c r="A548" s="4"/>
      <c r="B548" s="4"/>
      <c r="C548" s="5"/>
      <c r="D548" s="5"/>
      <c r="E548" s="6"/>
      <c r="F548" s="4"/>
      <c r="G548" s="6"/>
      <c r="H548" s="7"/>
      <c r="I548" s="7"/>
      <c r="J548" s="7"/>
      <c r="K548" s="7"/>
      <c r="L548" s="7"/>
      <c r="M548" s="2"/>
      <c r="N548" s="2"/>
      <c r="O548" s="2"/>
      <c r="P548" s="2"/>
      <c r="Q548" s="2"/>
      <c r="R548" s="9"/>
      <c r="S548" s="4"/>
      <c r="T548" s="9"/>
      <c r="U548" s="9"/>
      <c r="V548" s="9"/>
      <c r="W548" s="9"/>
      <c r="X548" s="4"/>
      <c r="Y548" s="6"/>
      <c r="Z548" s="4"/>
      <c r="AA548" s="23"/>
      <c r="AB548" s="24"/>
      <c r="AC548" s="2"/>
      <c r="AD548" s="2"/>
      <c r="AE548" s="2"/>
      <c r="AF548" s="2"/>
      <c r="AG548" s="2"/>
      <c r="AH548" s="2"/>
      <c r="AI548" s="2"/>
      <c r="AJ548" s="2"/>
      <c r="AK548" s="2"/>
      <c r="AL548" s="25"/>
      <c r="AM548" s="24"/>
      <c r="AN548" s="2"/>
      <c r="AO548" s="2"/>
      <c r="AP548" s="2"/>
      <c r="AQ548" s="2"/>
      <c r="AR548" s="2"/>
      <c r="AS548" s="2"/>
      <c r="AT548" s="10"/>
      <c r="AU548" s="9"/>
    </row>
    <row r="549" spans="1:47">
      <c r="A549" s="4"/>
      <c r="B549" s="4"/>
      <c r="C549" s="5"/>
      <c r="D549" s="5"/>
      <c r="E549" s="6"/>
      <c r="F549" s="4"/>
      <c r="G549" s="6"/>
      <c r="H549" s="7"/>
      <c r="I549" s="2"/>
      <c r="J549" s="2"/>
      <c r="K549" s="2"/>
      <c r="L549" s="2"/>
      <c r="M549" s="2"/>
      <c r="N549" s="2"/>
      <c r="O549" s="2"/>
      <c r="P549" s="2"/>
      <c r="Q549" s="2"/>
      <c r="R549" s="9"/>
      <c r="S549" s="4"/>
      <c r="T549" s="9"/>
      <c r="U549" s="9"/>
      <c r="V549" s="9"/>
      <c r="W549" s="9"/>
      <c r="X549" s="4"/>
      <c r="Y549" s="6"/>
      <c r="Z549" s="4"/>
      <c r="AA549" s="23"/>
      <c r="AB549" s="24"/>
      <c r="AC549" s="2"/>
      <c r="AD549" s="2"/>
      <c r="AE549" s="2"/>
      <c r="AF549" s="2"/>
      <c r="AG549" s="2"/>
      <c r="AH549" s="2"/>
      <c r="AI549" s="2"/>
      <c r="AJ549" s="2"/>
      <c r="AK549" s="2"/>
      <c r="AL549" s="25"/>
      <c r="AM549" s="24"/>
      <c r="AN549" s="2"/>
      <c r="AO549" s="2"/>
      <c r="AP549" s="2"/>
      <c r="AQ549" s="2"/>
      <c r="AR549" s="2"/>
      <c r="AS549" s="2"/>
      <c r="AT549" s="10"/>
      <c r="AU549" s="9"/>
    </row>
    <row r="550" spans="1:47">
      <c r="A550" s="4"/>
      <c r="B550" s="4"/>
      <c r="C550" s="5"/>
      <c r="D550" s="5"/>
      <c r="E550" s="6"/>
      <c r="F550" s="4"/>
      <c r="G550" s="6"/>
      <c r="H550" s="7"/>
      <c r="I550" s="2"/>
      <c r="J550" s="2"/>
      <c r="K550" s="2"/>
      <c r="L550" s="2"/>
      <c r="M550" s="2"/>
      <c r="N550" s="2"/>
      <c r="O550" s="2"/>
      <c r="P550" s="2"/>
      <c r="Q550" s="2"/>
      <c r="R550" s="9"/>
      <c r="S550" s="4"/>
      <c r="T550" s="9"/>
      <c r="U550" s="9"/>
      <c r="V550" s="9"/>
      <c r="W550" s="9"/>
      <c r="X550" s="4"/>
      <c r="Y550" s="6"/>
      <c r="Z550" s="4"/>
      <c r="AA550" s="23"/>
      <c r="AB550" s="24"/>
      <c r="AC550" s="2"/>
      <c r="AD550" s="2"/>
      <c r="AE550" s="2"/>
      <c r="AF550" s="2"/>
      <c r="AG550" s="2"/>
      <c r="AH550" s="2"/>
      <c r="AI550" s="2"/>
      <c r="AJ550" s="2"/>
      <c r="AK550" s="2"/>
      <c r="AL550" s="25"/>
      <c r="AM550" s="24"/>
      <c r="AN550" s="2"/>
      <c r="AO550" s="2"/>
      <c r="AP550" s="2"/>
      <c r="AQ550" s="2"/>
      <c r="AR550" s="2"/>
      <c r="AS550" s="2"/>
      <c r="AT550" s="10"/>
      <c r="AU550" s="9"/>
    </row>
    <row r="551" spans="1:47">
      <c r="A551" s="4"/>
      <c r="B551" s="4"/>
      <c r="C551" s="5"/>
      <c r="D551" s="5"/>
      <c r="E551" s="6"/>
      <c r="F551" s="4"/>
      <c r="G551" s="6"/>
      <c r="H551" s="7"/>
      <c r="I551" s="2"/>
      <c r="J551" s="2"/>
      <c r="K551" s="2"/>
      <c r="L551" s="2"/>
      <c r="M551" s="2"/>
      <c r="N551" s="2"/>
      <c r="O551" s="2"/>
      <c r="P551" s="2"/>
      <c r="Q551" s="2"/>
      <c r="R551" s="9"/>
      <c r="S551" s="4"/>
      <c r="T551" s="9"/>
      <c r="U551" s="9"/>
      <c r="V551" s="9"/>
      <c r="W551" s="9"/>
      <c r="X551" s="4"/>
      <c r="Y551" s="6"/>
      <c r="Z551" s="4"/>
      <c r="AA551" s="23"/>
      <c r="AB551" s="24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10"/>
      <c r="AU551" s="9"/>
    </row>
    <row r="552" spans="1:47">
      <c r="A552" s="4"/>
      <c r="B552" s="4"/>
      <c r="C552" s="5"/>
      <c r="D552" s="5"/>
      <c r="E552" s="6"/>
      <c r="F552" s="4"/>
      <c r="G552" s="6"/>
      <c r="H552" s="7"/>
      <c r="I552" s="2"/>
      <c r="J552" s="2"/>
      <c r="K552" s="2"/>
      <c r="L552" s="2"/>
      <c r="M552" s="2"/>
      <c r="N552" s="2"/>
      <c r="O552" s="2"/>
      <c r="P552" s="2"/>
      <c r="Q552" s="2"/>
      <c r="R552" s="9"/>
      <c r="S552" s="4"/>
      <c r="T552" s="9"/>
      <c r="U552" s="9"/>
      <c r="V552" s="9"/>
      <c r="W552" s="9"/>
      <c r="X552" s="4"/>
      <c r="Y552" s="6"/>
      <c r="Z552" s="4"/>
      <c r="AA552" s="23"/>
      <c r="AB552" s="24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10"/>
      <c r="AU552" s="9"/>
    </row>
    <row r="553" spans="1:47">
      <c r="A553" s="4"/>
      <c r="B553" s="4"/>
      <c r="C553" s="5"/>
      <c r="D553" s="5"/>
      <c r="E553" s="6"/>
      <c r="F553" s="4"/>
      <c r="G553" s="6"/>
      <c r="H553" s="7"/>
      <c r="I553" s="2"/>
      <c r="J553" s="2"/>
      <c r="K553" s="2"/>
      <c r="L553" s="2"/>
      <c r="M553" s="2"/>
      <c r="N553" s="2"/>
      <c r="O553" s="2"/>
      <c r="P553" s="2"/>
      <c r="Q553" s="2"/>
      <c r="R553" s="9"/>
      <c r="S553" s="4"/>
      <c r="T553" s="9"/>
      <c r="U553" s="9"/>
      <c r="V553" s="9"/>
      <c r="W553" s="9"/>
      <c r="X553" s="4"/>
      <c r="Y553" s="6"/>
      <c r="Z553" s="4"/>
      <c r="AA553" s="23"/>
      <c r="AB553" s="24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10"/>
      <c r="AU553" s="9"/>
    </row>
    <row r="554" spans="1:47">
      <c r="A554" s="4"/>
      <c r="B554" s="4"/>
      <c r="C554" s="5"/>
      <c r="D554" s="5"/>
      <c r="E554" s="6"/>
      <c r="F554" s="4"/>
      <c r="G554" s="6"/>
      <c r="H554" s="7"/>
      <c r="I554" s="2"/>
      <c r="J554" s="2"/>
      <c r="K554" s="2"/>
      <c r="L554" s="2"/>
      <c r="M554" s="2"/>
      <c r="N554" s="2"/>
      <c r="O554" s="2"/>
      <c r="P554" s="2"/>
      <c r="Q554" s="2"/>
      <c r="R554" s="9"/>
      <c r="S554" s="4"/>
      <c r="T554" s="9"/>
      <c r="U554" s="9"/>
      <c r="V554" s="9"/>
      <c r="W554" s="9"/>
      <c r="X554" s="4"/>
      <c r="Y554" s="6"/>
      <c r="Z554" s="4"/>
      <c r="AA554" s="23"/>
      <c r="AB554" s="24"/>
      <c r="AC554" s="2"/>
      <c r="AD554" s="2"/>
      <c r="AE554" s="2"/>
      <c r="AF554" s="2"/>
      <c r="AG554" s="2"/>
      <c r="AH554" s="2"/>
      <c r="AI554" s="2"/>
      <c r="AJ554" s="2"/>
      <c r="AK554" s="2"/>
      <c r="AL554" s="25"/>
      <c r="AM554" s="24"/>
      <c r="AN554" s="2"/>
      <c r="AO554" s="2"/>
      <c r="AP554" s="2"/>
      <c r="AQ554" s="2"/>
      <c r="AR554" s="2"/>
      <c r="AS554" s="2"/>
      <c r="AT554" s="10"/>
      <c r="AU554" s="9"/>
    </row>
    <row r="555" spans="1:47">
      <c r="A555" s="4"/>
      <c r="B555" s="4"/>
      <c r="C555" s="5"/>
      <c r="D555" s="5"/>
      <c r="E555" s="6"/>
      <c r="F555" s="4"/>
      <c r="G555" s="6"/>
      <c r="H555" s="7"/>
      <c r="I555" s="2"/>
      <c r="J555" s="2"/>
      <c r="K555" s="2"/>
      <c r="L555" s="2"/>
      <c r="M555" s="2"/>
      <c r="N555" s="2"/>
      <c r="O555" s="2"/>
      <c r="P555" s="2"/>
      <c r="Q555" s="2"/>
      <c r="R555" s="9"/>
      <c r="S555" s="4"/>
      <c r="T555" s="9"/>
      <c r="U555" s="9"/>
      <c r="V555" s="9"/>
      <c r="W555" s="9"/>
      <c r="X555" s="4"/>
      <c r="Y555" s="6"/>
      <c r="Z555" s="4"/>
      <c r="AA555" s="23"/>
      <c r="AB555" s="24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10"/>
      <c r="AU555" s="9"/>
    </row>
    <row r="556" spans="1:47">
      <c r="A556" s="4"/>
      <c r="B556" s="4"/>
      <c r="C556" s="5"/>
      <c r="D556" s="5"/>
      <c r="E556" s="6"/>
      <c r="F556" s="4"/>
      <c r="G556" s="6"/>
      <c r="H556" s="7"/>
      <c r="I556" s="2"/>
      <c r="J556" s="2"/>
      <c r="K556" s="2"/>
      <c r="L556" s="2"/>
      <c r="M556" s="2"/>
      <c r="N556" s="2"/>
      <c r="O556" s="2"/>
      <c r="P556" s="2"/>
      <c r="Q556" s="2"/>
      <c r="R556" s="9"/>
      <c r="S556" s="4"/>
      <c r="T556" s="9"/>
      <c r="U556" s="9"/>
      <c r="V556" s="9"/>
      <c r="W556" s="9"/>
      <c r="X556" s="4"/>
      <c r="Y556" s="6"/>
      <c r="Z556" s="4"/>
      <c r="AA556" s="23"/>
      <c r="AB556" s="24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10"/>
      <c r="AU556" s="9"/>
    </row>
    <row r="557" spans="1:47">
      <c r="A557" s="4"/>
      <c r="B557" s="4"/>
      <c r="C557" s="5"/>
      <c r="D557" s="5"/>
      <c r="E557" s="6"/>
      <c r="F557" s="4"/>
      <c r="G557" s="6"/>
      <c r="H557" s="7"/>
      <c r="I557" s="2"/>
      <c r="J557" s="2"/>
      <c r="K557" s="2"/>
      <c r="L557" s="2"/>
      <c r="M557" s="2"/>
      <c r="N557" s="2"/>
      <c r="O557" s="2"/>
      <c r="P557" s="2"/>
      <c r="Q557" s="2"/>
      <c r="R557" s="9"/>
      <c r="S557" s="4"/>
      <c r="T557" s="9"/>
      <c r="U557" s="9"/>
      <c r="V557" s="9"/>
      <c r="W557" s="9"/>
      <c r="X557" s="4"/>
      <c r="Y557" s="6"/>
      <c r="Z557" s="4"/>
      <c r="AA557" s="23"/>
      <c r="AB557" s="24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10"/>
      <c r="AU557" s="9"/>
    </row>
    <row r="558" spans="1:47">
      <c r="A558" s="4"/>
      <c r="B558" s="4"/>
      <c r="C558" s="5"/>
      <c r="D558" s="5"/>
      <c r="E558" s="6"/>
      <c r="F558" s="4"/>
      <c r="G558" s="6"/>
      <c r="H558" s="7"/>
      <c r="I558" s="2"/>
      <c r="J558" s="2"/>
      <c r="K558" s="2"/>
      <c r="L558" s="2"/>
      <c r="M558" s="2"/>
      <c r="N558" s="2"/>
      <c r="O558" s="2"/>
      <c r="P558" s="2"/>
      <c r="Q558" s="2"/>
      <c r="R558" s="9"/>
      <c r="S558" s="4"/>
      <c r="T558" s="9"/>
      <c r="U558" s="9"/>
      <c r="V558" s="9"/>
      <c r="W558" s="9"/>
      <c r="X558" s="4"/>
      <c r="Y558" s="6"/>
      <c r="Z558" s="4"/>
      <c r="AA558" s="23"/>
      <c r="AB558" s="24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10"/>
      <c r="AU558" s="9"/>
    </row>
    <row r="559" spans="1:47">
      <c r="A559" s="4"/>
      <c r="B559" s="4"/>
      <c r="C559" s="5"/>
      <c r="D559" s="5"/>
      <c r="E559" s="6"/>
      <c r="F559" s="4"/>
      <c r="G559" s="6"/>
      <c r="H559" s="7"/>
      <c r="I559" s="7"/>
      <c r="J559" s="7"/>
      <c r="K559" s="7"/>
      <c r="L559" s="2"/>
      <c r="M559" s="2"/>
      <c r="N559" s="2"/>
      <c r="O559" s="2"/>
      <c r="P559" s="2"/>
      <c r="Q559" s="2"/>
      <c r="R559" s="9"/>
      <c r="S559" s="4"/>
      <c r="T559" s="9"/>
      <c r="U559" s="9"/>
      <c r="V559" s="9"/>
      <c r="W559" s="9"/>
      <c r="X559" s="4"/>
      <c r="Y559" s="6"/>
      <c r="Z559" s="9"/>
      <c r="AA559" s="4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10"/>
      <c r="AU559" s="9"/>
    </row>
    <row r="560" spans="1:47">
      <c r="A560" s="4"/>
      <c r="B560" s="4"/>
      <c r="C560" s="5"/>
      <c r="D560" s="5"/>
      <c r="E560" s="6"/>
      <c r="F560" s="4"/>
      <c r="G560" s="6"/>
      <c r="H560" s="7"/>
      <c r="I560" s="2"/>
      <c r="J560" s="2"/>
      <c r="K560" s="2"/>
      <c r="L560" s="2"/>
      <c r="M560" s="2"/>
      <c r="N560" s="2"/>
      <c r="O560" s="2"/>
      <c r="P560" s="2"/>
      <c r="Q560" s="2"/>
      <c r="R560" s="9"/>
      <c r="S560" s="4"/>
      <c r="T560" s="9"/>
      <c r="U560" s="9"/>
      <c r="V560" s="9"/>
      <c r="W560" s="9"/>
      <c r="X560" s="4"/>
      <c r="Y560" s="6"/>
      <c r="Z560" s="4"/>
      <c r="AA560" s="23"/>
      <c r="AB560" s="24"/>
      <c r="AC560" s="2"/>
      <c r="AD560" s="2"/>
      <c r="AE560" s="25"/>
      <c r="AF560" s="24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10"/>
      <c r="AU560" s="9"/>
    </row>
    <row r="561" spans="1:47">
      <c r="A561" s="4"/>
      <c r="B561" s="4"/>
      <c r="C561" s="5"/>
      <c r="D561" s="5"/>
      <c r="E561" s="6"/>
      <c r="F561" s="4"/>
      <c r="G561" s="6"/>
      <c r="H561" s="7"/>
      <c r="I561" s="2"/>
      <c r="J561" s="2"/>
      <c r="K561" s="2"/>
      <c r="L561" s="2"/>
      <c r="M561" s="2"/>
      <c r="N561" s="2"/>
      <c r="O561" s="2"/>
      <c r="P561" s="2"/>
      <c r="Q561" s="2"/>
      <c r="R561" s="9"/>
      <c r="S561" s="4"/>
      <c r="T561" s="9"/>
      <c r="U561" s="9"/>
      <c r="V561" s="9"/>
      <c r="W561" s="9"/>
      <c r="X561" s="4"/>
      <c r="Y561" s="6"/>
      <c r="Z561" s="4"/>
      <c r="AA561" s="23"/>
      <c r="AB561" s="24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10"/>
      <c r="AU561" s="9"/>
    </row>
    <row r="562" spans="1:47">
      <c r="A562" s="4"/>
      <c r="B562" s="4"/>
      <c r="C562" s="5"/>
      <c r="D562" s="5"/>
      <c r="E562" s="6"/>
      <c r="F562" s="4"/>
      <c r="G562" s="6"/>
      <c r="H562" s="7"/>
      <c r="I562" s="2"/>
      <c r="J562" s="2"/>
      <c r="K562" s="2"/>
      <c r="L562" s="2"/>
      <c r="M562" s="2"/>
      <c r="N562" s="2"/>
      <c r="O562" s="2"/>
      <c r="P562" s="2"/>
      <c r="Q562" s="2"/>
      <c r="R562" s="9"/>
      <c r="S562" s="4"/>
      <c r="T562" s="9"/>
      <c r="U562" s="9"/>
      <c r="V562" s="9"/>
      <c r="W562" s="9"/>
      <c r="X562" s="4"/>
      <c r="Y562" s="6"/>
      <c r="Z562" s="4"/>
      <c r="AA562" s="23"/>
      <c r="AB562" s="24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10"/>
      <c r="AU562" s="9"/>
    </row>
    <row r="563" spans="1:47">
      <c r="A563" s="4"/>
      <c r="B563" s="4"/>
      <c r="C563" s="5"/>
      <c r="D563" s="5"/>
      <c r="E563" s="6"/>
      <c r="F563" s="4"/>
      <c r="G563" s="6"/>
      <c r="H563" s="7"/>
      <c r="I563" s="2"/>
      <c r="J563" s="2"/>
      <c r="K563" s="2"/>
      <c r="L563" s="2"/>
      <c r="M563" s="2"/>
      <c r="N563" s="2"/>
      <c r="O563" s="2"/>
      <c r="P563" s="2"/>
      <c r="Q563" s="2"/>
      <c r="R563" s="9"/>
      <c r="S563" s="4"/>
      <c r="T563" s="9"/>
      <c r="U563" s="9"/>
      <c r="V563" s="9"/>
      <c r="W563" s="9"/>
      <c r="X563" s="4"/>
      <c r="Y563" s="6"/>
      <c r="Z563" s="4"/>
      <c r="AA563" s="23"/>
      <c r="AB563" s="24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10"/>
      <c r="AU563" s="9"/>
    </row>
    <row r="564" spans="1:47">
      <c r="A564" s="4"/>
      <c r="B564" s="4"/>
      <c r="C564" s="5"/>
      <c r="D564" s="5"/>
      <c r="E564" s="6"/>
      <c r="F564" s="4"/>
      <c r="G564" s="6"/>
      <c r="H564" s="7"/>
      <c r="I564" s="2"/>
      <c r="J564" s="2"/>
      <c r="K564" s="2"/>
      <c r="L564" s="2"/>
      <c r="M564" s="2"/>
      <c r="N564" s="2"/>
      <c r="O564" s="2"/>
      <c r="P564" s="2"/>
      <c r="Q564" s="2"/>
      <c r="R564" s="9"/>
      <c r="S564" s="4"/>
      <c r="T564" s="9"/>
      <c r="U564" s="9"/>
      <c r="V564" s="9"/>
      <c r="W564" s="9"/>
      <c r="X564" s="4"/>
      <c r="Y564" s="6"/>
      <c r="Z564" s="4"/>
      <c r="AA564" s="23"/>
      <c r="AB564" s="24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10"/>
      <c r="AU564" s="9"/>
    </row>
    <row r="565" spans="1:47">
      <c r="A565" s="4"/>
      <c r="B565" s="4"/>
      <c r="C565" s="5"/>
      <c r="D565" s="5"/>
      <c r="E565" s="6"/>
      <c r="F565" s="4"/>
      <c r="G565" s="6"/>
      <c r="H565" s="7"/>
      <c r="I565" s="7"/>
      <c r="J565" s="7"/>
      <c r="K565" s="7"/>
      <c r="L565" s="7"/>
      <c r="M565" s="2"/>
      <c r="N565" s="2"/>
      <c r="O565" s="2"/>
      <c r="P565" s="2"/>
      <c r="Q565" s="2"/>
      <c r="R565" s="9"/>
      <c r="S565" s="4"/>
      <c r="T565" s="9"/>
      <c r="U565" s="9"/>
      <c r="V565" s="9"/>
      <c r="W565" s="9"/>
      <c r="X565" s="4"/>
      <c r="Y565" s="6"/>
      <c r="Z565" s="4"/>
      <c r="AA565" s="23"/>
      <c r="AB565" s="24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10"/>
      <c r="AU565" s="9"/>
    </row>
    <row r="566" spans="1:47">
      <c r="A566" s="4"/>
      <c r="B566" s="4"/>
      <c r="C566" s="5"/>
      <c r="D566" s="5"/>
      <c r="E566" s="6"/>
      <c r="F566" s="4"/>
      <c r="G566" s="6"/>
      <c r="H566" s="7"/>
      <c r="I566" s="2"/>
      <c r="J566" s="2"/>
      <c r="K566" s="2"/>
      <c r="L566" s="2"/>
      <c r="M566" s="2"/>
      <c r="N566" s="2"/>
      <c r="O566" s="2"/>
      <c r="P566" s="2"/>
      <c r="Q566" s="2"/>
      <c r="R566" s="9"/>
      <c r="S566" s="4"/>
      <c r="T566" s="9"/>
      <c r="U566" s="9"/>
      <c r="V566" s="9"/>
      <c r="W566" s="9"/>
      <c r="X566" s="4"/>
      <c r="Y566" s="6"/>
      <c r="Z566" s="4"/>
      <c r="AA566" s="23"/>
      <c r="AB566" s="24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10"/>
      <c r="AU566" s="9"/>
    </row>
    <row r="567" spans="1:47">
      <c r="A567" s="4"/>
      <c r="B567" s="4"/>
      <c r="C567" s="5"/>
      <c r="D567" s="5"/>
      <c r="E567" s="6"/>
      <c r="F567" s="4"/>
      <c r="G567" s="6"/>
      <c r="H567" s="7"/>
      <c r="I567" s="7"/>
      <c r="J567" s="7"/>
      <c r="K567" s="7"/>
      <c r="L567" s="7"/>
      <c r="M567" s="2"/>
      <c r="N567" s="2"/>
      <c r="O567" s="2"/>
      <c r="P567" s="2"/>
      <c r="Q567" s="2"/>
      <c r="R567" s="9"/>
      <c r="S567" s="4"/>
      <c r="T567" s="9"/>
      <c r="U567" s="9"/>
      <c r="V567" s="9"/>
      <c r="W567" s="9"/>
      <c r="X567" s="4"/>
      <c r="Y567" s="6"/>
      <c r="Z567" s="4"/>
      <c r="AA567" s="23"/>
      <c r="AB567" s="24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10"/>
      <c r="AU567" s="9"/>
    </row>
    <row r="568" spans="1:47">
      <c r="A568" s="4"/>
      <c r="B568" s="4"/>
      <c r="C568" s="5"/>
      <c r="D568" s="5"/>
      <c r="E568" s="6"/>
      <c r="F568" s="4"/>
      <c r="G568" s="6"/>
      <c r="H568" s="7"/>
      <c r="I568" s="7"/>
      <c r="J568" s="2"/>
      <c r="K568" s="2"/>
      <c r="L568" s="2"/>
      <c r="M568" s="2"/>
      <c r="N568" s="2"/>
      <c r="O568" s="2"/>
      <c r="P568" s="2"/>
      <c r="Q568" s="2"/>
      <c r="R568" s="9"/>
      <c r="S568" s="4"/>
      <c r="T568" s="9"/>
      <c r="U568" s="9"/>
      <c r="V568" s="9"/>
      <c r="W568" s="9"/>
      <c r="X568" s="4"/>
      <c r="Y568" s="6"/>
      <c r="Z568" s="9"/>
      <c r="AA568" s="4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10"/>
      <c r="AU568" s="9"/>
    </row>
    <row r="569" spans="1:47">
      <c r="A569" s="4"/>
      <c r="B569" s="4"/>
      <c r="C569" s="5"/>
      <c r="D569" s="5"/>
      <c r="E569" s="6"/>
      <c r="F569" s="4"/>
      <c r="G569" s="6"/>
      <c r="H569" s="7"/>
      <c r="I569" s="7"/>
      <c r="J569" s="2"/>
      <c r="K569" s="2"/>
      <c r="L569" s="2"/>
      <c r="M569" s="2"/>
      <c r="N569" s="2"/>
      <c r="O569" s="2"/>
      <c r="P569" s="2"/>
      <c r="Q569" s="2"/>
      <c r="R569" s="9"/>
      <c r="S569" s="4"/>
      <c r="T569" s="9"/>
      <c r="U569" s="9"/>
      <c r="V569" s="9"/>
      <c r="W569" s="9"/>
      <c r="X569" s="4"/>
      <c r="Y569" s="6"/>
      <c r="Z569" s="9"/>
      <c r="AA569" s="4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10"/>
      <c r="AU569" s="9"/>
    </row>
    <row r="570" spans="1:47">
      <c r="A570" s="4"/>
      <c r="B570" s="4"/>
      <c r="C570" s="5"/>
      <c r="D570" s="5"/>
      <c r="E570" s="6"/>
      <c r="F570" s="4"/>
      <c r="G570" s="6"/>
      <c r="H570" s="7"/>
      <c r="I570" s="2"/>
      <c r="J570" s="2"/>
      <c r="K570" s="2"/>
      <c r="L570" s="2"/>
      <c r="M570" s="2"/>
      <c r="N570" s="2"/>
      <c r="O570" s="2"/>
      <c r="P570" s="2"/>
      <c r="Q570" s="2"/>
      <c r="R570" s="9"/>
      <c r="S570" s="4"/>
      <c r="T570" s="9"/>
      <c r="U570" s="9"/>
      <c r="V570" s="9"/>
      <c r="W570" s="9"/>
      <c r="X570" s="4"/>
      <c r="Y570" s="6"/>
      <c r="Z570" s="4"/>
      <c r="AA570" s="23"/>
      <c r="AB570" s="24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10"/>
      <c r="AU570" s="9"/>
    </row>
    <row r="571" spans="1:47">
      <c r="A571" s="4"/>
      <c r="B571" s="4"/>
      <c r="C571" s="5"/>
      <c r="D571" s="5"/>
      <c r="E571" s="6"/>
      <c r="F571" s="4"/>
      <c r="G571" s="6"/>
      <c r="H571" s="7"/>
      <c r="I571" s="2"/>
      <c r="J571" s="2"/>
      <c r="K571" s="2"/>
      <c r="L571" s="2"/>
      <c r="M571" s="2"/>
      <c r="N571" s="2"/>
      <c r="O571" s="2"/>
      <c r="P571" s="2"/>
      <c r="Q571" s="2"/>
      <c r="R571" s="9"/>
      <c r="S571" s="4"/>
      <c r="T571" s="9"/>
      <c r="U571" s="9"/>
      <c r="V571" s="9"/>
      <c r="W571" s="9"/>
      <c r="X571" s="4"/>
      <c r="Y571" s="6"/>
      <c r="Z571" s="4"/>
      <c r="AA571" s="23"/>
      <c r="AB571" s="24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10"/>
      <c r="AU571" s="9"/>
    </row>
    <row r="572" spans="1:47">
      <c r="A572" s="4"/>
      <c r="B572" s="4"/>
      <c r="C572" s="5"/>
      <c r="D572" s="5"/>
      <c r="E572" s="6"/>
      <c r="F572" s="4"/>
      <c r="G572" s="6"/>
      <c r="H572" s="7"/>
      <c r="I572" s="2"/>
      <c r="J572" s="2"/>
      <c r="K572" s="2"/>
      <c r="L572" s="2"/>
      <c r="M572" s="2"/>
      <c r="N572" s="2"/>
      <c r="O572" s="2"/>
      <c r="P572" s="2"/>
      <c r="Q572" s="2"/>
      <c r="R572" s="9"/>
      <c r="S572" s="4"/>
      <c r="T572" s="9"/>
      <c r="U572" s="9"/>
      <c r="V572" s="9"/>
      <c r="W572" s="9"/>
      <c r="X572" s="4"/>
      <c r="Y572" s="6"/>
      <c r="Z572" s="4"/>
      <c r="AA572" s="23"/>
      <c r="AB572" s="24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10"/>
      <c r="AU572" s="9"/>
    </row>
    <row r="573" spans="1:47">
      <c r="A573" s="4"/>
      <c r="B573" s="4"/>
      <c r="C573" s="5"/>
      <c r="D573" s="5"/>
      <c r="E573" s="6"/>
      <c r="F573" s="4"/>
      <c r="G573" s="6"/>
      <c r="H573" s="7"/>
      <c r="I573" s="2"/>
      <c r="J573" s="2"/>
      <c r="K573" s="2"/>
      <c r="L573" s="2"/>
      <c r="M573" s="2"/>
      <c r="N573" s="2"/>
      <c r="O573" s="2"/>
      <c r="P573" s="2"/>
      <c r="Q573" s="2"/>
      <c r="R573" s="9"/>
      <c r="S573" s="4"/>
      <c r="T573" s="9"/>
      <c r="U573" s="9"/>
      <c r="V573" s="9"/>
      <c r="W573" s="9"/>
      <c r="X573" s="4"/>
      <c r="Y573" s="6"/>
      <c r="Z573" s="4"/>
      <c r="AA573" s="23"/>
      <c r="AB573" s="24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10"/>
      <c r="AU573" s="9"/>
    </row>
    <row r="574" spans="1:47">
      <c r="A574" s="4"/>
      <c r="B574" s="4"/>
      <c r="C574" s="5"/>
      <c r="D574" s="5"/>
      <c r="E574" s="6"/>
      <c r="F574" s="4"/>
      <c r="G574" s="6"/>
      <c r="H574" s="7"/>
      <c r="I574" s="2"/>
      <c r="J574" s="2"/>
      <c r="K574" s="2"/>
      <c r="L574" s="2"/>
      <c r="M574" s="2"/>
      <c r="N574" s="2"/>
      <c r="O574" s="2"/>
      <c r="P574" s="2"/>
      <c r="Q574" s="2"/>
      <c r="R574" s="9"/>
      <c r="S574" s="4"/>
      <c r="T574" s="9"/>
      <c r="U574" s="9"/>
      <c r="V574" s="9"/>
      <c r="W574" s="9"/>
      <c r="X574" s="4"/>
      <c r="Y574" s="6"/>
      <c r="Z574" s="4"/>
      <c r="AA574" s="23"/>
      <c r="AB574" s="24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10"/>
      <c r="AU574" s="9"/>
    </row>
    <row r="575" spans="1:47">
      <c r="A575" s="4"/>
      <c r="B575" s="4"/>
      <c r="C575" s="5"/>
      <c r="D575" s="5"/>
      <c r="E575" s="6"/>
      <c r="F575" s="4"/>
      <c r="G575" s="6"/>
      <c r="H575" s="7"/>
      <c r="I575" s="2"/>
      <c r="J575" s="2"/>
      <c r="K575" s="2"/>
      <c r="L575" s="2"/>
      <c r="M575" s="2"/>
      <c r="N575" s="2"/>
      <c r="O575" s="2"/>
      <c r="P575" s="2"/>
      <c r="Q575" s="2"/>
      <c r="R575" s="9"/>
      <c r="S575" s="4"/>
      <c r="T575" s="9"/>
      <c r="U575" s="9"/>
      <c r="V575" s="9"/>
      <c r="W575" s="9"/>
      <c r="X575" s="4"/>
      <c r="Y575" s="6"/>
      <c r="Z575" s="4"/>
      <c r="AA575" s="23"/>
      <c r="AB575" s="24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10"/>
      <c r="AU575" s="9"/>
    </row>
    <row r="576" spans="1:47">
      <c r="A576" s="4"/>
      <c r="B576" s="4"/>
      <c r="C576" s="5"/>
      <c r="D576" s="5"/>
      <c r="E576" s="6"/>
      <c r="F576" s="4"/>
      <c r="G576" s="6"/>
      <c r="H576" s="7"/>
      <c r="I576" s="7"/>
      <c r="J576" s="7"/>
      <c r="K576" s="7"/>
      <c r="L576" s="7"/>
      <c r="M576" s="2"/>
      <c r="N576" s="2"/>
      <c r="O576" s="2"/>
      <c r="P576" s="2"/>
      <c r="Q576" s="2"/>
      <c r="R576" s="9"/>
      <c r="S576" s="4"/>
      <c r="T576" s="9"/>
      <c r="U576" s="9"/>
      <c r="V576" s="9"/>
      <c r="W576" s="9"/>
      <c r="X576" s="4"/>
      <c r="Y576" s="6"/>
      <c r="Z576" s="4"/>
      <c r="AA576" s="23"/>
      <c r="AB576" s="24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10"/>
      <c r="AU576" s="9"/>
    </row>
    <row r="577" spans="1:47">
      <c r="A577" s="4"/>
      <c r="B577" s="4"/>
      <c r="C577" s="5"/>
      <c r="D577" s="5"/>
      <c r="E577" s="6"/>
      <c r="F577" s="4"/>
      <c r="G577" s="6"/>
      <c r="H577" s="7"/>
      <c r="I577" s="2"/>
      <c r="J577" s="2"/>
      <c r="K577" s="2"/>
      <c r="L577" s="2"/>
      <c r="M577" s="2"/>
      <c r="N577" s="2"/>
      <c r="O577" s="2"/>
      <c r="P577" s="2"/>
      <c r="Q577" s="2"/>
      <c r="R577" s="9"/>
      <c r="S577" s="4"/>
      <c r="T577" s="9"/>
      <c r="U577" s="9"/>
      <c r="V577" s="9"/>
      <c r="W577" s="9"/>
      <c r="X577" s="4"/>
      <c r="Y577" s="6"/>
      <c r="Z577" s="4"/>
      <c r="AA577" s="23"/>
      <c r="AB577" s="24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10"/>
      <c r="AU577" s="9"/>
    </row>
    <row r="578" spans="1:47">
      <c r="A578" s="4"/>
      <c r="B578" s="4"/>
      <c r="C578" s="5"/>
      <c r="D578" s="5"/>
      <c r="E578" s="6"/>
      <c r="F578" s="4"/>
      <c r="G578" s="6"/>
      <c r="H578" s="7"/>
      <c r="I578" s="7"/>
      <c r="J578" s="7"/>
      <c r="K578" s="7"/>
      <c r="L578" s="7"/>
      <c r="M578" s="2"/>
      <c r="N578" s="2"/>
      <c r="O578" s="2"/>
      <c r="P578" s="2"/>
      <c r="Q578" s="2"/>
      <c r="R578" s="9"/>
      <c r="S578" s="4"/>
      <c r="T578" s="9"/>
      <c r="U578" s="9"/>
      <c r="V578" s="9"/>
      <c r="W578" s="9"/>
      <c r="X578" s="4"/>
      <c r="Y578" s="6"/>
      <c r="Z578" s="4"/>
      <c r="AA578" s="23"/>
      <c r="AB578" s="24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10"/>
      <c r="AU578" s="9"/>
    </row>
    <row r="579" spans="1:47">
      <c r="A579" s="4"/>
      <c r="B579" s="4"/>
      <c r="C579" s="5"/>
      <c r="D579" s="5"/>
      <c r="E579" s="6"/>
      <c r="F579" s="4"/>
      <c r="G579" s="6"/>
      <c r="H579" s="7"/>
      <c r="I579" s="2"/>
      <c r="J579" s="2"/>
      <c r="K579" s="2"/>
      <c r="L579" s="2"/>
      <c r="M579" s="2"/>
      <c r="N579" s="2"/>
      <c r="O579" s="2"/>
      <c r="P579" s="2"/>
      <c r="Q579" s="2"/>
      <c r="R579" s="9"/>
      <c r="S579" s="4"/>
      <c r="T579" s="9"/>
      <c r="U579" s="9"/>
      <c r="V579" s="9"/>
      <c r="W579" s="9"/>
      <c r="X579" s="4"/>
      <c r="Y579" s="6"/>
      <c r="Z579" s="4"/>
      <c r="AA579" s="23"/>
      <c r="AB579" s="24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10"/>
      <c r="AU579" s="9"/>
    </row>
    <row r="580" spans="1:47">
      <c r="A580" s="4"/>
      <c r="B580" s="4"/>
      <c r="C580" s="5"/>
      <c r="D580" s="5"/>
      <c r="E580" s="6"/>
      <c r="F580" s="4"/>
      <c r="G580" s="6"/>
      <c r="H580" s="7"/>
      <c r="I580" s="2"/>
      <c r="J580" s="2"/>
      <c r="K580" s="2"/>
      <c r="L580" s="2"/>
      <c r="M580" s="2"/>
      <c r="N580" s="2"/>
      <c r="O580" s="2"/>
      <c r="P580" s="2"/>
      <c r="Q580" s="2"/>
      <c r="R580" s="9"/>
      <c r="S580" s="4"/>
      <c r="T580" s="9"/>
      <c r="U580" s="9"/>
      <c r="V580" s="9"/>
      <c r="W580" s="9"/>
      <c r="X580" s="4"/>
      <c r="Y580" s="6"/>
      <c r="Z580" s="4"/>
      <c r="AA580" s="23"/>
      <c r="AB580" s="24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10"/>
      <c r="AU580" s="9"/>
    </row>
    <row r="581" spans="1:47">
      <c r="A581" s="4"/>
      <c r="B581" s="4"/>
      <c r="C581" s="5"/>
      <c r="D581" s="5"/>
      <c r="E581" s="6"/>
      <c r="F581" s="4"/>
      <c r="G581" s="6"/>
      <c r="H581" s="7"/>
      <c r="I581" s="2"/>
      <c r="J581" s="2"/>
      <c r="K581" s="2"/>
      <c r="L581" s="2"/>
      <c r="M581" s="2"/>
      <c r="N581" s="2"/>
      <c r="O581" s="2"/>
      <c r="P581" s="2"/>
      <c r="Q581" s="2"/>
      <c r="R581" s="9"/>
      <c r="S581" s="4"/>
      <c r="T581" s="9"/>
      <c r="U581" s="9"/>
      <c r="V581" s="9"/>
      <c r="W581" s="9"/>
      <c r="X581" s="4"/>
      <c r="Y581" s="6"/>
      <c r="Z581" s="4"/>
      <c r="AA581" s="23"/>
      <c r="AB581" s="24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10"/>
      <c r="AU581" s="9"/>
    </row>
    <row r="582" spans="1:47">
      <c r="A582" s="4"/>
      <c r="B582" s="4"/>
      <c r="C582" s="5"/>
      <c r="D582" s="5"/>
      <c r="E582" s="6"/>
      <c r="F582" s="4"/>
      <c r="G582" s="6"/>
      <c r="H582" s="7"/>
      <c r="I582" s="7"/>
      <c r="J582" s="7"/>
      <c r="K582" s="2"/>
      <c r="L582" s="2"/>
      <c r="M582" s="2"/>
      <c r="N582" s="2"/>
      <c r="O582" s="2"/>
      <c r="P582" s="2"/>
      <c r="Q582" s="2"/>
      <c r="R582" s="9"/>
      <c r="S582" s="4"/>
      <c r="T582" s="9"/>
      <c r="U582" s="9"/>
      <c r="V582" s="9"/>
      <c r="W582" s="9"/>
      <c r="X582" s="4"/>
      <c r="Y582" s="6"/>
      <c r="Z582" s="9"/>
      <c r="AA582" s="4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10"/>
      <c r="AU582" s="9"/>
    </row>
    <row r="583" spans="1:47">
      <c r="A583" s="4"/>
      <c r="B583" s="4"/>
      <c r="C583" s="5"/>
      <c r="D583" s="5"/>
      <c r="E583" s="6"/>
      <c r="F583" s="4"/>
      <c r="G583" s="6"/>
      <c r="H583" s="7"/>
      <c r="I583" s="2"/>
      <c r="J583" s="2"/>
      <c r="K583" s="2"/>
      <c r="L583" s="2"/>
      <c r="M583" s="2"/>
      <c r="N583" s="2"/>
      <c r="O583" s="2"/>
      <c r="P583" s="2"/>
      <c r="Q583" s="2"/>
      <c r="R583" s="9"/>
      <c r="S583" s="4"/>
      <c r="T583" s="9"/>
      <c r="U583" s="9"/>
      <c r="V583" s="9"/>
      <c r="W583" s="9"/>
      <c r="X583" s="4"/>
      <c r="Y583" s="6"/>
      <c r="Z583" s="4"/>
      <c r="AA583" s="23"/>
      <c r="AB583" s="24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10"/>
      <c r="AU583" s="9"/>
    </row>
    <row r="584" spans="1:47">
      <c r="A584" s="4"/>
      <c r="B584" s="4"/>
      <c r="C584" s="5"/>
      <c r="D584" s="5"/>
      <c r="E584" s="6"/>
      <c r="F584" s="4"/>
      <c r="G584" s="6"/>
      <c r="H584" s="7"/>
      <c r="I584" s="7"/>
      <c r="J584" s="7"/>
      <c r="K584" s="2"/>
      <c r="L584" s="2"/>
      <c r="M584" s="2"/>
      <c r="N584" s="2"/>
      <c r="O584" s="2"/>
      <c r="P584" s="2"/>
      <c r="Q584" s="2"/>
      <c r="R584" s="9"/>
      <c r="S584" s="4"/>
      <c r="T584" s="9"/>
      <c r="U584" s="9"/>
      <c r="V584" s="9"/>
      <c r="W584" s="9"/>
      <c r="X584" s="4"/>
      <c r="Y584" s="6"/>
      <c r="Z584" s="9"/>
      <c r="AA584" s="4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10"/>
      <c r="AU584" s="9"/>
    </row>
    <row r="585" spans="1:47">
      <c r="A585" s="4"/>
      <c r="B585" s="4"/>
      <c r="C585" s="5"/>
      <c r="D585" s="5"/>
      <c r="E585" s="6"/>
      <c r="F585" s="4"/>
      <c r="G585" s="6"/>
      <c r="H585" s="7"/>
      <c r="I585" s="2"/>
      <c r="J585" s="2"/>
      <c r="K585" s="2"/>
      <c r="L585" s="2"/>
      <c r="M585" s="2"/>
      <c r="N585" s="2"/>
      <c r="O585" s="2"/>
      <c r="P585" s="2"/>
      <c r="Q585" s="2"/>
      <c r="R585" s="9"/>
      <c r="S585" s="4"/>
      <c r="T585" s="9"/>
      <c r="U585" s="9"/>
      <c r="V585" s="9"/>
      <c r="W585" s="9"/>
      <c r="X585" s="4"/>
      <c r="Y585" s="6"/>
      <c r="Z585" s="4"/>
      <c r="AA585" s="23"/>
      <c r="AB585" s="24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10"/>
      <c r="AU585" s="9"/>
    </row>
    <row r="586" spans="1:47">
      <c r="A586" s="4"/>
      <c r="B586" s="4"/>
      <c r="C586" s="5"/>
      <c r="D586" s="5"/>
      <c r="E586" s="6"/>
      <c r="F586" s="4"/>
      <c r="G586" s="6"/>
      <c r="H586" s="7"/>
      <c r="I586" s="7"/>
      <c r="J586" s="7"/>
      <c r="K586" s="2"/>
      <c r="L586" s="2"/>
      <c r="M586" s="2"/>
      <c r="N586" s="2"/>
      <c r="O586" s="2"/>
      <c r="P586" s="2"/>
      <c r="Q586" s="2"/>
      <c r="R586" s="9"/>
      <c r="S586" s="4"/>
      <c r="T586" s="9"/>
      <c r="U586" s="9"/>
      <c r="V586" s="9"/>
      <c r="W586" s="9"/>
      <c r="X586" s="4"/>
      <c r="Y586" s="6"/>
      <c r="Z586" s="9"/>
      <c r="AA586" s="4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10"/>
      <c r="AU586" s="9"/>
    </row>
    <row r="587" spans="1:47">
      <c r="A587" s="4"/>
      <c r="B587" s="4"/>
      <c r="C587" s="5"/>
      <c r="D587" s="5"/>
      <c r="E587" s="6"/>
      <c r="F587" s="4"/>
      <c r="G587" s="6"/>
      <c r="H587" s="7"/>
      <c r="I587" s="2"/>
      <c r="J587" s="2"/>
      <c r="K587" s="2"/>
      <c r="L587" s="2"/>
      <c r="M587" s="2"/>
      <c r="N587" s="2"/>
      <c r="O587" s="2"/>
      <c r="P587" s="2"/>
      <c r="Q587" s="2"/>
      <c r="R587" s="9"/>
      <c r="S587" s="4"/>
      <c r="T587" s="9"/>
      <c r="U587" s="9"/>
      <c r="V587" s="9"/>
      <c r="W587" s="9"/>
      <c r="X587" s="4"/>
      <c r="Y587" s="6"/>
      <c r="Z587" s="4"/>
      <c r="AA587" s="23"/>
      <c r="AB587" s="24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10"/>
      <c r="AU587" s="9"/>
    </row>
    <row r="588" spans="1:47">
      <c r="A588" s="4"/>
      <c r="B588" s="4"/>
      <c r="C588" s="5"/>
      <c r="D588" s="5"/>
      <c r="E588" s="6"/>
      <c r="F588" s="4"/>
      <c r="G588" s="6"/>
      <c r="H588" s="7"/>
      <c r="I588" s="2"/>
      <c r="J588" s="2"/>
      <c r="K588" s="2"/>
      <c r="L588" s="2"/>
      <c r="M588" s="2"/>
      <c r="N588" s="2"/>
      <c r="O588" s="2"/>
      <c r="P588" s="2"/>
      <c r="Q588" s="2"/>
      <c r="R588" s="9"/>
      <c r="S588" s="4"/>
      <c r="T588" s="9"/>
      <c r="U588" s="9"/>
      <c r="V588" s="9"/>
      <c r="W588" s="9"/>
      <c r="X588" s="4"/>
      <c r="Y588" s="6"/>
      <c r="Z588" s="4"/>
      <c r="AA588" s="23"/>
      <c r="AB588" s="24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10"/>
      <c r="AU588" s="9"/>
    </row>
    <row r="589" spans="1:47">
      <c r="A589" s="4"/>
      <c r="B589" s="4"/>
      <c r="C589" s="5"/>
      <c r="D589" s="5"/>
      <c r="E589" s="6"/>
      <c r="F589" s="4"/>
      <c r="G589" s="6"/>
      <c r="H589" s="7"/>
      <c r="I589" s="7"/>
      <c r="J589" s="7"/>
      <c r="K589" s="2"/>
      <c r="L589" s="2"/>
      <c r="M589" s="2"/>
      <c r="N589" s="2"/>
      <c r="O589" s="2"/>
      <c r="P589" s="2"/>
      <c r="Q589" s="2"/>
      <c r="R589" s="9"/>
      <c r="S589" s="4"/>
      <c r="T589" s="9"/>
      <c r="U589" s="9"/>
      <c r="V589" s="9"/>
      <c r="W589" s="9"/>
      <c r="X589" s="4"/>
      <c r="Y589" s="6"/>
      <c r="Z589" s="9"/>
      <c r="AA589" s="4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10"/>
      <c r="AU589" s="9"/>
    </row>
    <row r="590" spans="1:47">
      <c r="A590" s="4"/>
      <c r="B590" s="4"/>
      <c r="C590" s="5"/>
      <c r="D590" s="5"/>
      <c r="E590" s="6"/>
      <c r="F590" s="4"/>
      <c r="G590" s="6"/>
      <c r="H590" s="7"/>
      <c r="I590" s="2"/>
      <c r="J590" s="2"/>
      <c r="K590" s="2"/>
      <c r="L590" s="2"/>
      <c r="M590" s="2"/>
      <c r="N590" s="2"/>
      <c r="O590" s="2"/>
      <c r="P590" s="2"/>
      <c r="Q590" s="2"/>
      <c r="R590" s="9"/>
      <c r="S590" s="4"/>
      <c r="T590" s="9"/>
      <c r="U590" s="9"/>
      <c r="V590" s="9"/>
      <c r="W590" s="9"/>
      <c r="X590" s="4"/>
      <c r="Y590" s="6"/>
      <c r="Z590" s="9"/>
      <c r="AA590" s="23"/>
      <c r="AB590" s="24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10"/>
      <c r="AU590" s="9"/>
    </row>
    <row r="591" spans="1:47">
      <c r="A591" s="4"/>
      <c r="B591" s="4"/>
      <c r="C591" s="5"/>
      <c r="D591" s="5"/>
      <c r="E591" s="6"/>
      <c r="F591" s="4"/>
      <c r="G591" s="6"/>
      <c r="H591" s="7"/>
      <c r="I591" s="7"/>
      <c r="J591" s="7"/>
      <c r="K591" s="2"/>
      <c r="L591" s="2"/>
      <c r="M591" s="2"/>
      <c r="N591" s="2"/>
      <c r="O591" s="2"/>
      <c r="P591" s="2"/>
      <c r="Q591" s="2"/>
      <c r="R591" s="9"/>
      <c r="S591" s="4"/>
      <c r="T591" s="9"/>
      <c r="U591" s="9"/>
      <c r="V591" s="9"/>
      <c r="W591" s="9"/>
      <c r="X591" s="4"/>
      <c r="Y591" s="6"/>
      <c r="Z591" s="9"/>
      <c r="AA591" s="4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10"/>
      <c r="AU591" s="9"/>
    </row>
    <row r="592" spans="1:47">
      <c r="A592" s="4"/>
      <c r="B592" s="4"/>
      <c r="C592" s="5"/>
      <c r="D592" s="5"/>
      <c r="E592" s="6"/>
      <c r="F592" s="4"/>
      <c r="G592" s="6"/>
      <c r="H592" s="7"/>
      <c r="I592" s="7"/>
      <c r="J592" s="7"/>
      <c r="K592" s="7"/>
      <c r="L592" s="7"/>
      <c r="M592" s="2"/>
      <c r="N592" s="2"/>
      <c r="O592" s="2"/>
      <c r="P592" s="2"/>
      <c r="Q592" s="2"/>
      <c r="R592" s="9"/>
      <c r="S592" s="4"/>
      <c r="T592" s="9"/>
      <c r="U592" s="9"/>
      <c r="V592" s="9"/>
      <c r="W592" s="9"/>
      <c r="X592" s="4"/>
      <c r="Y592" s="6"/>
      <c r="Z592" s="4"/>
      <c r="AA592" s="23"/>
      <c r="AB592" s="24"/>
      <c r="AC592" s="2"/>
      <c r="AD592" s="2"/>
      <c r="AE592" s="25"/>
      <c r="AF592" s="24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10"/>
      <c r="AU592" s="9"/>
    </row>
    <row r="593" spans="1:47">
      <c r="A593" s="4"/>
      <c r="B593" s="4"/>
      <c r="C593" s="5"/>
      <c r="D593" s="5"/>
      <c r="E593" s="6"/>
      <c r="F593" s="4"/>
      <c r="G593" s="6"/>
      <c r="H593" s="7"/>
      <c r="I593" s="7"/>
      <c r="J593" s="7"/>
      <c r="K593" s="2"/>
      <c r="L593" s="2"/>
      <c r="M593" s="2"/>
      <c r="N593" s="2"/>
      <c r="O593" s="2"/>
      <c r="P593" s="2"/>
      <c r="Q593" s="2"/>
      <c r="R593" s="9"/>
      <c r="S593" s="4"/>
      <c r="T593" s="9"/>
      <c r="U593" s="9"/>
      <c r="V593" s="9"/>
      <c r="W593" s="9"/>
      <c r="X593" s="4"/>
      <c r="Y593" s="6"/>
      <c r="Z593" s="9"/>
      <c r="AA593" s="4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10"/>
      <c r="AU593" s="9"/>
    </row>
    <row r="594" spans="1:47">
      <c r="A594" s="4"/>
      <c r="B594" s="4"/>
      <c r="C594" s="5"/>
      <c r="D594" s="5"/>
      <c r="E594" s="6"/>
      <c r="F594" s="4"/>
      <c r="G594" s="6"/>
      <c r="H594" s="7"/>
      <c r="I594" s="2"/>
      <c r="J594" s="2"/>
      <c r="K594" s="2"/>
      <c r="L594" s="2"/>
      <c r="M594" s="2"/>
      <c r="N594" s="2"/>
      <c r="O594" s="2"/>
      <c r="P594" s="2"/>
      <c r="Q594" s="2"/>
      <c r="R594" s="9"/>
      <c r="S594" s="4"/>
      <c r="T594" s="9"/>
      <c r="U594" s="9"/>
      <c r="V594" s="9"/>
      <c r="W594" s="9"/>
      <c r="X594" s="4"/>
      <c r="Y594" s="6"/>
      <c r="Z594" s="4"/>
      <c r="AA594" s="23"/>
      <c r="AB594" s="24"/>
      <c r="AC594" s="2"/>
      <c r="AD594" s="2"/>
      <c r="AE594" s="25"/>
      <c r="AF594" s="24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10"/>
      <c r="AU594" s="9"/>
    </row>
    <row r="595" spans="1:47">
      <c r="A595" s="4"/>
      <c r="B595" s="4"/>
      <c r="C595" s="5"/>
      <c r="D595" s="5"/>
      <c r="E595" s="6"/>
      <c r="F595" s="4"/>
      <c r="G595" s="6"/>
      <c r="H595" s="7"/>
      <c r="I595" s="7"/>
      <c r="J595" s="7"/>
      <c r="K595" s="2"/>
      <c r="L595" s="2"/>
      <c r="M595" s="2"/>
      <c r="N595" s="2"/>
      <c r="O595" s="2"/>
      <c r="P595" s="2"/>
      <c r="Q595" s="2"/>
      <c r="R595" s="9"/>
      <c r="S595" s="4"/>
      <c r="T595" s="9"/>
      <c r="U595" s="9"/>
      <c r="V595" s="9"/>
      <c r="W595" s="9"/>
      <c r="X595" s="4"/>
      <c r="Y595" s="6"/>
      <c r="Z595" s="9"/>
      <c r="AA595" s="4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10"/>
      <c r="AU595" s="9"/>
    </row>
    <row r="596" spans="1:47">
      <c r="A596" s="4"/>
      <c r="B596" s="4"/>
      <c r="C596" s="5"/>
      <c r="D596" s="5"/>
      <c r="E596" s="6"/>
      <c r="F596" s="4"/>
      <c r="G596" s="6"/>
      <c r="H596" s="7"/>
      <c r="I596" s="7"/>
      <c r="J596" s="7"/>
      <c r="K596" s="2"/>
      <c r="L596" s="2"/>
      <c r="M596" s="2"/>
      <c r="N596" s="2"/>
      <c r="O596" s="2"/>
      <c r="P596" s="2"/>
      <c r="Q596" s="2"/>
      <c r="R596" s="9"/>
      <c r="S596" s="4"/>
      <c r="T596" s="9"/>
      <c r="U596" s="9"/>
      <c r="V596" s="9"/>
      <c r="W596" s="9"/>
      <c r="X596" s="4"/>
      <c r="Y596" s="6"/>
      <c r="Z596" s="9"/>
      <c r="AA596" s="4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10"/>
      <c r="AU596" s="9"/>
    </row>
    <row r="597" spans="1:47">
      <c r="A597" s="4"/>
      <c r="B597" s="4"/>
      <c r="C597" s="5"/>
      <c r="D597" s="5"/>
      <c r="E597" s="6"/>
      <c r="F597" s="4"/>
      <c r="G597" s="6"/>
      <c r="H597" s="7"/>
      <c r="I597" s="7"/>
      <c r="J597" s="7"/>
      <c r="K597" s="2"/>
      <c r="L597" s="2"/>
      <c r="M597" s="2"/>
      <c r="N597" s="2"/>
      <c r="O597" s="2"/>
      <c r="P597" s="2"/>
      <c r="Q597" s="2"/>
      <c r="R597" s="9"/>
      <c r="S597" s="4"/>
      <c r="T597" s="9"/>
      <c r="U597" s="9"/>
      <c r="V597" s="9"/>
      <c r="W597" s="9"/>
      <c r="X597" s="4"/>
      <c r="Y597" s="6"/>
      <c r="Z597" s="9"/>
      <c r="AA597" s="4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10"/>
      <c r="AU597" s="9"/>
    </row>
    <row r="598" spans="1:47">
      <c r="A598" s="4"/>
      <c r="B598" s="4"/>
      <c r="C598" s="5"/>
      <c r="D598" s="5"/>
      <c r="E598" s="6"/>
      <c r="F598" s="4"/>
      <c r="G598" s="6"/>
      <c r="H598" s="7"/>
      <c r="I598" s="2"/>
      <c r="J598" s="2"/>
      <c r="K598" s="2"/>
      <c r="L598" s="2"/>
      <c r="M598" s="2"/>
      <c r="N598" s="2"/>
      <c r="O598" s="2"/>
      <c r="P598" s="2"/>
      <c r="Q598" s="2"/>
      <c r="R598" s="9"/>
      <c r="S598" s="4"/>
      <c r="T598" s="9"/>
      <c r="U598" s="9"/>
      <c r="V598" s="9"/>
      <c r="W598" s="9"/>
      <c r="X598" s="4"/>
      <c r="Y598" s="6"/>
      <c r="Z598" s="4"/>
      <c r="AA598" s="23"/>
      <c r="AB598" s="24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10"/>
      <c r="AU598" s="9"/>
    </row>
    <row r="599" spans="1:47">
      <c r="A599" s="4"/>
      <c r="B599" s="4"/>
      <c r="C599" s="5"/>
      <c r="D599" s="5"/>
      <c r="E599" s="6"/>
      <c r="F599" s="4"/>
      <c r="G599" s="6"/>
      <c r="H599" s="7"/>
      <c r="I599" s="2"/>
      <c r="J599" s="2"/>
      <c r="K599" s="2"/>
      <c r="L599" s="2"/>
      <c r="M599" s="2"/>
      <c r="N599" s="2"/>
      <c r="O599" s="2"/>
      <c r="P599" s="2"/>
      <c r="Q599" s="2"/>
      <c r="R599" s="9"/>
      <c r="S599" s="4"/>
      <c r="T599" s="9"/>
      <c r="U599" s="9"/>
      <c r="V599" s="9"/>
      <c r="W599" s="9"/>
      <c r="X599" s="4"/>
      <c r="Y599" s="6"/>
      <c r="Z599" s="4"/>
      <c r="AA599" s="23"/>
      <c r="AB599" s="24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10"/>
      <c r="AU599" s="9"/>
    </row>
    <row r="600" spans="1:47">
      <c r="A600" s="4"/>
      <c r="B600" s="4"/>
      <c r="C600" s="5"/>
      <c r="D600" s="5"/>
      <c r="E600" s="6"/>
      <c r="F600" s="4"/>
      <c r="G600" s="6"/>
      <c r="H600" s="7"/>
      <c r="I600" s="2"/>
      <c r="J600" s="2"/>
      <c r="K600" s="2"/>
      <c r="L600" s="2"/>
      <c r="M600" s="2"/>
      <c r="N600" s="2"/>
      <c r="O600" s="2"/>
      <c r="P600" s="2"/>
      <c r="Q600" s="2"/>
      <c r="R600" s="9"/>
      <c r="S600" s="4"/>
      <c r="T600" s="9"/>
      <c r="U600" s="9"/>
      <c r="V600" s="9"/>
      <c r="W600" s="9"/>
      <c r="X600" s="4"/>
      <c r="Y600" s="6"/>
      <c r="Z600" s="4"/>
      <c r="AA600" s="23"/>
      <c r="AB600" s="24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10"/>
      <c r="AU600" s="9"/>
    </row>
    <row r="601" spans="1:47">
      <c r="A601" s="4"/>
      <c r="B601" s="4"/>
      <c r="C601" s="5"/>
      <c r="D601" s="5"/>
      <c r="E601" s="6"/>
      <c r="F601" s="4"/>
      <c r="G601" s="6"/>
      <c r="H601" s="7"/>
      <c r="I601" s="7"/>
      <c r="J601" s="7"/>
      <c r="K601" s="2"/>
      <c r="L601" s="2"/>
      <c r="M601" s="2"/>
      <c r="N601" s="2"/>
      <c r="O601" s="2"/>
      <c r="P601" s="2"/>
      <c r="Q601" s="2"/>
      <c r="R601" s="9"/>
      <c r="S601" s="4"/>
      <c r="T601" s="9"/>
      <c r="U601" s="9"/>
      <c r="V601" s="9"/>
      <c r="W601" s="9"/>
      <c r="X601" s="4"/>
      <c r="Y601" s="6"/>
      <c r="Z601" s="9"/>
      <c r="AA601" s="4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10"/>
      <c r="AU601" s="9"/>
    </row>
    <row r="602" spans="1:47">
      <c r="A602" s="4"/>
      <c r="B602" s="4"/>
      <c r="C602" s="5"/>
      <c r="D602" s="5"/>
      <c r="E602" s="6"/>
      <c r="F602" s="4"/>
      <c r="G602" s="6"/>
      <c r="H602" s="7"/>
      <c r="I602" s="7"/>
      <c r="J602" s="7"/>
      <c r="K602" s="2"/>
      <c r="L602" s="2"/>
      <c r="M602" s="2"/>
      <c r="N602" s="2"/>
      <c r="O602" s="2"/>
      <c r="P602" s="2"/>
      <c r="Q602" s="2"/>
      <c r="R602" s="9"/>
      <c r="S602" s="4"/>
      <c r="T602" s="9"/>
      <c r="U602" s="9"/>
      <c r="V602" s="9"/>
      <c r="W602" s="9"/>
      <c r="X602" s="4"/>
      <c r="Y602" s="6"/>
      <c r="Z602" s="9"/>
      <c r="AA602" s="4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10"/>
      <c r="AU602" s="9"/>
    </row>
    <row r="603" spans="1:47">
      <c r="A603" s="4"/>
      <c r="B603" s="4"/>
      <c r="C603" s="5"/>
      <c r="D603" s="5"/>
      <c r="E603" s="6"/>
      <c r="F603" s="4"/>
      <c r="G603" s="6"/>
      <c r="H603" s="7"/>
      <c r="I603" s="7"/>
      <c r="J603" s="7"/>
      <c r="K603" s="2"/>
      <c r="L603" s="2"/>
      <c r="M603" s="2"/>
      <c r="N603" s="2"/>
      <c r="O603" s="2"/>
      <c r="P603" s="2"/>
      <c r="Q603" s="2"/>
      <c r="R603" s="9"/>
      <c r="S603" s="4"/>
      <c r="T603" s="9"/>
      <c r="U603" s="9"/>
      <c r="V603" s="9"/>
      <c r="W603" s="9"/>
      <c r="X603" s="4"/>
      <c r="Y603" s="6"/>
      <c r="Z603" s="9"/>
      <c r="AA603" s="4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10"/>
      <c r="AU603" s="9"/>
    </row>
    <row r="604" spans="1:47">
      <c r="A604" s="4"/>
      <c r="B604" s="4"/>
      <c r="C604" s="5"/>
      <c r="D604" s="5"/>
      <c r="E604" s="6"/>
      <c r="F604" s="4"/>
      <c r="G604" s="6"/>
      <c r="H604" s="7"/>
      <c r="I604" s="7"/>
      <c r="J604" s="7"/>
      <c r="K604" s="2"/>
      <c r="L604" s="2"/>
      <c r="M604" s="2"/>
      <c r="N604" s="2"/>
      <c r="O604" s="2"/>
      <c r="P604" s="2"/>
      <c r="Q604" s="2"/>
      <c r="R604" s="9"/>
      <c r="S604" s="4"/>
      <c r="T604" s="9"/>
      <c r="U604" s="9"/>
      <c r="V604" s="9"/>
      <c r="W604" s="9"/>
      <c r="X604" s="4"/>
      <c r="Y604" s="6"/>
      <c r="Z604" s="9"/>
      <c r="AA604" s="4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10"/>
      <c r="AU604" s="9"/>
    </row>
    <row r="605" spans="1:47">
      <c r="A605" s="4"/>
      <c r="B605" s="4"/>
      <c r="C605" s="5"/>
      <c r="D605" s="5"/>
      <c r="E605" s="6"/>
      <c r="F605" s="4"/>
      <c r="G605" s="6"/>
      <c r="H605" s="7"/>
      <c r="I605" s="2"/>
      <c r="J605" s="2"/>
      <c r="K605" s="2"/>
      <c r="L605" s="2"/>
      <c r="M605" s="2"/>
      <c r="N605" s="2"/>
      <c r="O605" s="2"/>
      <c r="P605" s="2"/>
      <c r="Q605" s="2"/>
      <c r="R605" s="9"/>
      <c r="S605" s="4"/>
      <c r="T605" s="9"/>
      <c r="U605" s="9"/>
      <c r="V605" s="9"/>
      <c r="W605" s="9"/>
      <c r="X605" s="4"/>
      <c r="Y605" s="6"/>
      <c r="Z605" s="4"/>
      <c r="AA605" s="23"/>
      <c r="AB605" s="24"/>
      <c r="AC605" s="25"/>
      <c r="AD605" s="24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10"/>
      <c r="AU605" s="9"/>
    </row>
    <row r="606" spans="1:47">
      <c r="A606" s="4"/>
      <c r="B606" s="4"/>
      <c r="C606" s="5"/>
      <c r="D606" s="5"/>
      <c r="E606" s="6"/>
      <c r="F606" s="4"/>
      <c r="G606" s="6"/>
      <c r="H606" s="7"/>
      <c r="I606" s="2"/>
      <c r="J606" s="2"/>
      <c r="K606" s="2"/>
      <c r="L606" s="2"/>
      <c r="M606" s="2"/>
      <c r="N606" s="2"/>
      <c r="O606" s="2"/>
      <c r="P606" s="2"/>
      <c r="Q606" s="2"/>
      <c r="R606" s="9"/>
      <c r="S606" s="4"/>
      <c r="T606" s="9"/>
      <c r="U606" s="9"/>
      <c r="V606" s="9"/>
      <c r="W606" s="9"/>
      <c r="X606" s="4"/>
      <c r="Y606" s="6"/>
      <c r="Z606" s="4"/>
      <c r="AA606" s="23"/>
      <c r="AB606" s="24"/>
      <c r="AC606" s="25"/>
      <c r="AD606" s="24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10"/>
      <c r="AU606" s="9"/>
    </row>
    <row r="607" spans="1:47">
      <c r="A607" s="4"/>
      <c r="B607" s="4"/>
      <c r="C607" s="5"/>
      <c r="D607" s="5"/>
      <c r="E607" s="6"/>
      <c r="F607" s="4"/>
      <c r="G607" s="6"/>
      <c r="H607" s="7"/>
      <c r="I607" s="2"/>
      <c r="J607" s="2"/>
      <c r="K607" s="2"/>
      <c r="L607" s="2"/>
      <c r="M607" s="2"/>
      <c r="N607" s="2"/>
      <c r="O607" s="2"/>
      <c r="P607" s="2"/>
      <c r="Q607" s="2"/>
      <c r="R607" s="9"/>
      <c r="S607" s="4"/>
      <c r="T607" s="9"/>
      <c r="U607" s="9"/>
      <c r="V607" s="9"/>
      <c r="W607" s="9"/>
      <c r="X607" s="4"/>
      <c r="Y607" s="6"/>
      <c r="Z607" s="4"/>
      <c r="AA607" s="23"/>
      <c r="AB607" s="24"/>
      <c r="AC607" s="25"/>
      <c r="AD607" s="24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10"/>
      <c r="AU607" s="9"/>
    </row>
    <row r="608" spans="1:47">
      <c r="A608" s="4"/>
      <c r="B608" s="4"/>
      <c r="C608" s="5"/>
      <c r="D608" s="5"/>
      <c r="E608" s="6"/>
      <c r="F608" s="4"/>
      <c r="G608" s="6"/>
      <c r="H608" s="7"/>
      <c r="I608" s="2"/>
      <c r="J608" s="2"/>
      <c r="K608" s="2"/>
      <c r="L608" s="2"/>
      <c r="M608" s="2"/>
      <c r="N608" s="2"/>
      <c r="O608" s="2"/>
      <c r="P608" s="2"/>
      <c r="Q608" s="2"/>
      <c r="R608" s="9"/>
      <c r="S608" s="4"/>
      <c r="T608" s="9"/>
      <c r="U608" s="9"/>
      <c r="V608" s="9"/>
      <c r="W608" s="9"/>
      <c r="X608" s="4"/>
      <c r="Y608" s="6"/>
      <c r="Z608" s="4"/>
      <c r="AA608" s="23"/>
      <c r="AB608" s="24"/>
      <c r="AC608" s="25"/>
      <c r="AD608" s="24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10"/>
      <c r="AU608" s="9"/>
    </row>
    <row r="609" spans="1:47">
      <c r="A609" s="4"/>
      <c r="B609" s="4"/>
      <c r="C609" s="5"/>
      <c r="D609" s="5"/>
      <c r="E609" s="6"/>
      <c r="F609" s="4"/>
      <c r="G609" s="6"/>
      <c r="H609" s="7"/>
      <c r="I609" s="7"/>
      <c r="J609" s="7"/>
      <c r="K609" s="7"/>
      <c r="L609" s="7"/>
      <c r="M609" s="2"/>
      <c r="N609" s="2"/>
      <c r="O609" s="2"/>
      <c r="P609" s="2"/>
      <c r="Q609" s="2"/>
      <c r="R609" s="9"/>
      <c r="S609" s="4"/>
      <c r="T609" s="9"/>
      <c r="U609" s="9"/>
      <c r="V609" s="9"/>
      <c r="W609" s="9"/>
      <c r="X609" s="4"/>
      <c r="Y609" s="6"/>
      <c r="Z609" s="9"/>
      <c r="AA609" s="4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10"/>
      <c r="AU609" s="9"/>
    </row>
    <row r="610" spans="1:47">
      <c r="A610" s="4"/>
      <c r="B610" s="4"/>
      <c r="C610" s="5"/>
      <c r="D610" s="5"/>
      <c r="E610" s="6"/>
      <c r="F610" s="4"/>
      <c r="G610" s="6"/>
      <c r="H610" s="7"/>
      <c r="I610" s="7"/>
      <c r="J610" s="7"/>
      <c r="K610" s="7"/>
      <c r="L610" s="7"/>
      <c r="M610" s="2"/>
      <c r="N610" s="2"/>
      <c r="O610" s="2"/>
      <c r="P610" s="2"/>
      <c r="Q610" s="2"/>
      <c r="R610" s="9"/>
      <c r="S610" s="4"/>
      <c r="T610" s="9"/>
      <c r="U610" s="9"/>
      <c r="V610" s="9"/>
      <c r="W610" s="9"/>
      <c r="X610" s="4"/>
      <c r="Y610" s="6"/>
      <c r="Z610" s="9"/>
      <c r="AA610" s="4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10"/>
      <c r="AU610" s="9"/>
    </row>
    <row r="611" spans="1:47">
      <c r="A611" s="4"/>
      <c r="B611" s="4"/>
      <c r="C611" s="5"/>
      <c r="D611" s="5"/>
      <c r="E611" s="6"/>
      <c r="F611" s="4"/>
      <c r="G611" s="6"/>
      <c r="H611" s="7"/>
      <c r="I611" s="7"/>
      <c r="J611" s="7"/>
      <c r="K611" s="7"/>
      <c r="L611" s="7"/>
      <c r="M611" s="2"/>
      <c r="N611" s="2"/>
      <c r="O611" s="2"/>
      <c r="P611" s="2"/>
      <c r="Q611" s="2"/>
      <c r="R611" s="9"/>
      <c r="S611" s="4"/>
      <c r="T611" s="9"/>
      <c r="U611" s="9"/>
      <c r="V611" s="9"/>
      <c r="W611" s="9"/>
      <c r="X611" s="4"/>
      <c r="Y611" s="6"/>
      <c r="Z611" s="9"/>
      <c r="AA611" s="4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10"/>
      <c r="AU611" s="9"/>
    </row>
    <row r="612" spans="1:47">
      <c r="A612" s="4"/>
      <c r="B612" s="4"/>
      <c r="C612" s="5"/>
      <c r="D612" s="5"/>
      <c r="E612" s="6"/>
      <c r="F612" s="4"/>
      <c r="G612" s="6"/>
      <c r="H612" s="7"/>
      <c r="I612" s="2"/>
      <c r="J612" s="2"/>
      <c r="K612" s="2"/>
      <c r="L612" s="2"/>
      <c r="M612" s="2"/>
      <c r="N612" s="2"/>
      <c r="O612" s="2"/>
      <c r="P612" s="2"/>
      <c r="Q612" s="2"/>
      <c r="R612" s="9"/>
      <c r="S612" s="4"/>
      <c r="T612" s="9"/>
      <c r="U612" s="9"/>
      <c r="V612" s="9"/>
      <c r="W612" s="9"/>
      <c r="X612" s="4"/>
      <c r="Y612" s="6"/>
      <c r="Z612" s="4"/>
      <c r="AA612" s="23"/>
      <c r="AB612" s="24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10"/>
      <c r="AU612" s="9"/>
    </row>
    <row r="613" spans="1:47">
      <c r="A613" s="4"/>
      <c r="B613" s="4"/>
      <c r="C613" s="5"/>
      <c r="D613" s="5"/>
      <c r="E613" s="6"/>
      <c r="F613" s="4"/>
      <c r="G613" s="6"/>
      <c r="H613" s="7"/>
      <c r="I613" s="7"/>
      <c r="J613" s="7"/>
      <c r="K613" s="7"/>
      <c r="L613" s="7"/>
      <c r="M613" s="2"/>
      <c r="N613" s="2"/>
      <c r="O613" s="2"/>
      <c r="P613" s="2"/>
      <c r="Q613" s="2"/>
      <c r="R613" s="9"/>
      <c r="S613" s="4"/>
      <c r="T613" s="9"/>
      <c r="U613" s="9"/>
      <c r="V613" s="9"/>
      <c r="W613" s="9"/>
      <c r="X613" s="4"/>
      <c r="Y613" s="6"/>
      <c r="Z613" s="4"/>
      <c r="AA613" s="23"/>
      <c r="AB613" s="24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10"/>
      <c r="AU613" s="9"/>
    </row>
    <row r="614" spans="1:47">
      <c r="A614" s="4"/>
      <c r="B614" s="4"/>
      <c r="C614" s="5"/>
      <c r="D614" s="5"/>
      <c r="E614" s="6"/>
      <c r="F614" s="4"/>
      <c r="G614" s="6"/>
      <c r="H614" s="7"/>
      <c r="I614" s="7"/>
      <c r="J614" s="7"/>
      <c r="K614" s="7"/>
      <c r="L614" s="7"/>
      <c r="M614" s="2"/>
      <c r="N614" s="2"/>
      <c r="O614" s="2"/>
      <c r="P614" s="2"/>
      <c r="Q614" s="2"/>
      <c r="R614" s="9"/>
      <c r="S614" s="4"/>
      <c r="T614" s="9"/>
      <c r="U614" s="9"/>
      <c r="V614" s="9"/>
      <c r="W614" s="9"/>
      <c r="X614" s="4"/>
      <c r="Y614" s="6"/>
      <c r="Z614" s="4"/>
      <c r="AA614" s="23"/>
      <c r="AB614" s="24"/>
      <c r="AC614" s="25"/>
      <c r="AD614" s="24"/>
      <c r="AE614" s="25"/>
      <c r="AF614" s="24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10"/>
      <c r="AU614" s="9"/>
    </row>
    <row r="615" spans="1:47">
      <c r="A615" s="4"/>
      <c r="B615" s="4"/>
      <c r="C615" s="5"/>
      <c r="D615" s="5"/>
      <c r="E615" s="6"/>
      <c r="F615" s="4"/>
      <c r="G615" s="6"/>
      <c r="H615" s="7"/>
      <c r="I615" s="2"/>
      <c r="J615" s="2"/>
      <c r="K615" s="2"/>
      <c r="L615" s="2"/>
      <c r="M615" s="2"/>
      <c r="N615" s="2"/>
      <c r="O615" s="2"/>
      <c r="P615" s="2"/>
      <c r="Q615" s="2"/>
      <c r="R615" s="9"/>
      <c r="S615" s="4"/>
      <c r="T615" s="9"/>
      <c r="U615" s="9"/>
      <c r="V615" s="9"/>
      <c r="W615" s="9"/>
      <c r="X615" s="4"/>
      <c r="Y615" s="6"/>
      <c r="Z615" s="4"/>
      <c r="AA615" s="23"/>
      <c r="AB615" s="24"/>
      <c r="AC615" s="25"/>
      <c r="AD615" s="24"/>
      <c r="AE615" s="25"/>
      <c r="AF615" s="24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10"/>
      <c r="AU615" s="9"/>
    </row>
    <row r="616" spans="1:47">
      <c r="A616" s="4"/>
      <c r="B616" s="4"/>
      <c r="C616" s="5"/>
      <c r="D616" s="5"/>
      <c r="E616" s="6"/>
      <c r="F616" s="4"/>
      <c r="G616" s="6"/>
      <c r="H616" s="7"/>
      <c r="I616" s="2"/>
      <c r="J616" s="2"/>
      <c r="K616" s="2"/>
      <c r="L616" s="2"/>
      <c r="M616" s="2"/>
      <c r="N616" s="2"/>
      <c r="O616" s="2"/>
      <c r="P616" s="2"/>
      <c r="Q616" s="2"/>
      <c r="R616" s="9"/>
      <c r="S616" s="4"/>
      <c r="T616" s="9"/>
      <c r="U616" s="9"/>
      <c r="V616" s="9"/>
      <c r="W616" s="9"/>
      <c r="X616" s="4"/>
      <c r="Y616" s="6"/>
      <c r="Z616" s="4"/>
      <c r="AA616" s="23"/>
      <c r="AB616" s="24"/>
      <c r="AC616" s="25"/>
      <c r="AD616" s="24"/>
      <c r="AE616" s="25"/>
      <c r="AF616" s="24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10"/>
      <c r="AU616" s="9"/>
    </row>
    <row r="617" spans="1:47">
      <c r="A617" s="4"/>
      <c r="B617" s="4"/>
      <c r="C617" s="5"/>
      <c r="D617" s="5"/>
      <c r="E617" s="6"/>
      <c r="F617" s="4"/>
      <c r="G617" s="6"/>
      <c r="H617" s="7"/>
      <c r="I617" s="2"/>
      <c r="J617" s="2"/>
      <c r="K617" s="2"/>
      <c r="L617" s="2"/>
      <c r="M617" s="2"/>
      <c r="N617" s="2"/>
      <c r="O617" s="2"/>
      <c r="P617" s="2"/>
      <c r="Q617" s="2"/>
      <c r="R617" s="9"/>
      <c r="S617" s="4"/>
      <c r="T617" s="9"/>
      <c r="U617" s="9"/>
      <c r="V617" s="9"/>
      <c r="W617" s="9"/>
      <c r="X617" s="4"/>
      <c r="Y617" s="6"/>
      <c r="Z617" s="4"/>
      <c r="AA617" s="23"/>
      <c r="AB617" s="24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10"/>
      <c r="AU617" s="9"/>
    </row>
    <row r="618" spans="1:47">
      <c r="A618" s="4"/>
      <c r="B618" s="4"/>
      <c r="C618" s="5"/>
      <c r="D618" s="5"/>
      <c r="E618" s="6"/>
      <c r="F618" s="4"/>
      <c r="G618" s="6"/>
      <c r="H618" s="7"/>
      <c r="I618" s="2"/>
      <c r="J618" s="2"/>
      <c r="K618" s="2"/>
      <c r="L618" s="2"/>
      <c r="M618" s="2"/>
      <c r="N618" s="2"/>
      <c r="O618" s="2"/>
      <c r="P618" s="2"/>
      <c r="Q618" s="2"/>
      <c r="R618" s="9"/>
      <c r="S618" s="4"/>
      <c r="T618" s="9"/>
      <c r="U618" s="9"/>
      <c r="V618" s="9"/>
      <c r="W618" s="9"/>
      <c r="X618" s="4"/>
      <c r="Y618" s="6"/>
      <c r="Z618" s="4"/>
      <c r="AA618" s="23"/>
      <c r="AB618" s="24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10"/>
      <c r="AU618" s="9"/>
    </row>
    <row r="619" spans="1:47">
      <c r="A619" s="4"/>
      <c r="B619" s="4"/>
      <c r="C619" s="5"/>
      <c r="D619" s="5"/>
      <c r="E619" s="6"/>
      <c r="F619" s="4"/>
      <c r="G619" s="6"/>
      <c r="H619" s="7"/>
      <c r="I619" s="2"/>
      <c r="J619" s="2"/>
      <c r="K619" s="2"/>
      <c r="L619" s="2"/>
      <c r="M619" s="2"/>
      <c r="N619" s="2"/>
      <c r="O619" s="2"/>
      <c r="P619" s="2"/>
      <c r="Q619" s="2"/>
      <c r="R619" s="9"/>
      <c r="S619" s="4"/>
      <c r="T619" s="9"/>
      <c r="U619" s="9"/>
      <c r="V619" s="9"/>
      <c r="W619" s="9"/>
      <c r="X619" s="4"/>
      <c r="Y619" s="6"/>
      <c r="Z619" s="4"/>
      <c r="AA619" s="23"/>
      <c r="AB619" s="24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10"/>
      <c r="AU619" s="9"/>
    </row>
    <row r="620" spans="1:47">
      <c r="A620" s="4"/>
      <c r="B620" s="4"/>
      <c r="C620" s="5"/>
      <c r="D620" s="5"/>
      <c r="E620" s="6"/>
      <c r="F620" s="4"/>
      <c r="G620" s="6"/>
      <c r="H620" s="7"/>
      <c r="I620" s="2"/>
      <c r="J620" s="2"/>
      <c r="K620" s="2"/>
      <c r="L620" s="2"/>
      <c r="M620" s="2"/>
      <c r="N620" s="2"/>
      <c r="O620" s="2"/>
      <c r="P620" s="2"/>
      <c r="Q620" s="2"/>
      <c r="R620" s="9"/>
      <c r="S620" s="4"/>
      <c r="T620" s="9"/>
      <c r="U620" s="9"/>
      <c r="V620" s="9"/>
      <c r="W620" s="9"/>
      <c r="X620" s="4"/>
      <c r="Y620" s="6"/>
      <c r="Z620" s="4"/>
      <c r="AA620" s="23"/>
      <c r="AB620" s="24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10"/>
      <c r="AU620" s="9"/>
    </row>
    <row r="621" spans="1:47">
      <c r="A621" s="4"/>
      <c r="B621" s="4"/>
      <c r="C621" s="5"/>
      <c r="D621" s="5"/>
      <c r="E621" s="6"/>
      <c r="F621" s="4"/>
      <c r="G621" s="6"/>
      <c r="H621" s="7"/>
      <c r="I621" s="2"/>
      <c r="J621" s="2"/>
      <c r="K621" s="2"/>
      <c r="L621" s="2"/>
      <c r="M621" s="2"/>
      <c r="N621" s="2"/>
      <c r="O621" s="2"/>
      <c r="P621" s="2"/>
      <c r="Q621" s="2"/>
      <c r="R621" s="9"/>
      <c r="S621" s="4"/>
      <c r="T621" s="9"/>
      <c r="U621" s="9"/>
      <c r="V621" s="9"/>
      <c r="W621" s="9"/>
      <c r="X621" s="4"/>
      <c r="Y621" s="6"/>
      <c r="Z621" s="4"/>
      <c r="AA621" s="23"/>
      <c r="AB621" s="24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10"/>
      <c r="AU621" s="9"/>
    </row>
    <row r="622" spans="1:47">
      <c r="A622" s="4"/>
      <c r="B622" s="4"/>
      <c r="C622" s="5"/>
      <c r="D622" s="5"/>
      <c r="E622" s="6"/>
      <c r="F622" s="4"/>
      <c r="G622" s="6"/>
      <c r="H622" s="7"/>
      <c r="I622" s="2"/>
      <c r="J622" s="2"/>
      <c r="K622" s="2"/>
      <c r="L622" s="2"/>
      <c r="M622" s="2"/>
      <c r="N622" s="2"/>
      <c r="O622" s="2"/>
      <c r="P622" s="2"/>
      <c r="Q622" s="2"/>
      <c r="R622" s="9"/>
      <c r="S622" s="4"/>
      <c r="T622" s="9"/>
      <c r="U622" s="9"/>
      <c r="V622" s="9"/>
      <c r="W622" s="9"/>
      <c r="X622" s="4"/>
      <c r="Y622" s="6"/>
      <c r="Z622" s="4"/>
      <c r="AA622" s="23"/>
      <c r="AB622" s="24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10"/>
      <c r="AU622" s="9"/>
    </row>
    <row r="623" spans="1:47">
      <c r="A623" s="4"/>
      <c r="B623" s="4"/>
      <c r="C623" s="5"/>
      <c r="D623" s="5"/>
      <c r="E623" s="6"/>
      <c r="F623" s="4"/>
      <c r="G623" s="6"/>
      <c r="H623" s="7"/>
      <c r="I623" s="2"/>
      <c r="J623" s="2"/>
      <c r="K623" s="2"/>
      <c r="L623" s="2"/>
      <c r="M623" s="2"/>
      <c r="N623" s="2"/>
      <c r="O623" s="2"/>
      <c r="P623" s="2"/>
      <c r="Q623" s="2"/>
      <c r="R623" s="9"/>
      <c r="S623" s="4"/>
      <c r="T623" s="9"/>
      <c r="U623" s="9"/>
      <c r="V623" s="9"/>
      <c r="W623" s="9"/>
      <c r="X623" s="4"/>
      <c r="Y623" s="6"/>
      <c r="Z623" s="9"/>
      <c r="AA623" s="4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10"/>
      <c r="AU623" s="9"/>
    </row>
    <row r="624" spans="1:47">
      <c r="A624" s="4"/>
      <c r="B624" s="4"/>
      <c r="C624" s="5"/>
      <c r="D624" s="5"/>
      <c r="E624" s="6"/>
      <c r="F624" s="4"/>
      <c r="G624" s="6"/>
      <c r="H624" s="7"/>
      <c r="I624" s="2"/>
      <c r="J624" s="2"/>
      <c r="K624" s="2"/>
      <c r="L624" s="2"/>
      <c r="M624" s="2"/>
      <c r="N624" s="2"/>
      <c r="O624" s="2"/>
      <c r="P624" s="2"/>
      <c r="Q624" s="2"/>
      <c r="R624" s="9"/>
      <c r="S624" s="4"/>
      <c r="T624" s="9"/>
      <c r="U624" s="9"/>
      <c r="V624" s="9"/>
      <c r="W624" s="9"/>
      <c r="X624" s="4"/>
      <c r="Y624" s="6"/>
      <c r="Z624" s="4"/>
      <c r="AA624" s="23"/>
      <c r="AB624" s="24"/>
      <c r="AC624" s="2"/>
      <c r="AD624" s="2"/>
      <c r="AE624" s="25"/>
      <c r="AF624" s="24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10"/>
      <c r="AU624" s="9"/>
    </row>
    <row r="625" spans="1:47">
      <c r="A625" s="4"/>
      <c r="B625" s="4"/>
      <c r="C625" s="5"/>
      <c r="D625" s="5"/>
      <c r="E625" s="6"/>
      <c r="F625" s="4"/>
      <c r="G625" s="6"/>
      <c r="H625" s="7"/>
      <c r="I625" s="2"/>
      <c r="J625" s="2"/>
      <c r="K625" s="2"/>
      <c r="L625" s="2"/>
      <c r="M625" s="2"/>
      <c r="N625" s="2"/>
      <c r="O625" s="2"/>
      <c r="P625" s="2"/>
      <c r="Q625" s="2"/>
      <c r="R625" s="9"/>
      <c r="S625" s="4"/>
      <c r="T625" s="9"/>
      <c r="U625" s="9"/>
      <c r="V625" s="9"/>
      <c r="W625" s="9"/>
      <c r="X625" s="4"/>
      <c r="Y625" s="6"/>
      <c r="Z625" s="4"/>
      <c r="AA625" s="23"/>
      <c r="AB625" s="24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10"/>
      <c r="AU625" s="9"/>
    </row>
    <row r="626" spans="1:47">
      <c r="A626" s="4"/>
      <c r="B626" s="4"/>
      <c r="C626" s="5"/>
      <c r="D626" s="5"/>
      <c r="E626" s="6"/>
      <c r="F626" s="4"/>
      <c r="G626" s="6"/>
      <c r="H626" s="7"/>
      <c r="I626" s="2"/>
      <c r="J626" s="2"/>
      <c r="K626" s="2"/>
      <c r="L626" s="2"/>
      <c r="M626" s="2"/>
      <c r="N626" s="2"/>
      <c r="O626" s="2"/>
      <c r="P626" s="2"/>
      <c r="Q626" s="2"/>
      <c r="R626" s="9"/>
      <c r="S626" s="4"/>
      <c r="T626" s="9"/>
      <c r="U626" s="9"/>
      <c r="V626" s="9"/>
      <c r="W626" s="9"/>
      <c r="X626" s="4"/>
      <c r="Y626" s="6"/>
      <c r="Z626" s="4"/>
      <c r="AA626" s="23"/>
      <c r="AB626" s="24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10"/>
      <c r="AU626" s="9"/>
    </row>
    <row r="627" spans="1:47">
      <c r="A627" s="4"/>
      <c r="B627" s="4"/>
      <c r="C627" s="5"/>
      <c r="D627" s="5"/>
      <c r="E627" s="6"/>
      <c r="F627" s="4"/>
      <c r="G627" s="6"/>
      <c r="H627" s="7"/>
      <c r="I627" s="7"/>
      <c r="J627" s="7"/>
      <c r="K627" s="7"/>
      <c r="L627" s="2"/>
      <c r="M627" s="2"/>
      <c r="N627" s="2"/>
      <c r="O627" s="2"/>
      <c r="P627" s="2"/>
      <c r="Q627" s="2"/>
      <c r="R627" s="9"/>
      <c r="S627" s="4"/>
      <c r="T627" s="9"/>
      <c r="U627" s="9"/>
      <c r="V627" s="9"/>
      <c r="W627" s="9"/>
      <c r="X627" s="4"/>
      <c r="Y627" s="6"/>
      <c r="Z627" s="9"/>
      <c r="AA627" s="4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10"/>
      <c r="AU627" s="9"/>
    </row>
    <row r="628" spans="1:47">
      <c r="A628" s="4"/>
      <c r="B628" s="4"/>
      <c r="C628" s="5"/>
      <c r="D628" s="5"/>
      <c r="E628" s="6"/>
      <c r="F628" s="4"/>
      <c r="G628" s="6"/>
      <c r="H628" s="7"/>
      <c r="I628" s="7"/>
      <c r="J628" s="7"/>
      <c r="K628" s="7"/>
      <c r="L628" s="7"/>
      <c r="M628" s="2"/>
      <c r="N628" s="2"/>
      <c r="O628" s="2"/>
      <c r="P628" s="2"/>
      <c r="Q628" s="2"/>
      <c r="R628" s="9"/>
      <c r="S628" s="4"/>
      <c r="T628" s="9"/>
      <c r="U628" s="9"/>
      <c r="V628" s="9"/>
      <c r="W628" s="9"/>
      <c r="X628" s="4"/>
      <c r="Y628" s="6"/>
      <c r="Z628" s="4"/>
      <c r="AA628" s="23"/>
      <c r="AB628" s="24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10"/>
      <c r="AU628" s="9"/>
    </row>
    <row r="629" spans="1:47">
      <c r="A629" s="4"/>
      <c r="B629" s="4"/>
      <c r="C629" s="5"/>
      <c r="D629" s="5"/>
      <c r="E629" s="6"/>
      <c r="F629" s="4"/>
      <c r="G629" s="6"/>
      <c r="H629" s="7"/>
      <c r="I629" s="2"/>
      <c r="J629" s="2"/>
      <c r="K629" s="2"/>
      <c r="L629" s="2"/>
      <c r="M629" s="2"/>
      <c r="N629" s="2"/>
      <c r="O629" s="2"/>
      <c r="P629" s="2"/>
      <c r="Q629" s="2"/>
      <c r="R629" s="9"/>
      <c r="S629" s="4"/>
      <c r="T629" s="9"/>
      <c r="U629" s="9"/>
      <c r="V629" s="9"/>
      <c r="W629" s="9"/>
      <c r="X629" s="4"/>
      <c r="Y629" s="6"/>
      <c r="Z629" s="9"/>
      <c r="AA629" s="4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10"/>
      <c r="AU629" s="9"/>
    </row>
    <row r="630" spans="1:47">
      <c r="A630" s="4"/>
      <c r="B630" s="4"/>
      <c r="C630" s="5"/>
      <c r="D630" s="5"/>
      <c r="E630" s="6"/>
      <c r="F630" s="4"/>
      <c r="G630" s="6"/>
      <c r="H630" s="7"/>
      <c r="I630" s="2"/>
      <c r="J630" s="2"/>
      <c r="K630" s="2"/>
      <c r="L630" s="2"/>
      <c r="M630" s="2"/>
      <c r="N630" s="2"/>
      <c r="O630" s="2"/>
      <c r="P630" s="2"/>
      <c r="Q630" s="2"/>
      <c r="R630" s="9"/>
      <c r="S630" s="4"/>
      <c r="T630" s="9"/>
      <c r="U630" s="9"/>
      <c r="V630" s="9"/>
      <c r="W630" s="9"/>
      <c r="X630" s="4"/>
      <c r="Y630" s="6"/>
      <c r="Z630" s="9"/>
      <c r="AA630" s="4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10"/>
      <c r="AU630" s="9"/>
    </row>
    <row r="631" spans="1:47">
      <c r="A631" s="4"/>
      <c r="B631" s="4"/>
      <c r="C631" s="5"/>
      <c r="D631" s="5"/>
      <c r="E631" s="6"/>
      <c r="F631" s="4"/>
      <c r="G631" s="6"/>
      <c r="H631" s="7"/>
      <c r="I631" s="7"/>
      <c r="J631" s="7"/>
      <c r="K631" s="7"/>
      <c r="L631" s="2"/>
      <c r="M631" s="2"/>
      <c r="N631" s="2"/>
      <c r="O631" s="2"/>
      <c r="P631" s="2"/>
      <c r="Q631" s="2"/>
      <c r="R631" s="9"/>
      <c r="S631" s="4"/>
      <c r="T631" s="9"/>
      <c r="U631" s="9"/>
      <c r="V631" s="9"/>
      <c r="W631" s="9"/>
      <c r="X631" s="4"/>
      <c r="Y631" s="6"/>
      <c r="Z631" s="9"/>
      <c r="AA631" s="4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10"/>
      <c r="AU631" s="9"/>
    </row>
    <row r="632" spans="1:47">
      <c r="A632" s="4"/>
      <c r="B632" s="4"/>
      <c r="C632" s="5"/>
      <c r="D632" s="5"/>
      <c r="E632" s="6"/>
      <c r="F632" s="4"/>
      <c r="G632" s="6"/>
      <c r="H632" s="7"/>
      <c r="I632" s="7"/>
      <c r="J632" s="7"/>
      <c r="K632" s="7"/>
      <c r="L632" s="2"/>
      <c r="M632" s="2"/>
      <c r="N632" s="2"/>
      <c r="O632" s="2"/>
      <c r="P632" s="2"/>
      <c r="Q632" s="2"/>
      <c r="R632" s="9"/>
      <c r="S632" s="4"/>
      <c r="T632" s="9"/>
      <c r="U632" s="9"/>
      <c r="V632" s="9"/>
      <c r="W632" s="9"/>
      <c r="X632" s="4"/>
      <c r="Y632" s="6"/>
      <c r="Z632" s="9"/>
      <c r="AA632" s="4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10"/>
      <c r="AU632" s="9"/>
    </row>
    <row r="633" spans="1:47">
      <c r="A633" s="4"/>
      <c r="B633" s="4"/>
      <c r="C633" s="5"/>
      <c r="D633" s="5"/>
      <c r="E633" s="6"/>
      <c r="F633" s="4"/>
      <c r="G633" s="6"/>
      <c r="H633" s="7"/>
      <c r="I633" s="7"/>
      <c r="J633" s="7"/>
      <c r="K633" s="7"/>
      <c r="L633" s="2"/>
      <c r="M633" s="2"/>
      <c r="N633" s="2"/>
      <c r="O633" s="2"/>
      <c r="P633" s="2"/>
      <c r="Q633" s="2"/>
      <c r="R633" s="9"/>
      <c r="S633" s="4"/>
      <c r="T633" s="9"/>
      <c r="U633" s="9"/>
      <c r="V633" s="9"/>
      <c r="W633" s="9"/>
      <c r="X633" s="4"/>
      <c r="Y633" s="6"/>
      <c r="Z633" s="9"/>
      <c r="AA633" s="4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10"/>
      <c r="AU633" s="9"/>
    </row>
    <row r="634" spans="1:47">
      <c r="A634" s="4"/>
      <c r="B634" s="4"/>
      <c r="C634" s="5"/>
      <c r="D634" s="5"/>
      <c r="E634" s="6"/>
      <c r="F634" s="4"/>
      <c r="G634" s="6"/>
      <c r="H634" s="7"/>
      <c r="I634" s="7"/>
      <c r="J634" s="7"/>
      <c r="K634" s="7"/>
      <c r="L634" s="2"/>
      <c r="M634" s="2"/>
      <c r="N634" s="2"/>
      <c r="O634" s="2"/>
      <c r="P634" s="2"/>
      <c r="Q634" s="2"/>
      <c r="R634" s="9"/>
      <c r="S634" s="4"/>
      <c r="T634" s="9"/>
      <c r="U634" s="9"/>
      <c r="V634" s="9"/>
      <c r="W634" s="9"/>
      <c r="X634" s="4"/>
      <c r="Y634" s="6"/>
      <c r="Z634" s="9"/>
      <c r="AA634" s="4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10"/>
      <c r="AU634" s="9"/>
    </row>
    <row r="635" spans="1:47">
      <c r="A635" s="4"/>
      <c r="B635" s="4"/>
      <c r="C635" s="5"/>
      <c r="D635" s="5"/>
      <c r="E635" s="6"/>
      <c r="F635" s="4"/>
      <c r="G635" s="6"/>
      <c r="H635" s="7"/>
      <c r="I635" s="7"/>
      <c r="J635" s="7"/>
      <c r="K635" s="7"/>
      <c r="L635" s="2"/>
      <c r="M635" s="2"/>
      <c r="N635" s="2"/>
      <c r="O635" s="2"/>
      <c r="P635" s="2"/>
      <c r="Q635" s="2"/>
      <c r="R635" s="9"/>
      <c r="S635" s="4"/>
      <c r="T635" s="9"/>
      <c r="U635" s="9"/>
      <c r="V635" s="9"/>
      <c r="W635" s="9"/>
      <c r="X635" s="4"/>
      <c r="Y635" s="6"/>
      <c r="Z635" s="9"/>
      <c r="AA635" s="4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10"/>
      <c r="AU635" s="9"/>
    </row>
    <row r="636" spans="1:47">
      <c r="A636" s="4"/>
      <c r="B636" s="4"/>
      <c r="C636" s="5"/>
      <c r="D636" s="5"/>
      <c r="E636" s="6"/>
      <c r="F636" s="4"/>
      <c r="G636" s="6"/>
      <c r="H636" s="7"/>
      <c r="I636" s="7"/>
      <c r="J636" s="7"/>
      <c r="K636" s="7"/>
      <c r="L636" s="2"/>
      <c r="M636" s="2"/>
      <c r="N636" s="2"/>
      <c r="O636" s="2"/>
      <c r="P636" s="2"/>
      <c r="Q636" s="2"/>
      <c r="R636" s="9"/>
      <c r="S636" s="4"/>
      <c r="T636" s="9"/>
      <c r="U636" s="9"/>
      <c r="V636" s="9"/>
      <c r="W636" s="9"/>
      <c r="X636" s="4"/>
      <c r="Y636" s="6"/>
      <c r="Z636" s="9"/>
      <c r="AA636" s="4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10"/>
      <c r="AU636" s="9"/>
    </row>
    <row r="637" spans="1:47">
      <c r="A637" s="4"/>
      <c r="B637" s="4"/>
      <c r="C637" s="5"/>
      <c r="D637" s="5"/>
      <c r="E637" s="6"/>
      <c r="F637" s="4"/>
      <c r="G637" s="6"/>
      <c r="H637" s="7"/>
      <c r="I637" s="2"/>
      <c r="J637" s="2"/>
      <c r="K637" s="2"/>
      <c r="L637" s="2"/>
      <c r="M637" s="2"/>
      <c r="N637" s="2"/>
      <c r="O637" s="2"/>
      <c r="P637" s="2"/>
      <c r="Q637" s="2"/>
      <c r="R637" s="9"/>
      <c r="S637" s="4"/>
      <c r="T637" s="9"/>
      <c r="U637" s="9"/>
      <c r="V637" s="9"/>
      <c r="W637" s="9"/>
      <c r="X637" s="4"/>
      <c r="Y637" s="6"/>
      <c r="Z637" s="4"/>
      <c r="AA637" s="23"/>
      <c r="AB637" s="24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10"/>
      <c r="AU637" s="9"/>
    </row>
    <row r="638" spans="1:47">
      <c r="A638" s="4"/>
      <c r="B638" s="4"/>
      <c r="C638" s="5"/>
      <c r="D638" s="5"/>
      <c r="E638" s="6"/>
      <c r="F638" s="4"/>
      <c r="G638" s="6"/>
      <c r="H638" s="7"/>
      <c r="I638" s="7"/>
      <c r="J638" s="7"/>
      <c r="K638" s="7"/>
      <c r="L638" s="2"/>
      <c r="M638" s="2"/>
      <c r="N638" s="2"/>
      <c r="O638" s="2"/>
      <c r="P638" s="2"/>
      <c r="Q638" s="2"/>
      <c r="R638" s="9"/>
      <c r="S638" s="4"/>
      <c r="T638" s="9"/>
      <c r="U638" s="9"/>
      <c r="V638" s="9"/>
      <c r="W638" s="9"/>
      <c r="X638" s="4"/>
      <c r="Y638" s="6"/>
      <c r="Z638" s="9"/>
      <c r="AA638" s="4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10"/>
      <c r="AU638" s="9"/>
    </row>
    <row r="639" spans="1:47">
      <c r="A639" s="4"/>
      <c r="B639" s="4"/>
      <c r="C639" s="5"/>
      <c r="D639" s="5"/>
      <c r="E639" s="6"/>
      <c r="F639" s="4"/>
      <c r="G639" s="6"/>
      <c r="H639" s="7"/>
      <c r="I639" s="7"/>
      <c r="J639" s="7"/>
      <c r="K639" s="7"/>
      <c r="L639" s="2"/>
      <c r="M639" s="2"/>
      <c r="N639" s="2"/>
      <c r="O639" s="2"/>
      <c r="P639" s="2"/>
      <c r="Q639" s="2"/>
      <c r="R639" s="9"/>
      <c r="S639" s="4"/>
      <c r="T639" s="9"/>
      <c r="U639" s="9"/>
      <c r="V639" s="9"/>
      <c r="W639" s="9"/>
      <c r="X639" s="4"/>
      <c r="Y639" s="6"/>
      <c r="Z639" s="9"/>
      <c r="AA639" s="4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10"/>
      <c r="AU639" s="9"/>
    </row>
    <row r="640" spans="1:47">
      <c r="A640" s="4"/>
      <c r="B640" s="4"/>
      <c r="C640" s="5"/>
      <c r="D640" s="5"/>
      <c r="E640" s="6"/>
      <c r="F640" s="4"/>
      <c r="G640" s="6"/>
      <c r="H640" s="7"/>
      <c r="I640" s="7"/>
      <c r="J640" s="7"/>
      <c r="K640" s="7"/>
      <c r="L640" s="2"/>
      <c r="M640" s="2"/>
      <c r="N640" s="2"/>
      <c r="O640" s="2"/>
      <c r="P640" s="2"/>
      <c r="Q640" s="2"/>
      <c r="R640" s="9"/>
      <c r="S640" s="4"/>
      <c r="T640" s="9"/>
      <c r="U640" s="9"/>
      <c r="V640" s="9"/>
      <c r="W640" s="9"/>
      <c r="X640" s="4"/>
      <c r="Y640" s="6"/>
      <c r="Z640" s="9"/>
      <c r="AA640" s="4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10"/>
      <c r="AU640" s="9"/>
    </row>
    <row r="641" spans="1:47">
      <c r="A641" s="4"/>
      <c r="B641" s="4"/>
      <c r="C641" s="5"/>
      <c r="D641" s="5"/>
      <c r="E641" s="6"/>
      <c r="F641" s="4"/>
      <c r="G641" s="6"/>
      <c r="H641" s="7"/>
      <c r="I641" s="7"/>
      <c r="J641" s="7"/>
      <c r="K641" s="7"/>
      <c r="L641" s="2"/>
      <c r="M641" s="2"/>
      <c r="N641" s="2"/>
      <c r="O641" s="2"/>
      <c r="P641" s="2"/>
      <c r="Q641" s="2"/>
      <c r="R641" s="9"/>
      <c r="S641" s="4"/>
      <c r="T641" s="9"/>
      <c r="U641" s="9"/>
      <c r="V641" s="9"/>
      <c r="W641" s="9"/>
      <c r="X641" s="4"/>
      <c r="Y641" s="6"/>
      <c r="Z641" s="9"/>
      <c r="AA641" s="4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10"/>
      <c r="AU641" s="9"/>
    </row>
    <row r="642" spans="1:47">
      <c r="A642" s="4"/>
      <c r="B642" s="4"/>
      <c r="C642" s="5"/>
      <c r="D642" s="5"/>
      <c r="E642" s="6"/>
      <c r="F642" s="4"/>
      <c r="G642" s="6"/>
      <c r="H642" s="7"/>
      <c r="I642" s="7"/>
      <c r="J642" s="7"/>
      <c r="K642" s="7"/>
      <c r="L642" s="2"/>
      <c r="M642" s="2"/>
      <c r="N642" s="2"/>
      <c r="O642" s="2"/>
      <c r="P642" s="2"/>
      <c r="Q642" s="2"/>
      <c r="R642" s="9"/>
      <c r="S642" s="4"/>
      <c r="T642" s="9"/>
      <c r="U642" s="9"/>
      <c r="V642" s="9"/>
      <c r="W642" s="9"/>
      <c r="X642" s="4"/>
      <c r="Y642" s="6"/>
      <c r="Z642" s="9"/>
      <c r="AA642" s="4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10"/>
      <c r="AU642" s="9"/>
    </row>
    <row r="643" spans="1:47">
      <c r="A643" s="4"/>
      <c r="B643" s="4"/>
      <c r="C643" s="5"/>
      <c r="D643" s="5"/>
      <c r="E643" s="6"/>
      <c r="F643" s="4"/>
      <c r="G643" s="6"/>
      <c r="H643" s="7"/>
      <c r="I643" s="7"/>
      <c r="J643" s="7"/>
      <c r="K643" s="7"/>
      <c r="L643" s="2"/>
      <c r="M643" s="2"/>
      <c r="N643" s="2"/>
      <c r="O643" s="2"/>
      <c r="P643" s="2"/>
      <c r="Q643" s="2"/>
      <c r="R643" s="9"/>
      <c r="S643" s="4"/>
      <c r="T643" s="9"/>
      <c r="U643" s="9"/>
      <c r="V643" s="9"/>
      <c r="W643" s="9"/>
      <c r="X643" s="4"/>
      <c r="Y643" s="6"/>
      <c r="Z643" s="9"/>
      <c r="AA643" s="4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10"/>
      <c r="AU643" s="9"/>
    </row>
    <row r="644" spans="1:47">
      <c r="A644" s="4"/>
      <c r="B644" s="4"/>
      <c r="C644" s="5"/>
      <c r="D644" s="5"/>
      <c r="E644" s="6"/>
      <c r="F644" s="4"/>
      <c r="G644" s="6"/>
      <c r="H644" s="7"/>
      <c r="I644" s="7"/>
      <c r="J644" s="7"/>
      <c r="K644" s="7"/>
      <c r="L644" s="7"/>
      <c r="M644" s="2"/>
      <c r="N644" s="2"/>
      <c r="O644" s="2"/>
      <c r="P644" s="2"/>
      <c r="Q644" s="2"/>
      <c r="R644" s="9"/>
      <c r="S644" s="4"/>
      <c r="T644" s="9"/>
      <c r="U644" s="9"/>
      <c r="V644" s="9"/>
      <c r="W644" s="9"/>
      <c r="X644" s="4"/>
      <c r="Y644" s="6"/>
      <c r="Z644" s="4"/>
      <c r="AA644" s="23"/>
      <c r="AB644" s="24"/>
      <c r="AC644" s="2"/>
      <c r="AD644" s="2"/>
      <c r="AE644" s="25"/>
      <c r="AF644" s="24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10"/>
      <c r="AU644" s="9"/>
    </row>
    <row r="645" spans="1:47">
      <c r="A645" s="4"/>
      <c r="B645" s="4"/>
      <c r="C645" s="5"/>
      <c r="D645" s="5"/>
      <c r="E645" s="6"/>
      <c r="F645" s="4"/>
      <c r="G645" s="6"/>
      <c r="H645" s="7"/>
      <c r="I645" s="7"/>
      <c r="J645" s="7"/>
      <c r="K645" s="7"/>
      <c r="L645" s="2"/>
      <c r="M645" s="2"/>
      <c r="N645" s="2"/>
      <c r="O645" s="2"/>
      <c r="P645" s="2"/>
      <c r="Q645" s="2"/>
      <c r="R645" s="9"/>
      <c r="S645" s="4"/>
      <c r="T645" s="9"/>
      <c r="U645" s="9"/>
      <c r="V645" s="9"/>
      <c r="W645" s="9"/>
      <c r="X645" s="4"/>
      <c r="Y645" s="6"/>
      <c r="Z645" s="9"/>
      <c r="AA645" s="4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10"/>
      <c r="AU645" s="9"/>
    </row>
    <row r="646" spans="1:47">
      <c r="A646" s="4"/>
      <c r="B646" s="4"/>
      <c r="C646" s="5"/>
      <c r="D646" s="5"/>
      <c r="E646" s="6"/>
      <c r="F646" s="4"/>
      <c r="G646" s="6"/>
      <c r="H646" s="7"/>
      <c r="I646" s="7"/>
      <c r="J646" s="7"/>
      <c r="K646" s="7"/>
      <c r="L646" s="7"/>
      <c r="M646" s="2"/>
      <c r="N646" s="2"/>
      <c r="O646" s="2"/>
      <c r="P646" s="2"/>
      <c r="Q646" s="2"/>
      <c r="R646" s="9"/>
      <c r="S646" s="4"/>
      <c r="T646" s="9"/>
      <c r="U646" s="9"/>
      <c r="V646" s="9"/>
      <c r="W646" s="9"/>
      <c r="X646" s="4"/>
      <c r="Y646" s="6"/>
      <c r="Z646" s="4"/>
      <c r="AA646" s="23"/>
      <c r="AB646" s="24"/>
      <c r="AC646" s="2"/>
      <c r="AD646" s="2"/>
      <c r="AE646" s="25"/>
      <c r="AF646" s="24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10"/>
      <c r="AU646" s="9"/>
    </row>
    <row r="647" spans="1:47">
      <c r="A647" s="4"/>
      <c r="B647" s="4"/>
      <c r="C647" s="5"/>
      <c r="D647" s="5"/>
      <c r="E647" s="6"/>
      <c r="F647" s="4"/>
      <c r="G647" s="6"/>
      <c r="H647" s="7"/>
      <c r="I647" s="7"/>
      <c r="J647" s="7"/>
      <c r="K647" s="7"/>
      <c r="L647" s="7"/>
      <c r="M647" s="2"/>
      <c r="N647" s="2"/>
      <c r="O647" s="2"/>
      <c r="P647" s="2"/>
      <c r="Q647" s="2"/>
      <c r="R647" s="9"/>
      <c r="S647" s="4"/>
      <c r="T647" s="9"/>
      <c r="U647" s="9"/>
      <c r="V647" s="9"/>
      <c r="W647" s="9"/>
      <c r="X647" s="4"/>
      <c r="Y647" s="6"/>
      <c r="Z647" s="4"/>
      <c r="AA647" s="23"/>
      <c r="AB647" s="24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10"/>
      <c r="AU647" s="9"/>
    </row>
    <row r="648" spans="1:47">
      <c r="A648" s="4"/>
      <c r="B648" s="4"/>
      <c r="C648" s="5"/>
      <c r="D648" s="5"/>
      <c r="E648" s="6"/>
      <c r="F648" s="4"/>
      <c r="G648" s="6"/>
      <c r="H648" s="7"/>
      <c r="I648" s="7"/>
      <c r="J648" s="7"/>
      <c r="K648" s="7"/>
      <c r="L648" s="2"/>
      <c r="M648" s="2"/>
      <c r="N648" s="2"/>
      <c r="O648" s="2"/>
      <c r="P648" s="2"/>
      <c r="Q648" s="2"/>
      <c r="R648" s="9"/>
      <c r="S648" s="4"/>
      <c r="T648" s="9"/>
      <c r="U648" s="9"/>
      <c r="V648" s="9"/>
      <c r="W648" s="9"/>
      <c r="X648" s="4"/>
      <c r="Y648" s="6"/>
      <c r="Z648" s="9"/>
      <c r="AA648" s="4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10"/>
      <c r="AU648" s="9"/>
    </row>
    <row r="649" spans="1:47">
      <c r="A649" s="4"/>
      <c r="B649" s="4"/>
      <c r="C649" s="5"/>
      <c r="D649" s="5"/>
      <c r="E649" s="6"/>
      <c r="F649" s="4"/>
      <c r="G649" s="6"/>
      <c r="H649" s="7"/>
      <c r="I649" s="7"/>
      <c r="J649" s="7"/>
      <c r="K649" s="7"/>
      <c r="L649" s="7"/>
      <c r="M649" s="2"/>
      <c r="N649" s="2"/>
      <c r="O649" s="2"/>
      <c r="P649" s="2"/>
      <c r="Q649" s="2"/>
      <c r="R649" s="9"/>
      <c r="S649" s="4"/>
      <c r="T649" s="9"/>
      <c r="U649" s="9"/>
      <c r="V649" s="9"/>
      <c r="W649" s="9"/>
      <c r="X649" s="4"/>
      <c r="Y649" s="6"/>
      <c r="Z649" s="4"/>
      <c r="AA649" s="23"/>
      <c r="AB649" s="24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10"/>
      <c r="AU649" s="9"/>
    </row>
    <row r="650" spans="1:47">
      <c r="A650" s="4"/>
      <c r="B650" s="4"/>
      <c r="C650" s="5"/>
      <c r="D650" s="5"/>
      <c r="E650" s="6"/>
      <c r="F650" s="4"/>
      <c r="G650" s="6"/>
      <c r="H650" s="7"/>
      <c r="I650" s="7"/>
      <c r="J650" s="7"/>
      <c r="K650" s="7"/>
      <c r="L650" s="2"/>
      <c r="M650" s="2"/>
      <c r="N650" s="2"/>
      <c r="O650" s="2"/>
      <c r="P650" s="2"/>
      <c r="Q650" s="2"/>
      <c r="R650" s="9"/>
      <c r="S650" s="4"/>
      <c r="T650" s="9"/>
      <c r="U650" s="9"/>
      <c r="V650" s="9"/>
      <c r="W650" s="9"/>
      <c r="X650" s="4"/>
      <c r="Y650" s="6"/>
      <c r="Z650" s="9"/>
      <c r="AA650" s="4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10"/>
      <c r="AU650" s="9"/>
    </row>
    <row r="651" spans="1:47">
      <c r="A651" s="4"/>
      <c r="B651" s="4"/>
      <c r="C651" s="5"/>
      <c r="D651" s="5"/>
      <c r="E651" s="6"/>
      <c r="F651" s="4"/>
      <c r="G651" s="6"/>
      <c r="H651" s="7"/>
      <c r="I651" s="7"/>
      <c r="J651" s="7"/>
      <c r="K651" s="7"/>
      <c r="L651" s="2"/>
      <c r="M651" s="2"/>
      <c r="N651" s="2"/>
      <c r="O651" s="2"/>
      <c r="P651" s="2"/>
      <c r="Q651" s="2"/>
      <c r="R651" s="9"/>
      <c r="S651" s="4"/>
      <c r="T651" s="9"/>
      <c r="U651" s="9"/>
      <c r="V651" s="9"/>
      <c r="W651" s="9"/>
      <c r="X651" s="4"/>
      <c r="Y651" s="6"/>
      <c r="Z651" s="9"/>
      <c r="AA651" s="4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10"/>
      <c r="AU651" s="9"/>
    </row>
    <row r="652" spans="1:47">
      <c r="A652" s="4"/>
      <c r="B652" s="4"/>
      <c r="C652" s="5"/>
      <c r="D652" s="5"/>
      <c r="E652" s="6"/>
      <c r="F652" s="4"/>
      <c r="G652" s="6"/>
      <c r="H652" s="7"/>
      <c r="I652" s="7"/>
      <c r="J652" s="7"/>
      <c r="K652" s="7"/>
      <c r="L652" s="2"/>
      <c r="M652" s="2"/>
      <c r="N652" s="2"/>
      <c r="O652" s="2"/>
      <c r="P652" s="2"/>
      <c r="Q652" s="2"/>
      <c r="R652" s="9"/>
      <c r="S652" s="4"/>
      <c r="T652" s="9"/>
      <c r="U652" s="9"/>
      <c r="V652" s="9"/>
      <c r="W652" s="9"/>
      <c r="X652" s="4"/>
      <c r="Y652" s="6"/>
      <c r="Z652" s="4"/>
      <c r="AA652" s="23"/>
      <c r="AB652" s="24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10"/>
      <c r="AU652" s="9"/>
    </row>
    <row r="653" spans="1:47">
      <c r="A653" s="4"/>
      <c r="B653" s="4"/>
      <c r="C653" s="5"/>
      <c r="D653" s="5"/>
      <c r="E653" s="6"/>
      <c r="F653" s="4"/>
      <c r="G653" s="6"/>
      <c r="H653" s="7"/>
      <c r="I653" s="7"/>
      <c r="J653" s="7"/>
      <c r="K653" s="7"/>
      <c r="L653" s="2"/>
      <c r="M653" s="2"/>
      <c r="N653" s="2"/>
      <c r="O653" s="2"/>
      <c r="P653" s="2"/>
      <c r="Q653" s="2"/>
      <c r="R653" s="9"/>
      <c r="S653" s="4"/>
      <c r="T653" s="9"/>
      <c r="U653" s="9"/>
      <c r="V653" s="9"/>
      <c r="W653" s="9"/>
      <c r="X653" s="4"/>
      <c r="Y653" s="6"/>
      <c r="Z653" s="9"/>
      <c r="AA653" s="4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10"/>
      <c r="AU653" s="9"/>
    </row>
    <row r="654" spans="1:47">
      <c r="A654" s="4"/>
      <c r="B654" s="4"/>
      <c r="C654" s="5"/>
      <c r="D654" s="5"/>
      <c r="E654" s="6"/>
      <c r="F654" s="4"/>
      <c r="G654" s="6"/>
      <c r="H654" s="7"/>
      <c r="I654" s="7"/>
      <c r="J654" s="7"/>
      <c r="K654" s="7"/>
      <c r="L654" s="2"/>
      <c r="M654" s="2"/>
      <c r="N654" s="2"/>
      <c r="O654" s="2"/>
      <c r="P654" s="2"/>
      <c r="Q654" s="2"/>
      <c r="R654" s="9"/>
      <c r="S654" s="4"/>
      <c r="T654" s="9"/>
      <c r="U654" s="9"/>
      <c r="V654" s="9"/>
      <c r="W654" s="9"/>
      <c r="X654" s="4"/>
      <c r="Y654" s="6"/>
      <c r="Z654" s="9"/>
      <c r="AA654" s="4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10"/>
      <c r="AU654" s="9"/>
    </row>
    <row r="655" spans="1:47">
      <c r="A655" s="4"/>
      <c r="B655" s="4"/>
      <c r="C655" s="5"/>
      <c r="D655" s="5"/>
      <c r="E655" s="6"/>
      <c r="F655" s="4"/>
      <c r="G655" s="6"/>
      <c r="H655" s="7"/>
      <c r="I655" s="2"/>
      <c r="J655" s="2"/>
      <c r="K655" s="2"/>
      <c r="L655" s="2"/>
      <c r="M655" s="2"/>
      <c r="N655" s="2"/>
      <c r="O655" s="2"/>
      <c r="P655" s="2"/>
      <c r="Q655" s="2"/>
      <c r="R655" s="9"/>
      <c r="S655" s="4"/>
      <c r="T655" s="9"/>
      <c r="U655" s="9"/>
      <c r="V655" s="9"/>
      <c r="W655" s="9"/>
      <c r="X655" s="4"/>
      <c r="Y655" s="6"/>
      <c r="Z655" s="4"/>
      <c r="AA655" s="23"/>
      <c r="AB655" s="24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10"/>
      <c r="AU655" s="9"/>
    </row>
    <row r="656" spans="1:47">
      <c r="A656" s="4"/>
      <c r="B656" s="4"/>
      <c r="C656" s="5"/>
      <c r="D656" s="5"/>
      <c r="E656" s="6"/>
      <c r="F656" s="4"/>
      <c r="G656" s="6"/>
      <c r="H656" s="7"/>
      <c r="I656" s="2"/>
      <c r="J656" s="2"/>
      <c r="K656" s="2"/>
      <c r="L656" s="2"/>
      <c r="M656" s="2"/>
      <c r="N656" s="2"/>
      <c r="O656" s="2"/>
      <c r="P656" s="2"/>
      <c r="Q656" s="2"/>
      <c r="R656" s="9"/>
      <c r="S656" s="4"/>
      <c r="T656" s="9"/>
      <c r="U656" s="9"/>
      <c r="V656" s="9"/>
      <c r="W656" s="9"/>
      <c r="X656" s="4"/>
      <c r="Y656" s="6"/>
      <c r="Z656" s="4"/>
      <c r="AA656" s="23"/>
      <c r="AB656" s="24"/>
      <c r="AC656" s="2"/>
      <c r="AD656" s="2"/>
      <c r="AE656" s="25"/>
      <c r="AF656" s="24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10"/>
      <c r="AU656" s="9"/>
    </row>
    <row r="657" spans="1:47">
      <c r="A657" s="4"/>
      <c r="B657" s="4"/>
      <c r="C657" s="5"/>
      <c r="D657" s="5"/>
      <c r="E657" s="6"/>
      <c r="F657" s="4"/>
      <c r="G657" s="6"/>
      <c r="H657" s="7"/>
      <c r="I657" s="2"/>
      <c r="J657" s="2"/>
      <c r="K657" s="2"/>
      <c r="L657" s="2"/>
      <c r="M657" s="2"/>
      <c r="N657" s="2"/>
      <c r="O657" s="2"/>
      <c r="P657" s="2"/>
      <c r="Q657" s="2"/>
      <c r="R657" s="9"/>
      <c r="S657" s="4"/>
      <c r="T657" s="9"/>
      <c r="U657" s="9"/>
      <c r="V657" s="9"/>
      <c r="W657" s="9"/>
      <c r="X657" s="4"/>
      <c r="Y657" s="6"/>
      <c r="Z657" s="4"/>
      <c r="AA657" s="23"/>
      <c r="AB657" s="24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10"/>
      <c r="AU657" s="9"/>
    </row>
    <row r="658" spans="1:47">
      <c r="A658" s="4"/>
      <c r="B658" s="4"/>
      <c r="C658" s="5"/>
      <c r="D658" s="5"/>
      <c r="E658" s="6"/>
      <c r="F658" s="4"/>
      <c r="G658" s="6"/>
      <c r="H658" s="7"/>
      <c r="I658" s="2"/>
      <c r="J658" s="2"/>
      <c r="K658" s="2"/>
      <c r="L658" s="2"/>
      <c r="M658" s="2"/>
      <c r="N658" s="2"/>
      <c r="O658" s="2"/>
      <c r="P658" s="2"/>
      <c r="Q658" s="2"/>
      <c r="R658" s="9"/>
      <c r="S658" s="4"/>
      <c r="T658" s="9"/>
      <c r="U658" s="9"/>
      <c r="V658" s="9"/>
      <c r="W658" s="9"/>
      <c r="X658" s="4"/>
      <c r="Y658" s="6"/>
      <c r="Z658" s="4"/>
      <c r="AA658" s="23"/>
      <c r="AB658" s="24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10"/>
      <c r="AU658" s="9"/>
    </row>
    <row r="659" spans="1:47">
      <c r="A659" s="4"/>
      <c r="B659" s="4"/>
      <c r="C659" s="5"/>
      <c r="D659" s="5"/>
      <c r="E659" s="6"/>
      <c r="F659" s="4"/>
      <c r="G659" s="6"/>
      <c r="H659" s="7"/>
      <c r="I659" s="2"/>
      <c r="J659" s="2"/>
      <c r="K659" s="2"/>
      <c r="L659" s="2"/>
      <c r="M659" s="2"/>
      <c r="N659" s="2"/>
      <c r="O659" s="2"/>
      <c r="P659" s="2"/>
      <c r="Q659" s="2"/>
      <c r="R659" s="9"/>
      <c r="S659" s="4"/>
      <c r="T659" s="9"/>
      <c r="U659" s="9"/>
      <c r="V659" s="9"/>
      <c r="W659" s="9"/>
      <c r="X659" s="4"/>
      <c r="Y659" s="6"/>
      <c r="Z659" s="4"/>
      <c r="AA659" s="23"/>
      <c r="AB659" s="24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10"/>
      <c r="AU659" s="9"/>
    </row>
    <row r="660" spans="1:47">
      <c r="A660" s="4"/>
      <c r="B660" s="4"/>
      <c r="C660" s="5"/>
      <c r="D660" s="5"/>
      <c r="E660" s="6"/>
      <c r="F660" s="4"/>
      <c r="G660" s="6"/>
      <c r="H660" s="7"/>
      <c r="I660" s="2"/>
      <c r="J660" s="2"/>
      <c r="K660" s="2"/>
      <c r="L660" s="2"/>
      <c r="M660" s="2"/>
      <c r="N660" s="2"/>
      <c r="O660" s="2"/>
      <c r="P660" s="2"/>
      <c r="Q660" s="2"/>
      <c r="R660" s="9"/>
      <c r="S660" s="4"/>
      <c r="T660" s="9"/>
      <c r="U660" s="9"/>
      <c r="V660" s="9"/>
      <c r="W660" s="9"/>
      <c r="X660" s="4"/>
      <c r="Y660" s="6"/>
      <c r="Z660" s="4"/>
      <c r="AA660" s="23"/>
      <c r="AB660" s="24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10"/>
      <c r="AU660" s="9"/>
    </row>
    <row r="661" spans="1:47">
      <c r="A661" s="4"/>
      <c r="B661" s="4"/>
      <c r="C661" s="5"/>
      <c r="D661" s="5"/>
      <c r="E661" s="6"/>
      <c r="F661" s="4"/>
      <c r="G661" s="6"/>
      <c r="H661" s="7"/>
      <c r="I661" s="7"/>
      <c r="J661" s="7"/>
      <c r="K661" s="7"/>
      <c r="L661" s="7"/>
      <c r="M661" s="2"/>
      <c r="N661" s="2"/>
      <c r="O661" s="2"/>
      <c r="P661" s="2"/>
      <c r="Q661" s="2"/>
      <c r="R661" s="9"/>
      <c r="S661" s="4"/>
      <c r="T661" s="9"/>
      <c r="U661" s="9"/>
      <c r="V661" s="9"/>
      <c r="W661" s="9"/>
      <c r="X661" s="4"/>
      <c r="Y661" s="6"/>
      <c r="Z661" s="4"/>
      <c r="AA661" s="23"/>
      <c r="AB661" s="24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10"/>
      <c r="AU661" s="9"/>
    </row>
    <row r="662" spans="1:47">
      <c r="A662" s="4"/>
      <c r="B662" s="4"/>
      <c r="C662" s="5"/>
      <c r="D662" s="5"/>
      <c r="E662" s="6"/>
      <c r="F662" s="4"/>
      <c r="G662" s="6"/>
      <c r="H662" s="7"/>
      <c r="I662" s="2"/>
      <c r="J662" s="2"/>
      <c r="K662" s="2"/>
      <c r="L662" s="2"/>
      <c r="M662" s="2"/>
      <c r="N662" s="2"/>
      <c r="O662" s="2"/>
      <c r="P662" s="2"/>
      <c r="Q662" s="2"/>
      <c r="R662" s="9"/>
      <c r="S662" s="4"/>
      <c r="T662" s="9"/>
      <c r="U662" s="9"/>
      <c r="V662" s="9"/>
      <c r="W662" s="9"/>
      <c r="X662" s="4"/>
      <c r="Y662" s="6"/>
      <c r="Z662" s="4"/>
      <c r="AA662" s="23"/>
      <c r="AB662" s="24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10"/>
      <c r="AU662" s="9"/>
    </row>
    <row r="663" spans="1:47">
      <c r="A663" s="4"/>
      <c r="B663" s="4"/>
      <c r="C663" s="5"/>
      <c r="D663" s="5"/>
      <c r="E663" s="6"/>
      <c r="F663" s="4"/>
      <c r="G663" s="6"/>
      <c r="H663" s="7"/>
      <c r="I663" s="7"/>
      <c r="J663" s="2"/>
      <c r="K663" s="2"/>
      <c r="L663" s="2"/>
      <c r="M663" s="2"/>
      <c r="N663" s="2"/>
      <c r="O663" s="2"/>
      <c r="P663" s="2"/>
      <c r="Q663" s="2"/>
      <c r="R663" s="9"/>
      <c r="S663" s="4"/>
      <c r="T663" s="9"/>
      <c r="U663" s="9"/>
      <c r="V663" s="9"/>
      <c r="W663" s="9"/>
      <c r="X663" s="4"/>
      <c r="Y663" s="6"/>
      <c r="Z663" s="9"/>
      <c r="AA663" s="4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10"/>
      <c r="AU663" s="9"/>
    </row>
    <row r="664" spans="1:47">
      <c r="A664" s="4"/>
      <c r="B664" s="4"/>
      <c r="C664" s="5"/>
      <c r="D664" s="5"/>
      <c r="E664" s="6"/>
      <c r="F664" s="4"/>
      <c r="G664" s="6"/>
      <c r="H664" s="7"/>
      <c r="I664" s="2"/>
      <c r="J664" s="2"/>
      <c r="K664" s="2"/>
      <c r="L664" s="2"/>
      <c r="M664" s="2"/>
      <c r="N664" s="2"/>
      <c r="O664" s="2"/>
      <c r="P664" s="2"/>
      <c r="Q664" s="2"/>
      <c r="R664" s="9"/>
      <c r="S664" s="4"/>
      <c r="T664" s="9"/>
      <c r="U664" s="9"/>
      <c r="V664" s="9"/>
      <c r="W664" s="9"/>
      <c r="X664" s="4"/>
      <c r="Y664" s="6"/>
      <c r="Z664" s="4"/>
      <c r="AA664" s="23"/>
      <c r="AB664" s="24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10"/>
      <c r="AU664" s="9"/>
    </row>
    <row r="665" spans="1:47">
      <c r="A665" s="4"/>
      <c r="B665" s="4"/>
      <c r="C665" s="5"/>
      <c r="D665" s="5"/>
      <c r="E665" s="6"/>
      <c r="F665" s="4"/>
      <c r="G665" s="6"/>
      <c r="H665" s="7"/>
      <c r="I665" s="2"/>
      <c r="J665" s="2"/>
      <c r="K665" s="2"/>
      <c r="L665" s="2"/>
      <c r="M665" s="2"/>
      <c r="N665" s="2"/>
      <c r="O665" s="2"/>
      <c r="P665" s="2"/>
      <c r="Q665" s="2"/>
      <c r="R665" s="9"/>
      <c r="S665" s="4"/>
      <c r="T665" s="9"/>
      <c r="U665" s="9"/>
      <c r="V665" s="9"/>
      <c r="W665" s="9"/>
      <c r="X665" s="4"/>
      <c r="Y665" s="6"/>
      <c r="Z665" s="4"/>
      <c r="AA665" s="23"/>
      <c r="AB665" s="24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10"/>
      <c r="AU665" s="9"/>
    </row>
    <row r="666" spans="1:47">
      <c r="A666" s="4"/>
      <c r="B666" s="4"/>
      <c r="C666" s="5"/>
      <c r="D666" s="5"/>
      <c r="E666" s="6"/>
      <c r="F666" s="4"/>
      <c r="G666" s="6"/>
      <c r="H666" s="7"/>
      <c r="I666" s="2"/>
      <c r="J666" s="2"/>
      <c r="K666" s="2"/>
      <c r="L666" s="2"/>
      <c r="M666" s="2"/>
      <c r="N666" s="2"/>
      <c r="O666" s="2"/>
      <c r="P666" s="2"/>
      <c r="Q666" s="2"/>
      <c r="R666" s="9"/>
      <c r="S666" s="4"/>
      <c r="T666" s="9"/>
      <c r="U666" s="9"/>
      <c r="V666" s="9"/>
      <c r="W666" s="9"/>
      <c r="X666" s="4"/>
      <c r="Y666" s="6"/>
      <c r="Z666" s="4"/>
      <c r="AA666" s="23"/>
      <c r="AB666" s="24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10"/>
      <c r="AU666" s="9"/>
    </row>
    <row r="667" spans="1:47">
      <c r="A667" s="4"/>
      <c r="B667" s="4"/>
      <c r="C667" s="5"/>
      <c r="D667" s="5"/>
      <c r="E667" s="6"/>
      <c r="F667" s="4"/>
      <c r="G667" s="6"/>
      <c r="H667" s="7"/>
      <c r="I667" s="2"/>
      <c r="J667" s="2"/>
      <c r="K667" s="2"/>
      <c r="L667" s="2"/>
      <c r="M667" s="2"/>
      <c r="N667" s="2"/>
      <c r="O667" s="2"/>
      <c r="P667" s="2"/>
      <c r="Q667" s="2"/>
      <c r="R667" s="9"/>
      <c r="S667" s="4"/>
      <c r="T667" s="9"/>
      <c r="U667" s="9"/>
      <c r="V667" s="9"/>
      <c r="W667" s="9"/>
      <c r="X667" s="4"/>
      <c r="Y667" s="6"/>
      <c r="Z667" s="4"/>
      <c r="AA667" s="23"/>
      <c r="AB667" s="24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10"/>
      <c r="AU667" s="9"/>
    </row>
    <row r="668" spans="1:47">
      <c r="A668" s="4"/>
      <c r="B668" s="4"/>
      <c r="C668" s="5"/>
      <c r="D668" s="5"/>
      <c r="E668" s="6"/>
      <c r="F668" s="4"/>
      <c r="G668" s="6"/>
      <c r="H668" s="7"/>
      <c r="I668" s="2"/>
      <c r="J668" s="2"/>
      <c r="K668" s="2"/>
      <c r="L668" s="2"/>
      <c r="M668" s="2"/>
      <c r="N668" s="2"/>
      <c r="O668" s="2"/>
      <c r="P668" s="2"/>
      <c r="Q668" s="2"/>
      <c r="R668" s="9"/>
      <c r="S668" s="4"/>
      <c r="T668" s="9"/>
      <c r="U668" s="9"/>
      <c r="V668" s="9"/>
      <c r="W668" s="9"/>
      <c r="X668" s="4"/>
      <c r="Y668" s="6"/>
      <c r="Z668" s="4"/>
      <c r="AA668" s="23"/>
      <c r="AB668" s="24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10"/>
      <c r="AU668" s="9"/>
    </row>
    <row r="669" spans="1:47">
      <c r="A669" s="4"/>
      <c r="B669" s="4"/>
      <c r="C669" s="5"/>
      <c r="D669" s="5"/>
      <c r="E669" s="6"/>
      <c r="F669" s="4"/>
      <c r="G669" s="6"/>
      <c r="H669" s="7"/>
      <c r="I669" s="2"/>
      <c r="J669" s="2"/>
      <c r="K669" s="2"/>
      <c r="L669" s="2"/>
      <c r="M669" s="2"/>
      <c r="N669" s="2"/>
      <c r="O669" s="2"/>
      <c r="P669" s="2"/>
      <c r="Q669" s="2"/>
      <c r="R669" s="9"/>
      <c r="S669" s="4"/>
      <c r="T669" s="9"/>
      <c r="U669" s="9"/>
      <c r="V669" s="9"/>
      <c r="W669" s="9"/>
      <c r="X669" s="4"/>
      <c r="Y669" s="6"/>
      <c r="Z669" s="4"/>
      <c r="AA669" s="23"/>
      <c r="AB669" s="24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10"/>
      <c r="AU669" s="9"/>
    </row>
    <row r="670" spans="1:47">
      <c r="A670" s="4"/>
      <c r="B670" s="4"/>
      <c r="C670" s="5"/>
      <c r="D670" s="5"/>
      <c r="E670" s="6"/>
      <c r="F670" s="4"/>
      <c r="G670" s="6"/>
      <c r="H670" s="7"/>
      <c r="I670" s="7"/>
      <c r="J670" s="7"/>
      <c r="K670" s="7"/>
      <c r="L670" s="7"/>
      <c r="M670" s="2"/>
      <c r="N670" s="2"/>
      <c r="O670" s="2"/>
      <c r="P670" s="2"/>
      <c r="Q670" s="2"/>
      <c r="R670" s="9"/>
      <c r="S670" s="4"/>
      <c r="T670" s="9"/>
      <c r="U670" s="9"/>
      <c r="V670" s="9"/>
      <c r="W670" s="9"/>
      <c r="X670" s="4"/>
      <c r="Y670" s="6"/>
      <c r="Z670" s="9"/>
      <c r="AA670" s="4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10"/>
      <c r="AU670" s="9"/>
    </row>
    <row r="671" spans="1:47">
      <c r="A671" s="4"/>
      <c r="B671" s="4"/>
      <c r="C671" s="5"/>
      <c r="D671" s="5"/>
      <c r="E671" s="6"/>
      <c r="F671" s="4"/>
      <c r="G671" s="6"/>
      <c r="H671" s="7"/>
      <c r="I671" s="7"/>
      <c r="J671" s="7"/>
      <c r="K671" s="7"/>
      <c r="L671" s="7"/>
      <c r="M671" s="2"/>
      <c r="N671" s="2"/>
      <c r="O671" s="2"/>
      <c r="P671" s="2"/>
      <c r="Q671" s="2"/>
      <c r="R671" s="9"/>
      <c r="S671" s="4"/>
      <c r="T671" s="9"/>
      <c r="U671" s="9"/>
      <c r="V671" s="9"/>
      <c r="W671" s="9"/>
      <c r="X671" s="4"/>
      <c r="Y671" s="6"/>
      <c r="Z671" s="9"/>
      <c r="AA671" s="4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10"/>
      <c r="AU671" s="9"/>
    </row>
    <row r="672" spans="1:47">
      <c r="A672" s="4"/>
      <c r="B672" s="4"/>
      <c r="C672" s="5"/>
      <c r="D672" s="5"/>
      <c r="E672" s="6"/>
      <c r="F672" s="4"/>
      <c r="G672" s="6"/>
      <c r="H672" s="7"/>
      <c r="I672" s="7"/>
      <c r="J672" s="7"/>
      <c r="K672" s="7"/>
      <c r="L672" s="2"/>
      <c r="M672" s="2"/>
      <c r="N672" s="2"/>
      <c r="O672" s="2"/>
      <c r="P672" s="2"/>
      <c r="Q672" s="2"/>
      <c r="R672" s="9"/>
      <c r="S672" s="4"/>
      <c r="T672" s="9"/>
      <c r="U672" s="9"/>
      <c r="V672" s="9"/>
      <c r="W672" s="9"/>
      <c r="X672" s="4"/>
      <c r="Y672" s="6"/>
      <c r="Z672" s="9"/>
      <c r="AA672" s="4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10"/>
      <c r="AU672" s="9"/>
    </row>
    <row r="673" spans="1:47">
      <c r="A673" s="4"/>
      <c r="B673" s="4"/>
      <c r="C673" s="5"/>
      <c r="D673" s="5"/>
      <c r="E673" s="6"/>
      <c r="F673" s="4"/>
      <c r="G673" s="6"/>
      <c r="H673" s="7"/>
      <c r="I673" s="7"/>
      <c r="J673" s="7"/>
      <c r="K673" s="7"/>
      <c r="L673" s="2"/>
      <c r="M673" s="2"/>
      <c r="N673" s="2"/>
      <c r="O673" s="2"/>
      <c r="P673" s="2"/>
      <c r="Q673" s="2"/>
      <c r="R673" s="9"/>
      <c r="S673" s="4"/>
      <c r="T673" s="9"/>
      <c r="U673" s="9"/>
      <c r="V673" s="9"/>
      <c r="W673" s="9"/>
      <c r="X673" s="4"/>
      <c r="Y673" s="6"/>
      <c r="Z673" s="9"/>
      <c r="AA673" s="4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10"/>
      <c r="AU673" s="9"/>
    </row>
    <row r="674" spans="1:47">
      <c r="A674" s="4"/>
      <c r="B674" s="4"/>
      <c r="C674" s="5"/>
      <c r="D674" s="5"/>
      <c r="E674" s="6"/>
      <c r="F674" s="4"/>
      <c r="G674" s="6"/>
      <c r="H674" s="7"/>
      <c r="I674" s="7"/>
      <c r="J674" s="7"/>
      <c r="K674" s="7"/>
      <c r="L674" s="2"/>
      <c r="M674" s="2"/>
      <c r="N674" s="2"/>
      <c r="O674" s="2"/>
      <c r="P674" s="2"/>
      <c r="Q674" s="2"/>
      <c r="R674" s="9"/>
      <c r="S674" s="4"/>
      <c r="T674" s="9"/>
      <c r="U674" s="9"/>
      <c r="V674" s="9"/>
      <c r="W674" s="9"/>
      <c r="X674" s="4"/>
      <c r="Y674" s="6"/>
      <c r="Z674" s="9"/>
      <c r="AA674" s="4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10"/>
      <c r="AU674" s="9"/>
    </row>
    <row r="675" spans="1:47">
      <c r="A675" s="4"/>
      <c r="B675" s="4"/>
      <c r="C675" s="5"/>
      <c r="D675" s="5"/>
      <c r="E675" s="6"/>
      <c r="F675" s="4"/>
      <c r="G675" s="6"/>
      <c r="H675" s="7"/>
      <c r="I675" s="7"/>
      <c r="J675" s="7"/>
      <c r="K675" s="7"/>
      <c r="L675" s="2"/>
      <c r="M675" s="2"/>
      <c r="N675" s="2"/>
      <c r="O675" s="2"/>
      <c r="P675" s="2"/>
      <c r="Q675" s="2"/>
      <c r="R675" s="9"/>
      <c r="S675" s="4"/>
      <c r="T675" s="9"/>
      <c r="U675" s="9"/>
      <c r="V675" s="9"/>
      <c r="W675" s="9"/>
      <c r="X675" s="4"/>
      <c r="Y675" s="6"/>
      <c r="Z675" s="9"/>
      <c r="AA675" s="4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10"/>
      <c r="AU675" s="9"/>
    </row>
    <row r="676" spans="1:47">
      <c r="A676" s="4"/>
      <c r="B676" s="4"/>
      <c r="C676" s="5"/>
      <c r="D676" s="5"/>
      <c r="E676" s="6"/>
      <c r="F676" s="4"/>
      <c r="G676" s="6"/>
      <c r="H676" s="7"/>
      <c r="I676" s="7"/>
      <c r="J676" s="7"/>
      <c r="K676" s="7"/>
      <c r="L676" s="2"/>
      <c r="M676" s="2"/>
      <c r="N676" s="2"/>
      <c r="O676" s="2"/>
      <c r="P676" s="2"/>
      <c r="Q676" s="2"/>
      <c r="R676" s="9"/>
      <c r="S676" s="4"/>
      <c r="T676" s="9"/>
      <c r="U676" s="9"/>
      <c r="V676" s="9"/>
      <c r="W676" s="9"/>
      <c r="X676" s="4"/>
      <c r="Y676" s="6"/>
      <c r="Z676" s="9"/>
      <c r="AA676" s="4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10"/>
      <c r="AU676" s="9"/>
    </row>
    <row r="677" spans="1:47">
      <c r="A677" s="4"/>
      <c r="B677" s="4"/>
      <c r="C677" s="5"/>
      <c r="D677" s="5"/>
      <c r="E677" s="6"/>
      <c r="F677" s="4"/>
      <c r="G677" s="6"/>
      <c r="H677" s="7"/>
      <c r="I677" s="7"/>
      <c r="J677" s="7"/>
      <c r="K677" s="7"/>
      <c r="L677" s="2"/>
      <c r="M677" s="2"/>
      <c r="N677" s="2"/>
      <c r="O677" s="2"/>
      <c r="P677" s="2"/>
      <c r="Q677" s="2"/>
      <c r="R677" s="9"/>
      <c r="S677" s="4"/>
      <c r="T677" s="9"/>
      <c r="U677" s="9"/>
      <c r="V677" s="9"/>
      <c r="W677" s="9"/>
      <c r="X677" s="4"/>
      <c r="Y677" s="6"/>
      <c r="Z677" s="9"/>
      <c r="AA677" s="4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10"/>
      <c r="AU677" s="9"/>
    </row>
    <row r="678" spans="1:47">
      <c r="A678" s="4"/>
      <c r="B678" s="4"/>
      <c r="C678" s="5"/>
      <c r="D678" s="5"/>
      <c r="E678" s="6"/>
      <c r="F678" s="4"/>
      <c r="G678" s="6"/>
      <c r="H678" s="7"/>
      <c r="I678" s="7"/>
      <c r="J678" s="7"/>
      <c r="K678" s="7"/>
      <c r="L678" s="2"/>
      <c r="M678" s="2"/>
      <c r="N678" s="2"/>
      <c r="O678" s="2"/>
      <c r="P678" s="2"/>
      <c r="Q678" s="2"/>
      <c r="R678" s="9"/>
      <c r="S678" s="4"/>
      <c r="T678" s="9"/>
      <c r="U678" s="9"/>
      <c r="V678" s="9"/>
      <c r="W678" s="9"/>
      <c r="X678" s="4"/>
      <c r="Y678" s="6"/>
      <c r="Z678" s="9"/>
      <c r="AA678" s="4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10"/>
      <c r="AU678" s="9"/>
    </row>
    <row r="679" spans="1:47">
      <c r="A679" s="4"/>
      <c r="B679" s="4"/>
      <c r="C679" s="5"/>
      <c r="D679" s="5"/>
      <c r="E679" s="6"/>
      <c r="F679" s="4"/>
      <c r="G679" s="6"/>
      <c r="H679" s="7"/>
      <c r="I679" s="2"/>
      <c r="J679" s="2"/>
      <c r="K679" s="2"/>
      <c r="L679" s="2"/>
      <c r="M679" s="2"/>
      <c r="N679" s="2"/>
      <c r="O679" s="2"/>
      <c r="P679" s="2"/>
      <c r="Q679" s="2"/>
      <c r="R679" s="9"/>
      <c r="S679" s="4"/>
      <c r="T679" s="9"/>
      <c r="U679" s="9"/>
      <c r="V679" s="9"/>
      <c r="W679" s="9"/>
      <c r="X679" s="4"/>
      <c r="Y679" s="6"/>
      <c r="Z679" s="4"/>
      <c r="AA679" s="23"/>
      <c r="AB679" s="24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10"/>
      <c r="AU679" s="9"/>
    </row>
    <row r="680" spans="1:47">
      <c r="A680" s="4"/>
      <c r="B680" s="4"/>
      <c r="C680" s="5"/>
      <c r="D680" s="5"/>
      <c r="E680" s="6"/>
      <c r="F680" s="4"/>
      <c r="G680" s="6"/>
      <c r="H680" s="7"/>
      <c r="I680" s="7"/>
      <c r="J680" s="7"/>
      <c r="K680" s="7"/>
      <c r="L680" s="7"/>
      <c r="M680" s="2"/>
      <c r="N680" s="2"/>
      <c r="O680" s="2"/>
      <c r="P680" s="2"/>
      <c r="Q680" s="2"/>
      <c r="R680" s="9"/>
      <c r="S680" s="4"/>
      <c r="T680" s="9"/>
      <c r="U680" s="9"/>
      <c r="V680" s="9"/>
      <c r="W680" s="9"/>
      <c r="X680" s="4"/>
      <c r="Y680" s="6"/>
      <c r="Z680" s="4"/>
      <c r="AA680" s="23"/>
      <c r="AB680" s="24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10"/>
      <c r="AU680" s="9"/>
    </row>
    <row r="681" spans="1:47">
      <c r="A681" s="4"/>
      <c r="B681" s="4"/>
      <c r="C681" s="5"/>
      <c r="D681" s="5"/>
      <c r="E681" s="6"/>
      <c r="F681" s="4"/>
      <c r="G681" s="6"/>
      <c r="H681" s="7"/>
      <c r="I681" s="7"/>
      <c r="J681" s="7"/>
      <c r="K681" s="7"/>
      <c r="L681" s="2"/>
      <c r="M681" s="2"/>
      <c r="N681" s="2"/>
      <c r="O681" s="2"/>
      <c r="P681" s="2"/>
      <c r="Q681" s="2"/>
      <c r="R681" s="9"/>
      <c r="S681" s="4"/>
      <c r="T681" s="9"/>
      <c r="U681" s="9"/>
      <c r="V681" s="9"/>
      <c r="W681" s="9"/>
      <c r="X681" s="4"/>
      <c r="Y681" s="6"/>
      <c r="Z681" s="9"/>
      <c r="AA681" s="4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10"/>
      <c r="AU681" s="9"/>
    </row>
    <row r="682" spans="1:47">
      <c r="A682" s="4"/>
      <c r="B682" s="4"/>
      <c r="C682" s="5"/>
      <c r="D682" s="5"/>
      <c r="E682" s="6"/>
      <c r="F682" s="4"/>
      <c r="G682" s="6"/>
      <c r="H682" s="7"/>
      <c r="I682" s="7"/>
      <c r="J682" s="7"/>
      <c r="K682" s="7"/>
      <c r="L682" s="2"/>
      <c r="M682" s="2"/>
      <c r="N682" s="2"/>
      <c r="O682" s="2"/>
      <c r="P682" s="2"/>
      <c r="Q682" s="2"/>
      <c r="R682" s="9"/>
      <c r="S682" s="4"/>
      <c r="T682" s="9"/>
      <c r="U682" s="9"/>
      <c r="V682" s="9"/>
      <c r="W682" s="9"/>
      <c r="X682" s="4"/>
      <c r="Y682" s="6"/>
      <c r="Z682" s="9"/>
      <c r="AA682" s="4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10"/>
      <c r="AU682" s="9"/>
    </row>
    <row r="683" spans="1:47">
      <c r="A683" s="4"/>
      <c r="B683" s="4"/>
      <c r="C683" s="5"/>
      <c r="D683" s="5"/>
      <c r="E683" s="6"/>
      <c r="F683" s="4"/>
      <c r="G683" s="6"/>
      <c r="H683" s="7"/>
      <c r="I683" s="7"/>
      <c r="J683" s="7"/>
      <c r="K683" s="7"/>
      <c r="L683" s="2"/>
      <c r="M683" s="2"/>
      <c r="N683" s="2"/>
      <c r="O683" s="2"/>
      <c r="P683" s="2"/>
      <c r="Q683" s="2"/>
      <c r="R683" s="9"/>
      <c r="S683" s="4"/>
      <c r="T683" s="9"/>
      <c r="U683" s="9"/>
      <c r="V683" s="9"/>
      <c r="W683" s="9"/>
      <c r="X683" s="4"/>
      <c r="Y683" s="6"/>
      <c r="Z683" s="9"/>
      <c r="AA683" s="4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10"/>
      <c r="AU683" s="9"/>
    </row>
    <row r="684" spans="1:47">
      <c r="A684" s="4"/>
      <c r="B684" s="4"/>
      <c r="C684" s="5"/>
      <c r="D684" s="5"/>
      <c r="E684" s="6"/>
      <c r="F684" s="4"/>
      <c r="G684" s="6"/>
      <c r="H684" s="7"/>
      <c r="I684" s="7"/>
      <c r="J684" s="7"/>
      <c r="K684" s="7"/>
      <c r="L684" s="2"/>
      <c r="M684" s="2"/>
      <c r="N684" s="2"/>
      <c r="O684" s="2"/>
      <c r="P684" s="2"/>
      <c r="Q684" s="2"/>
      <c r="R684" s="9"/>
      <c r="S684" s="4"/>
      <c r="T684" s="9"/>
      <c r="U684" s="9"/>
      <c r="V684" s="9"/>
      <c r="W684" s="9"/>
      <c r="X684" s="4"/>
      <c r="Y684" s="6"/>
      <c r="Z684" s="9"/>
      <c r="AA684" s="4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10"/>
      <c r="AU684" s="9"/>
    </row>
    <row r="685" spans="1:47">
      <c r="A685" s="4"/>
      <c r="B685" s="4"/>
      <c r="C685" s="5"/>
      <c r="D685" s="5"/>
      <c r="E685" s="6"/>
      <c r="F685" s="4"/>
      <c r="G685" s="6"/>
      <c r="H685" s="7"/>
      <c r="I685" s="7"/>
      <c r="J685" s="7"/>
      <c r="K685" s="7"/>
      <c r="L685" s="2"/>
      <c r="M685" s="2"/>
      <c r="N685" s="2"/>
      <c r="O685" s="2"/>
      <c r="P685" s="2"/>
      <c r="Q685" s="2"/>
      <c r="R685" s="9"/>
      <c r="S685" s="4"/>
      <c r="T685" s="9"/>
      <c r="U685" s="9"/>
      <c r="V685" s="9"/>
      <c r="W685" s="9"/>
      <c r="X685" s="4"/>
      <c r="Y685" s="6"/>
      <c r="Z685" s="9"/>
      <c r="AA685" s="4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10"/>
      <c r="AU685" s="9"/>
    </row>
    <row r="686" spans="1:47">
      <c r="A686" s="4"/>
      <c r="B686" s="4"/>
      <c r="C686" s="5"/>
      <c r="D686" s="5"/>
      <c r="E686" s="6"/>
      <c r="F686" s="4"/>
      <c r="G686" s="6"/>
      <c r="H686" s="7"/>
      <c r="I686" s="7"/>
      <c r="J686" s="7"/>
      <c r="K686" s="7"/>
      <c r="L686" s="2"/>
      <c r="M686" s="2"/>
      <c r="N686" s="2"/>
      <c r="O686" s="2"/>
      <c r="P686" s="2"/>
      <c r="Q686" s="2"/>
      <c r="R686" s="9"/>
      <c r="S686" s="4"/>
      <c r="T686" s="9"/>
      <c r="U686" s="9"/>
      <c r="V686" s="9"/>
      <c r="W686" s="9"/>
      <c r="X686" s="4"/>
      <c r="Y686" s="6"/>
      <c r="Z686" s="9"/>
      <c r="AA686" s="4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10"/>
      <c r="AU686" s="9"/>
    </row>
    <row r="687" spans="1:47">
      <c r="A687" s="4"/>
      <c r="B687" s="4"/>
      <c r="C687" s="5"/>
      <c r="D687" s="5"/>
      <c r="E687" s="6"/>
      <c r="F687" s="4"/>
      <c r="G687" s="6"/>
      <c r="H687" s="7"/>
      <c r="I687" s="7"/>
      <c r="J687" s="7"/>
      <c r="K687" s="7"/>
      <c r="L687" s="7"/>
      <c r="M687" s="2"/>
      <c r="N687" s="2"/>
      <c r="O687" s="2"/>
      <c r="P687" s="2"/>
      <c r="Q687" s="2"/>
      <c r="R687" s="9"/>
      <c r="S687" s="4"/>
      <c r="T687" s="9"/>
      <c r="U687" s="9"/>
      <c r="V687" s="9"/>
      <c r="W687" s="9"/>
      <c r="X687" s="4"/>
      <c r="Y687" s="6"/>
      <c r="Z687" s="4"/>
      <c r="AA687" s="23"/>
      <c r="AB687" s="24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10"/>
      <c r="AU687" s="9"/>
    </row>
    <row r="688" spans="1:47">
      <c r="A688" s="4"/>
      <c r="B688" s="4"/>
      <c r="C688" s="5"/>
      <c r="D688" s="5"/>
      <c r="E688" s="6"/>
      <c r="F688" s="4"/>
      <c r="G688" s="6"/>
      <c r="H688" s="7"/>
      <c r="I688" s="2"/>
      <c r="J688" s="2"/>
      <c r="K688" s="2"/>
      <c r="L688" s="2"/>
      <c r="M688" s="2"/>
      <c r="N688" s="2"/>
      <c r="O688" s="2"/>
      <c r="P688" s="2"/>
      <c r="Q688" s="2"/>
      <c r="R688" s="9"/>
      <c r="S688" s="4"/>
      <c r="T688" s="9"/>
      <c r="U688" s="9"/>
      <c r="V688" s="9"/>
      <c r="W688" s="9"/>
      <c r="X688" s="4"/>
      <c r="Y688" s="6"/>
      <c r="Z688" s="4"/>
      <c r="AA688" s="23"/>
      <c r="AB688" s="24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10"/>
      <c r="AU688" s="9"/>
    </row>
    <row r="689" spans="1:47">
      <c r="A689" s="4"/>
      <c r="B689" s="4"/>
      <c r="C689" s="5"/>
      <c r="D689" s="5"/>
      <c r="E689" s="6"/>
      <c r="F689" s="4"/>
      <c r="G689" s="6"/>
      <c r="H689" s="7"/>
      <c r="I689" s="2"/>
      <c r="J689" s="2"/>
      <c r="K689" s="2"/>
      <c r="L689" s="2"/>
      <c r="M689" s="2"/>
      <c r="N689" s="2"/>
      <c r="O689" s="2"/>
      <c r="P689" s="2"/>
      <c r="Q689" s="2"/>
      <c r="R689" s="9"/>
      <c r="S689" s="4"/>
      <c r="T689" s="9"/>
      <c r="U689" s="9"/>
      <c r="V689" s="9"/>
      <c r="W689" s="9"/>
      <c r="X689" s="4"/>
      <c r="Y689" s="6"/>
      <c r="Z689" s="4"/>
      <c r="AA689" s="23"/>
      <c r="AB689" s="24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10"/>
      <c r="AU689" s="9"/>
    </row>
    <row r="690" spans="1:47">
      <c r="A690" s="4"/>
      <c r="B690" s="4"/>
      <c r="C690" s="5"/>
      <c r="D690" s="5"/>
      <c r="E690" s="6"/>
      <c r="F690" s="4"/>
      <c r="G690" s="6"/>
      <c r="H690" s="7"/>
      <c r="I690" s="2"/>
      <c r="J690" s="2"/>
      <c r="K690" s="2"/>
      <c r="L690" s="2"/>
      <c r="M690" s="2"/>
      <c r="N690" s="2"/>
      <c r="O690" s="2"/>
      <c r="P690" s="2"/>
      <c r="Q690" s="2"/>
      <c r="R690" s="9"/>
      <c r="S690" s="4"/>
      <c r="T690" s="9"/>
      <c r="U690" s="9"/>
      <c r="V690" s="9"/>
      <c r="W690" s="9"/>
      <c r="X690" s="4"/>
      <c r="Y690" s="6"/>
      <c r="Z690" s="4"/>
      <c r="AA690" s="23"/>
      <c r="AB690" s="24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10"/>
      <c r="AU690" s="9"/>
    </row>
    <row r="691" spans="1:47">
      <c r="A691" s="4"/>
      <c r="B691" s="4"/>
      <c r="C691" s="5"/>
      <c r="D691" s="5"/>
      <c r="E691" s="6"/>
      <c r="F691" s="4"/>
      <c r="G691" s="6"/>
      <c r="H691" s="7"/>
      <c r="I691" s="7"/>
      <c r="J691" s="7"/>
      <c r="K691" s="7"/>
      <c r="L691" s="2"/>
      <c r="M691" s="2"/>
      <c r="N691" s="2"/>
      <c r="O691" s="2"/>
      <c r="P691" s="2"/>
      <c r="Q691" s="2"/>
      <c r="R691" s="9"/>
      <c r="S691" s="4"/>
      <c r="T691" s="9"/>
      <c r="U691" s="9"/>
      <c r="V691" s="9"/>
      <c r="W691" s="9"/>
      <c r="X691" s="4"/>
      <c r="Y691" s="6"/>
      <c r="Z691" s="9"/>
      <c r="AA691" s="4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10"/>
      <c r="AU691" s="9"/>
    </row>
    <row r="692" spans="1:47">
      <c r="A692" s="4"/>
      <c r="B692" s="4"/>
      <c r="C692" s="5"/>
      <c r="D692" s="5"/>
      <c r="E692" s="6"/>
      <c r="F692" s="4"/>
      <c r="G692" s="6"/>
      <c r="H692" s="7"/>
      <c r="I692" s="7"/>
      <c r="J692" s="7"/>
      <c r="K692" s="7"/>
      <c r="L692" s="2"/>
      <c r="M692" s="2"/>
      <c r="N692" s="2"/>
      <c r="O692" s="2"/>
      <c r="P692" s="2"/>
      <c r="Q692" s="2"/>
      <c r="R692" s="9"/>
      <c r="S692" s="4"/>
      <c r="T692" s="9"/>
      <c r="U692" s="9"/>
      <c r="V692" s="9"/>
      <c r="W692" s="9"/>
      <c r="X692" s="4"/>
      <c r="Y692" s="6"/>
      <c r="Z692" s="9"/>
      <c r="AA692" s="4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10"/>
      <c r="AU692" s="9"/>
    </row>
    <row r="693" spans="1:47">
      <c r="A693" s="4"/>
      <c r="B693" s="4"/>
      <c r="C693" s="5"/>
      <c r="D693" s="5"/>
      <c r="E693" s="6"/>
      <c r="F693" s="4"/>
      <c r="G693" s="6"/>
      <c r="H693" s="7"/>
      <c r="I693" s="7"/>
      <c r="J693" s="7"/>
      <c r="K693" s="7"/>
      <c r="L693" s="2"/>
      <c r="M693" s="2"/>
      <c r="N693" s="2"/>
      <c r="O693" s="2"/>
      <c r="P693" s="2"/>
      <c r="Q693" s="2"/>
      <c r="R693" s="9"/>
      <c r="S693" s="4"/>
      <c r="T693" s="9"/>
      <c r="U693" s="9"/>
      <c r="V693" s="9"/>
      <c r="W693" s="9"/>
      <c r="X693" s="4"/>
      <c r="Y693" s="6"/>
      <c r="Z693" s="9"/>
      <c r="AA693" s="4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10"/>
      <c r="AU693" s="9"/>
    </row>
    <row r="694" spans="1:47">
      <c r="A694" s="4"/>
      <c r="B694" s="4"/>
      <c r="C694" s="5"/>
      <c r="D694" s="5"/>
      <c r="E694" s="6"/>
      <c r="F694" s="4"/>
      <c r="G694" s="6"/>
      <c r="H694" s="7"/>
      <c r="I694" s="7"/>
      <c r="J694" s="7"/>
      <c r="K694" s="7"/>
      <c r="L694" s="2"/>
      <c r="M694" s="2"/>
      <c r="N694" s="2"/>
      <c r="O694" s="2"/>
      <c r="P694" s="2"/>
      <c r="Q694" s="2"/>
      <c r="R694" s="9"/>
      <c r="S694" s="4"/>
      <c r="T694" s="9"/>
      <c r="U694" s="9"/>
      <c r="V694" s="9"/>
      <c r="W694" s="9"/>
      <c r="X694" s="4"/>
      <c r="Y694" s="6"/>
      <c r="Z694" s="9"/>
      <c r="AA694" s="4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10"/>
      <c r="AU694" s="9"/>
    </row>
    <row r="695" spans="1:47">
      <c r="A695" s="4"/>
      <c r="B695" s="4"/>
      <c r="C695" s="5"/>
      <c r="D695" s="5"/>
      <c r="E695" s="6"/>
      <c r="F695" s="4"/>
      <c r="G695" s="6"/>
      <c r="H695" s="7"/>
      <c r="I695" s="7"/>
      <c r="J695" s="7"/>
      <c r="K695" s="7"/>
      <c r="L695" s="2"/>
      <c r="M695" s="2"/>
      <c r="N695" s="2"/>
      <c r="O695" s="2"/>
      <c r="P695" s="2"/>
      <c r="Q695" s="2"/>
      <c r="R695" s="9"/>
      <c r="S695" s="4"/>
      <c r="T695" s="9"/>
      <c r="U695" s="9"/>
      <c r="V695" s="9"/>
      <c r="W695" s="9"/>
      <c r="X695" s="4"/>
      <c r="Y695" s="6"/>
      <c r="Z695" s="9"/>
      <c r="AA695" s="4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10"/>
      <c r="AU695" s="9"/>
    </row>
    <row r="696" spans="1:47">
      <c r="A696" s="4"/>
      <c r="B696" s="4"/>
      <c r="C696" s="5"/>
      <c r="D696" s="5"/>
      <c r="E696" s="6"/>
      <c r="F696" s="4"/>
      <c r="G696" s="6"/>
      <c r="H696" s="7"/>
      <c r="I696" s="7"/>
      <c r="J696" s="7"/>
      <c r="K696" s="7"/>
      <c r="L696" s="2"/>
      <c r="M696" s="2"/>
      <c r="N696" s="2"/>
      <c r="O696" s="2"/>
      <c r="P696" s="2"/>
      <c r="Q696" s="2"/>
      <c r="R696" s="9"/>
      <c r="S696" s="4"/>
      <c r="T696" s="9"/>
      <c r="U696" s="9"/>
      <c r="V696" s="9"/>
      <c r="W696" s="9"/>
      <c r="X696" s="4"/>
      <c r="Y696" s="6"/>
      <c r="Z696" s="9"/>
      <c r="AA696" s="4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10"/>
      <c r="AU696" s="9"/>
    </row>
    <row r="697" spans="1:47">
      <c r="A697" s="4"/>
      <c r="B697" s="4"/>
      <c r="C697" s="5"/>
      <c r="D697" s="5"/>
      <c r="E697" s="6"/>
      <c r="F697" s="4"/>
      <c r="G697" s="6"/>
      <c r="H697" s="7"/>
      <c r="I697" s="7"/>
      <c r="J697" s="7"/>
      <c r="K697" s="7"/>
      <c r="L697" s="2"/>
      <c r="M697" s="2"/>
      <c r="N697" s="2"/>
      <c r="O697" s="2"/>
      <c r="P697" s="2"/>
      <c r="Q697" s="2"/>
      <c r="R697" s="9"/>
      <c r="S697" s="4"/>
      <c r="T697" s="9"/>
      <c r="U697" s="9"/>
      <c r="V697" s="9"/>
      <c r="W697" s="9"/>
      <c r="X697" s="4"/>
      <c r="Y697" s="6"/>
      <c r="Z697" s="9"/>
      <c r="AA697" s="4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10"/>
      <c r="AU697" s="9"/>
    </row>
    <row r="698" spans="1:47">
      <c r="A698" s="4"/>
      <c r="B698" s="4"/>
      <c r="C698" s="5"/>
      <c r="D698" s="5"/>
      <c r="E698" s="6"/>
      <c r="F698" s="4"/>
      <c r="G698" s="6"/>
      <c r="H698" s="7"/>
      <c r="I698" s="7"/>
      <c r="J698" s="7"/>
      <c r="K698" s="7"/>
      <c r="L698" s="2"/>
      <c r="M698" s="2"/>
      <c r="N698" s="2"/>
      <c r="O698" s="2"/>
      <c r="P698" s="2"/>
      <c r="Q698" s="2"/>
      <c r="R698" s="9"/>
      <c r="S698" s="4"/>
      <c r="T698" s="9"/>
      <c r="U698" s="9"/>
      <c r="V698" s="9"/>
      <c r="W698" s="9"/>
      <c r="X698" s="4"/>
      <c r="Y698" s="6"/>
      <c r="Z698" s="9"/>
      <c r="AA698" s="4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10"/>
      <c r="AU698" s="9"/>
    </row>
    <row r="699" spans="1:47">
      <c r="A699" s="4"/>
      <c r="B699" s="4"/>
      <c r="C699" s="5"/>
      <c r="D699" s="5"/>
      <c r="E699" s="6"/>
      <c r="F699" s="4"/>
      <c r="G699" s="6"/>
      <c r="H699" s="7"/>
      <c r="I699" s="7"/>
      <c r="J699" s="7"/>
      <c r="K699" s="7"/>
      <c r="L699" s="2"/>
      <c r="M699" s="2"/>
      <c r="N699" s="2"/>
      <c r="O699" s="2"/>
      <c r="P699" s="2"/>
      <c r="Q699" s="2"/>
      <c r="R699" s="9"/>
      <c r="S699" s="4"/>
      <c r="T699" s="9"/>
      <c r="U699" s="9"/>
      <c r="V699" s="9"/>
      <c r="W699" s="9"/>
      <c r="X699" s="4"/>
      <c r="Y699" s="6"/>
      <c r="Z699" s="9"/>
      <c r="AA699" s="4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10"/>
      <c r="AU699" s="9"/>
    </row>
    <row r="700" spans="1:47">
      <c r="A700" s="4"/>
      <c r="B700" s="4"/>
      <c r="C700" s="5"/>
      <c r="D700" s="5"/>
      <c r="E700" s="6"/>
      <c r="F700" s="4"/>
      <c r="G700" s="6"/>
      <c r="H700" s="7"/>
      <c r="I700" s="7"/>
      <c r="J700" s="7"/>
      <c r="K700" s="7"/>
      <c r="L700" s="2"/>
      <c r="M700" s="2"/>
      <c r="N700" s="2"/>
      <c r="O700" s="2"/>
      <c r="P700" s="2"/>
      <c r="Q700" s="2"/>
      <c r="R700" s="9"/>
      <c r="S700" s="4"/>
      <c r="T700" s="9"/>
      <c r="U700" s="9"/>
      <c r="V700" s="9"/>
      <c r="W700" s="9"/>
      <c r="X700" s="4"/>
      <c r="Y700" s="6"/>
      <c r="Z700" s="9"/>
      <c r="AA700" s="4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10"/>
      <c r="AU700" s="9"/>
    </row>
    <row r="701" spans="1:47">
      <c r="A701" s="4"/>
      <c r="B701" s="4"/>
      <c r="C701" s="5"/>
      <c r="D701" s="5"/>
      <c r="E701" s="6"/>
      <c r="F701" s="4"/>
      <c r="G701" s="6"/>
      <c r="H701" s="7"/>
      <c r="I701" s="7"/>
      <c r="J701" s="7"/>
      <c r="K701" s="7"/>
      <c r="L701" s="2"/>
      <c r="M701" s="2"/>
      <c r="N701" s="2"/>
      <c r="O701" s="2"/>
      <c r="P701" s="2"/>
      <c r="Q701" s="2"/>
      <c r="R701" s="9"/>
      <c r="S701" s="4"/>
      <c r="T701" s="9"/>
      <c r="U701" s="9"/>
      <c r="V701" s="9"/>
      <c r="W701" s="9"/>
      <c r="X701" s="4"/>
      <c r="Y701" s="6"/>
      <c r="Z701" s="9"/>
      <c r="AA701" s="4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10"/>
      <c r="AU701" s="9"/>
    </row>
    <row r="702" spans="1:47">
      <c r="A702" s="4"/>
      <c r="B702" s="4"/>
      <c r="C702" s="5"/>
      <c r="D702" s="5"/>
      <c r="E702" s="6"/>
      <c r="F702" s="4"/>
      <c r="G702" s="6"/>
      <c r="H702" s="7"/>
      <c r="I702" s="7"/>
      <c r="J702" s="7"/>
      <c r="K702" s="7"/>
      <c r="L702" s="2"/>
      <c r="M702" s="2"/>
      <c r="N702" s="2"/>
      <c r="O702" s="2"/>
      <c r="P702" s="2"/>
      <c r="Q702" s="2"/>
      <c r="R702" s="9"/>
      <c r="S702" s="4"/>
      <c r="T702" s="9"/>
      <c r="U702" s="9"/>
      <c r="V702" s="9"/>
      <c r="W702" s="9"/>
      <c r="X702" s="4"/>
      <c r="Y702" s="6"/>
      <c r="Z702" s="9"/>
      <c r="AA702" s="4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10"/>
      <c r="AU702" s="9"/>
    </row>
    <row r="703" spans="1:47">
      <c r="A703" s="4"/>
      <c r="B703" s="4"/>
      <c r="C703" s="5"/>
      <c r="D703" s="5"/>
      <c r="E703" s="6"/>
      <c r="F703" s="4"/>
      <c r="G703" s="6"/>
      <c r="H703" s="7"/>
      <c r="I703" s="7"/>
      <c r="J703" s="7"/>
      <c r="K703" s="7"/>
      <c r="L703" s="2"/>
      <c r="M703" s="2"/>
      <c r="N703" s="2"/>
      <c r="O703" s="2"/>
      <c r="P703" s="2"/>
      <c r="Q703" s="2"/>
      <c r="R703" s="9"/>
      <c r="S703" s="4"/>
      <c r="T703" s="9"/>
      <c r="U703" s="9"/>
      <c r="V703" s="9"/>
      <c r="W703" s="9"/>
      <c r="X703" s="4"/>
      <c r="Y703" s="6"/>
      <c r="Z703" s="9"/>
      <c r="AA703" s="4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10"/>
      <c r="AU703" s="9"/>
    </row>
    <row r="704" spans="1:47">
      <c r="A704" s="4"/>
      <c r="B704" s="4"/>
      <c r="C704" s="5"/>
      <c r="D704" s="5"/>
      <c r="E704" s="6"/>
      <c r="F704" s="4"/>
      <c r="G704" s="6"/>
      <c r="H704" s="7"/>
      <c r="I704" s="7"/>
      <c r="J704" s="7"/>
      <c r="K704" s="7"/>
      <c r="L704" s="2"/>
      <c r="M704" s="2"/>
      <c r="N704" s="2"/>
      <c r="O704" s="2"/>
      <c r="P704" s="2"/>
      <c r="Q704" s="2"/>
      <c r="R704" s="9"/>
      <c r="S704" s="4"/>
      <c r="T704" s="9"/>
      <c r="U704" s="9"/>
      <c r="V704" s="9"/>
      <c r="W704" s="9"/>
      <c r="X704" s="4"/>
      <c r="Y704" s="6"/>
      <c r="Z704" s="9"/>
      <c r="AA704" s="4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10"/>
      <c r="AU704" s="9"/>
    </row>
    <row r="705" spans="1:47">
      <c r="A705" s="4"/>
      <c r="B705" s="4"/>
      <c r="C705" s="5"/>
      <c r="D705" s="5"/>
      <c r="E705" s="6"/>
      <c r="F705" s="4"/>
      <c r="G705" s="6"/>
      <c r="H705" s="7"/>
      <c r="I705" s="7"/>
      <c r="J705" s="7"/>
      <c r="K705" s="7"/>
      <c r="L705" s="2"/>
      <c r="M705" s="2"/>
      <c r="N705" s="2"/>
      <c r="O705" s="2"/>
      <c r="P705" s="2"/>
      <c r="Q705" s="2"/>
      <c r="R705" s="9"/>
      <c r="S705" s="4"/>
      <c r="T705" s="9"/>
      <c r="U705" s="9"/>
      <c r="V705" s="9"/>
      <c r="W705" s="9"/>
      <c r="X705" s="4"/>
      <c r="Y705" s="6"/>
      <c r="Z705" s="9"/>
      <c r="AA705" s="4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10"/>
      <c r="AU705" s="9"/>
    </row>
    <row r="706" spans="1:47">
      <c r="A706" s="4"/>
      <c r="B706" s="4"/>
      <c r="C706" s="5"/>
      <c r="D706" s="5"/>
      <c r="E706" s="6"/>
      <c r="F706" s="4"/>
      <c r="G706" s="6"/>
      <c r="H706" s="7"/>
      <c r="I706" s="7"/>
      <c r="J706" s="7"/>
      <c r="K706" s="7"/>
      <c r="L706" s="2"/>
      <c r="M706" s="2"/>
      <c r="N706" s="2"/>
      <c r="O706" s="2"/>
      <c r="P706" s="2"/>
      <c r="Q706" s="2"/>
      <c r="R706" s="9"/>
      <c r="S706" s="4"/>
      <c r="T706" s="9"/>
      <c r="U706" s="9"/>
      <c r="V706" s="9"/>
      <c r="W706" s="9"/>
      <c r="X706" s="4"/>
      <c r="Y706" s="6"/>
      <c r="Z706" s="9"/>
      <c r="AA706" s="4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10"/>
      <c r="AU706" s="9"/>
    </row>
    <row r="707" spans="1:47">
      <c r="A707" s="4"/>
      <c r="B707" s="4"/>
      <c r="C707" s="5"/>
      <c r="D707" s="5"/>
      <c r="E707" s="6"/>
      <c r="F707" s="4"/>
      <c r="G707" s="6"/>
      <c r="H707" s="7"/>
      <c r="I707" s="7"/>
      <c r="J707" s="7"/>
      <c r="K707" s="7"/>
      <c r="L707" s="2"/>
      <c r="M707" s="2"/>
      <c r="N707" s="2"/>
      <c r="O707" s="2"/>
      <c r="P707" s="2"/>
      <c r="Q707" s="2"/>
      <c r="R707" s="9"/>
      <c r="S707" s="4"/>
      <c r="T707" s="9"/>
      <c r="U707" s="9"/>
      <c r="V707" s="9"/>
      <c r="W707" s="9"/>
      <c r="X707" s="4"/>
      <c r="Y707" s="6"/>
      <c r="Z707" s="9"/>
      <c r="AA707" s="4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10"/>
      <c r="AU707" s="9"/>
    </row>
    <row r="708" spans="1:47">
      <c r="A708" s="4"/>
      <c r="B708" s="4"/>
      <c r="C708" s="5"/>
      <c r="D708" s="5"/>
      <c r="E708" s="6"/>
      <c r="F708" s="4"/>
      <c r="G708" s="6"/>
      <c r="H708" s="7"/>
      <c r="I708" s="7"/>
      <c r="J708" s="7"/>
      <c r="K708" s="7"/>
      <c r="L708" s="2"/>
      <c r="M708" s="2"/>
      <c r="N708" s="2"/>
      <c r="O708" s="2"/>
      <c r="P708" s="2"/>
      <c r="Q708" s="2"/>
      <c r="R708" s="9"/>
      <c r="S708" s="4"/>
      <c r="T708" s="9"/>
      <c r="U708" s="9"/>
      <c r="V708" s="9"/>
      <c r="W708" s="9"/>
      <c r="X708" s="4"/>
      <c r="Y708" s="6"/>
      <c r="Z708" s="9"/>
      <c r="AA708" s="4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10"/>
      <c r="AU708" s="9"/>
    </row>
    <row r="709" spans="1:47">
      <c r="A709" s="4"/>
      <c r="B709" s="4"/>
      <c r="C709" s="5"/>
      <c r="D709" s="5"/>
      <c r="E709" s="6"/>
      <c r="F709" s="4"/>
      <c r="G709" s="6"/>
      <c r="H709" s="7"/>
      <c r="I709" s="7"/>
      <c r="J709" s="7"/>
      <c r="K709" s="7"/>
      <c r="L709" s="2"/>
      <c r="M709" s="2"/>
      <c r="N709" s="2"/>
      <c r="O709" s="2"/>
      <c r="P709" s="2"/>
      <c r="Q709" s="2"/>
      <c r="R709" s="9"/>
      <c r="S709" s="4"/>
      <c r="T709" s="9"/>
      <c r="U709" s="9"/>
      <c r="V709" s="9"/>
      <c r="W709" s="9"/>
      <c r="X709" s="4"/>
      <c r="Y709" s="6"/>
      <c r="Z709" s="9"/>
      <c r="AA709" s="4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10"/>
      <c r="AU709" s="9"/>
    </row>
    <row r="710" spans="1:47">
      <c r="A710" s="4"/>
      <c r="B710" s="4"/>
      <c r="C710" s="5"/>
      <c r="D710" s="5"/>
      <c r="E710" s="6"/>
      <c r="F710" s="4"/>
      <c r="G710" s="6"/>
      <c r="H710" s="7"/>
      <c r="I710" s="7"/>
      <c r="J710" s="7"/>
      <c r="K710" s="7"/>
      <c r="L710" s="2"/>
      <c r="M710" s="2"/>
      <c r="N710" s="2"/>
      <c r="O710" s="2"/>
      <c r="P710" s="2"/>
      <c r="Q710" s="2"/>
      <c r="R710" s="9"/>
      <c r="S710" s="4"/>
      <c r="T710" s="9"/>
      <c r="U710" s="9"/>
      <c r="V710" s="9"/>
      <c r="W710" s="9"/>
      <c r="X710" s="4"/>
      <c r="Y710" s="6"/>
      <c r="Z710" s="9"/>
      <c r="AA710" s="4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10"/>
      <c r="AU710" s="9"/>
    </row>
    <row r="711" spans="1:47">
      <c r="A711" s="4"/>
      <c r="B711" s="4"/>
      <c r="C711" s="5"/>
      <c r="D711" s="5"/>
      <c r="E711" s="6"/>
      <c r="F711" s="4"/>
      <c r="G711" s="6"/>
      <c r="H711" s="7"/>
      <c r="I711" s="7"/>
      <c r="J711" s="7"/>
      <c r="K711" s="7"/>
      <c r="L711" s="2"/>
      <c r="M711" s="2"/>
      <c r="N711" s="2"/>
      <c r="O711" s="2"/>
      <c r="P711" s="2"/>
      <c r="Q711" s="2"/>
      <c r="R711" s="9"/>
      <c r="S711" s="4"/>
      <c r="T711" s="9"/>
      <c r="U711" s="9"/>
      <c r="V711" s="9"/>
      <c r="W711" s="9"/>
      <c r="X711" s="4"/>
      <c r="Y711" s="6"/>
      <c r="Z711" s="9"/>
      <c r="AA711" s="4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10"/>
      <c r="AU711" s="9"/>
    </row>
    <row r="712" spans="1:47">
      <c r="A712" s="4"/>
      <c r="B712" s="4"/>
      <c r="C712" s="5"/>
      <c r="D712" s="5"/>
      <c r="E712" s="6"/>
      <c r="F712" s="4"/>
      <c r="G712" s="6"/>
      <c r="H712" s="7"/>
      <c r="I712" s="7"/>
      <c r="J712" s="7"/>
      <c r="K712" s="7"/>
      <c r="L712" s="2"/>
      <c r="M712" s="2"/>
      <c r="N712" s="2"/>
      <c r="O712" s="2"/>
      <c r="P712" s="2"/>
      <c r="Q712" s="2"/>
      <c r="R712" s="9"/>
      <c r="S712" s="4"/>
      <c r="T712" s="9"/>
      <c r="U712" s="9"/>
      <c r="V712" s="9"/>
      <c r="W712" s="9"/>
      <c r="X712" s="4"/>
      <c r="Y712" s="6"/>
      <c r="Z712" s="9"/>
      <c r="AA712" s="4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10"/>
      <c r="AU712" s="9"/>
    </row>
    <row r="713" spans="1:47">
      <c r="A713" s="4"/>
      <c r="B713" s="4"/>
      <c r="C713" s="5"/>
      <c r="D713" s="5"/>
      <c r="E713" s="6"/>
      <c r="F713" s="4"/>
      <c r="G713" s="6"/>
      <c r="H713" s="7"/>
      <c r="I713" s="7"/>
      <c r="J713" s="7"/>
      <c r="K713" s="7"/>
      <c r="L713" s="2"/>
      <c r="M713" s="2"/>
      <c r="N713" s="2"/>
      <c r="O713" s="2"/>
      <c r="P713" s="2"/>
      <c r="Q713" s="2"/>
      <c r="R713" s="9"/>
      <c r="S713" s="4"/>
      <c r="T713" s="9"/>
      <c r="U713" s="9"/>
      <c r="V713" s="9"/>
      <c r="W713" s="9"/>
      <c r="X713" s="4"/>
      <c r="Y713" s="6"/>
      <c r="Z713" s="9"/>
      <c r="AA713" s="4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10"/>
      <c r="AU713" s="9"/>
    </row>
    <row r="714" spans="1:47">
      <c r="A714" s="4"/>
      <c r="B714" s="4"/>
      <c r="C714" s="5"/>
      <c r="D714" s="5"/>
      <c r="E714" s="6"/>
      <c r="F714" s="4"/>
      <c r="G714" s="6"/>
      <c r="H714" s="7"/>
      <c r="I714" s="7"/>
      <c r="J714" s="7"/>
      <c r="K714" s="7"/>
      <c r="L714" s="2"/>
      <c r="M714" s="2"/>
      <c r="N714" s="2"/>
      <c r="O714" s="2"/>
      <c r="P714" s="2"/>
      <c r="Q714" s="2"/>
      <c r="R714" s="9"/>
      <c r="S714" s="4"/>
      <c r="T714" s="9"/>
      <c r="U714" s="9"/>
      <c r="V714" s="9"/>
      <c r="W714" s="9"/>
      <c r="X714" s="4"/>
      <c r="Y714" s="6"/>
      <c r="Z714" s="9"/>
      <c r="AA714" s="4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10"/>
      <c r="AU714" s="9"/>
    </row>
    <row r="715" spans="1:47">
      <c r="A715" s="4"/>
      <c r="B715" s="4"/>
      <c r="C715" s="5"/>
      <c r="D715" s="5"/>
      <c r="E715" s="6"/>
      <c r="F715" s="4"/>
      <c r="G715" s="6"/>
      <c r="H715" s="7"/>
      <c r="I715" s="7"/>
      <c r="J715" s="7"/>
      <c r="K715" s="7"/>
      <c r="L715" s="2"/>
      <c r="M715" s="2"/>
      <c r="N715" s="2"/>
      <c r="O715" s="2"/>
      <c r="P715" s="2"/>
      <c r="Q715" s="2"/>
      <c r="R715" s="9"/>
      <c r="S715" s="4"/>
      <c r="T715" s="9"/>
      <c r="U715" s="9"/>
      <c r="V715" s="9"/>
      <c r="W715" s="9"/>
      <c r="X715" s="4"/>
      <c r="Y715" s="6"/>
      <c r="Z715" s="9"/>
      <c r="AA715" s="4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10"/>
      <c r="AU715" s="9"/>
    </row>
    <row r="716" spans="1:47">
      <c r="A716" s="4"/>
      <c r="B716" s="4"/>
      <c r="C716" s="5"/>
      <c r="D716" s="5"/>
      <c r="E716" s="6"/>
      <c r="F716" s="4"/>
      <c r="G716" s="6"/>
      <c r="H716" s="7"/>
      <c r="I716" s="7"/>
      <c r="J716" s="7"/>
      <c r="K716" s="7"/>
      <c r="L716" s="2"/>
      <c r="M716" s="2"/>
      <c r="N716" s="2"/>
      <c r="O716" s="2"/>
      <c r="P716" s="2"/>
      <c r="Q716" s="2"/>
      <c r="R716" s="9"/>
      <c r="S716" s="4"/>
      <c r="T716" s="9"/>
      <c r="U716" s="9"/>
      <c r="V716" s="9"/>
      <c r="W716" s="9"/>
      <c r="X716" s="4"/>
      <c r="Y716" s="6"/>
      <c r="Z716" s="9"/>
      <c r="AA716" s="4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10"/>
      <c r="AU716" s="9"/>
    </row>
    <row r="717" spans="1:47">
      <c r="A717" s="4"/>
      <c r="B717" s="4"/>
      <c r="C717" s="5"/>
      <c r="D717" s="5"/>
      <c r="E717" s="6"/>
      <c r="F717" s="4"/>
      <c r="G717" s="6"/>
      <c r="H717" s="7"/>
      <c r="I717" s="7"/>
      <c r="J717" s="7"/>
      <c r="K717" s="7"/>
      <c r="L717" s="2"/>
      <c r="M717" s="2"/>
      <c r="N717" s="2"/>
      <c r="O717" s="2"/>
      <c r="P717" s="2"/>
      <c r="Q717" s="2"/>
      <c r="R717" s="9"/>
      <c r="S717" s="4"/>
      <c r="T717" s="9"/>
      <c r="U717" s="9"/>
      <c r="V717" s="9"/>
      <c r="W717" s="9"/>
      <c r="X717" s="4"/>
      <c r="Y717" s="6"/>
      <c r="Z717" s="9"/>
      <c r="AA717" s="4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10"/>
      <c r="AU717" s="9"/>
    </row>
    <row r="718" spans="1:47">
      <c r="A718" s="4"/>
      <c r="B718" s="4"/>
      <c r="C718" s="5"/>
      <c r="D718" s="5"/>
      <c r="E718" s="6"/>
      <c r="F718" s="4"/>
      <c r="G718" s="6"/>
      <c r="H718" s="7"/>
      <c r="I718" s="7"/>
      <c r="J718" s="7"/>
      <c r="K718" s="7"/>
      <c r="L718" s="2"/>
      <c r="M718" s="2"/>
      <c r="N718" s="2"/>
      <c r="O718" s="2"/>
      <c r="P718" s="2"/>
      <c r="Q718" s="2"/>
      <c r="R718" s="9"/>
      <c r="S718" s="4"/>
      <c r="T718" s="9"/>
      <c r="U718" s="9"/>
      <c r="V718" s="9"/>
      <c r="W718" s="9"/>
      <c r="X718" s="4"/>
      <c r="Y718" s="6"/>
      <c r="Z718" s="9"/>
      <c r="AA718" s="4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10"/>
      <c r="AU718" s="9"/>
    </row>
    <row r="719" spans="1:47">
      <c r="A719" s="4"/>
      <c r="B719" s="4"/>
      <c r="C719" s="5"/>
      <c r="D719" s="5"/>
      <c r="E719" s="6"/>
      <c r="F719" s="4"/>
      <c r="G719" s="6"/>
      <c r="H719" s="7"/>
      <c r="I719" s="7"/>
      <c r="J719" s="7"/>
      <c r="K719" s="7"/>
      <c r="L719" s="2"/>
      <c r="M719" s="2"/>
      <c r="N719" s="2"/>
      <c r="O719" s="2"/>
      <c r="P719" s="2"/>
      <c r="Q719" s="2"/>
      <c r="R719" s="9"/>
      <c r="S719" s="4"/>
      <c r="T719" s="9"/>
      <c r="U719" s="9"/>
      <c r="V719" s="9"/>
      <c r="W719" s="9"/>
      <c r="X719" s="4"/>
      <c r="Y719" s="6"/>
      <c r="Z719" s="9"/>
      <c r="AA719" s="4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10"/>
      <c r="AU719" s="9"/>
    </row>
    <row r="720" spans="1:47">
      <c r="A720" s="4"/>
      <c r="B720" s="4"/>
      <c r="C720" s="5"/>
      <c r="D720" s="5"/>
      <c r="E720" s="6"/>
      <c r="F720" s="4"/>
      <c r="G720" s="6"/>
      <c r="H720" s="7"/>
      <c r="I720" s="7"/>
      <c r="J720" s="7"/>
      <c r="K720" s="7"/>
      <c r="L720" s="2"/>
      <c r="M720" s="2"/>
      <c r="N720" s="2"/>
      <c r="O720" s="2"/>
      <c r="P720" s="2"/>
      <c r="Q720" s="2"/>
      <c r="R720" s="9"/>
      <c r="S720" s="4"/>
      <c r="T720" s="9"/>
      <c r="U720" s="9"/>
      <c r="V720" s="9"/>
      <c r="W720" s="9"/>
      <c r="X720" s="4"/>
      <c r="Y720" s="6"/>
      <c r="Z720" s="9"/>
      <c r="AA720" s="4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10"/>
      <c r="AU720" s="9"/>
    </row>
    <row r="721" spans="1:47">
      <c r="A721" s="4"/>
      <c r="B721" s="4"/>
      <c r="C721" s="5"/>
      <c r="D721" s="5"/>
      <c r="E721" s="6"/>
      <c r="F721" s="4"/>
      <c r="G721" s="6"/>
      <c r="H721" s="7"/>
      <c r="I721" s="7"/>
      <c r="J721" s="7"/>
      <c r="K721" s="7"/>
      <c r="L721" s="2"/>
      <c r="M721" s="2"/>
      <c r="N721" s="2"/>
      <c r="O721" s="2"/>
      <c r="P721" s="2"/>
      <c r="Q721" s="2"/>
      <c r="R721" s="9"/>
      <c r="S721" s="4"/>
      <c r="T721" s="9"/>
      <c r="U721" s="9"/>
      <c r="V721" s="9"/>
      <c r="W721" s="9"/>
      <c r="X721" s="4"/>
      <c r="Y721" s="6"/>
      <c r="Z721" s="9"/>
      <c r="AA721" s="4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10"/>
      <c r="AU721" s="9"/>
    </row>
    <row r="722" spans="1:47">
      <c r="A722" s="4"/>
      <c r="B722" s="4"/>
      <c r="C722" s="5"/>
      <c r="D722" s="5"/>
      <c r="E722" s="6"/>
      <c r="F722" s="4"/>
      <c r="G722" s="6"/>
      <c r="H722" s="7"/>
      <c r="I722" s="7"/>
      <c r="J722" s="7"/>
      <c r="K722" s="7"/>
      <c r="L722" s="2"/>
      <c r="M722" s="2"/>
      <c r="N722" s="2"/>
      <c r="O722" s="2"/>
      <c r="P722" s="2"/>
      <c r="Q722" s="2"/>
      <c r="R722" s="9"/>
      <c r="S722" s="4"/>
      <c r="T722" s="9"/>
      <c r="U722" s="9"/>
      <c r="V722" s="9"/>
      <c r="W722" s="9"/>
      <c r="X722" s="4"/>
      <c r="Y722" s="6"/>
      <c r="Z722" s="9"/>
      <c r="AA722" s="4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10"/>
      <c r="AU722" s="9"/>
    </row>
    <row r="723" spans="1:47">
      <c r="A723" s="4"/>
      <c r="B723" s="4"/>
      <c r="C723" s="5"/>
      <c r="D723" s="5"/>
      <c r="E723" s="6"/>
      <c r="F723" s="4"/>
      <c r="G723" s="6"/>
      <c r="H723" s="7"/>
      <c r="I723" s="7"/>
      <c r="J723" s="7"/>
      <c r="K723" s="7"/>
      <c r="L723" s="2"/>
      <c r="M723" s="2"/>
      <c r="N723" s="2"/>
      <c r="O723" s="2"/>
      <c r="P723" s="2"/>
      <c r="Q723" s="2"/>
      <c r="R723" s="9"/>
      <c r="S723" s="4"/>
      <c r="T723" s="9"/>
      <c r="U723" s="9"/>
      <c r="V723" s="9"/>
      <c r="W723" s="9"/>
      <c r="X723" s="4"/>
      <c r="Y723" s="6"/>
      <c r="Z723" s="9"/>
      <c r="AA723" s="4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10"/>
      <c r="AU723" s="9"/>
    </row>
    <row r="724" spans="1:47">
      <c r="A724" s="4"/>
      <c r="B724" s="4"/>
      <c r="C724" s="5"/>
      <c r="D724" s="5"/>
      <c r="E724" s="6"/>
      <c r="F724" s="4"/>
      <c r="G724" s="6"/>
      <c r="H724" s="7"/>
      <c r="I724" s="7"/>
      <c r="J724" s="7"/>
      <c r="K724" s="7"/>
      <c r="L724" s="2"/>
      <c r="M724" s="2"/>
      <c r="N724" s="2"/>
      <c r="O724" s="2"/>
      <c r="P724" s="2"/>
      <c r="Q724" s="2"/>
      <c r="R724" s="9"/>
      <c r="S724" s="4"/>
      <c r="T724" s="9"/>
      <c r="U724" s="9"/>
      <c r="V724" s="9"/>
      <c r="W724" s="9"/>
      <c r="X724" s="4"/>
      <c r="Y724" s="6"/>
      <c r="Z724" s="9"/>
      <c r="AA724" s="4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10"/>
      <c r="AU724" s="9"/>
    </row>
    <row r="725" spans="1:47">
      <c r="A725" s="4"/>
      <c r="B725" s="4"/>
      <c r="C725" s="5"/>
      <c r="D725" s="5"/>
      <c r="E725" s="6"/>
      <c r="F725" s="4"/>
      <c r="G725" s="6"/>
      <c r="H725" s="7"/>
      <c r="I725" s="7"/>
      <c r="J725" s="7"/>
      <c r="K725" s="7"/>
      <c r="L725" s="2"/>
      <c r="M725" s="2"/>
      <c r="N725" s="2"/>
      <c r="O725" s="2"/>
      <c r="P725" s="2"/>
      <c r="Q725" s="2"/>
      <c r="R725" s="9"/>
      <c r="S725" s="4"/>
      <c r="T725" s="9"/>
      <c r="U725" s="9"/>
      <c r="V725" s="9"/>
      <c r="W725" s="9"/>
      <c r="X725" s="4"/>
      <c r="Y725" s="6"/>
      <c r="Z725" s="9"/>
      <c r="AA725" s="4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10"/>
      <c r="AU725" s="9"/>
    </row>
    <row r="726" spans="1:47">
      <c r="A726" s="4"/>
      <c r="B726" s="4"/>
      <c r="C726" s="5"/>
      <c r="D726" s="5"/>
      <c r="E726" s="6"/>
      <c r="F726" s="4"/>
      <c r="G726" s="6"/>
      <c r="H726" s="7"/>
      <c r="I726" s="7"/>
      <c r="J726" s="7"/>
      <c r="K726" s="7"/>
      <c r="L726" s="2"/>
      <c r="M726" s="2"/>
      <c r="N726" s="2"/>
      <c r="O726" s="2"/>
      <c r="P726" s="2"/>
      <c r="Q726" s="2"/>
      <c r="R726" s="9"/>
      <c r="S726" s="4"/>
      <c r="T726" s="9"/>
      <c r="U726" s="9"/>
      <c r="V726" s="9"/>
      <c r="W726" s="9"/>
      <c r="X726" s="4"/>
      <c r="Y726" s="6"/>
      <c r="Z726" s="9"/>
      <c r="AA726" s="4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10"/>
      <c r="AU726" s="9"/>
    </row>
    <row r="727" spans="1:47">
      <c r="A727" s="4"/>
      <c r="B727" s="4"/>
      <c r="C727" s="5"/>
      <c r="D727" s="5"/>
      <c r="E727" s="6"/>
      <c r="F727" s="4"/>
      <c r="G727" s="6"/>
      <c r="H727" s="7"/>
      <c r="I727" s="7"/>
      <c r="J727" s="7"/>
      <c r="K727" s="7"/>
      <c r="L727" s="2"/>
      <c r="M727" s="2"/>
      <c r="N727" s="2"/>
      <c r="O727" s="2"/>
      <c r="P727" s="2"/>
      <c r="Q727" s="2"/>
      <c r="R727" s="9"/>
      <c r="S727" s="4"/>
      <c r="T727" s="9"/>
      <c r="U727" s="9"/>
      <c r="V727" s="9"/>
      <c r="W727" s="9"/>
      <c r="X727" s="4"/>
      <c r="Y727" s="6"/>
      <c r="Z727" s="9"/>
      <c r="AA727" s="4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10"/>
      <c r="AU727" s="9"/>
    </row>
    <row r="728" spans="1:47">
      <c r="A728" s="4"/>
      <c r="B728" s="4"/>
      <c r="C728" s="5"/>
      <c r="D728" s="5"/>
      <c r="E728" s="6"/>
      <c r="F728" s="4"/>
      <c r="G728" s="6"/>
      <c r="H728" s="7"/>
      <c r="I728" s="7"/>
      <c r="J728" s="7"/>
      <c r="K728" s="7"/>
      <c r="L728" s="2"/>
      <c r="M728" s="2"/>
      <c r="N728" s="2"/>
      <c r="O728" s="2"/>
      <c r="P728" s="2"/>
      <c r="Q728" s="2"/>
      <c r="R728" s="9"/>
      <c r="S728" s="4"/>
      <c r="T728" s="9"/>
      <c r="U728" s="9"/>
      <c r="V728" s="9"/>
      <c r="W728" s="9"/>
      <c r="X728" s="4"/>
      <c r="Y728" s="6"/>
      <c r="Z728" s="9"/>
      <c r="AA728" s="4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10"/>
      <c r="AU728" s="9"/>
    </row>
    <row r="729" spans="1:47">
      <c r="A729" s="4"/>
      <c r="B729" s="4"/>
      <c r="C729" s="5"/>
      <c r="D729" s="5"/>
      <c r="E729" s="6"/>
      <c r="F729" s="4"/>
      <c r="G729" s="6"/>
      <c r="H729" s="7"/>
      <c r="I729" s="7"/>
      <c r="J729" s="7"/>
      <c r="K729" s="7"/>
      <c r="L729" s="2"/>
      <c r="M729" s="2"/>
      <c r="N729" s="2"/>
      <c r="O729" s="2"/>
      <c r="P729" s="2"/>
      <c r="Q729" s="2"/>
      <c r="R729" s="9"/>
      <c r="S729" s="4"/>
      <c r="T729" s="9"/>
      <c r="U729" s="9"/>
      <c r="V729" s="9"/>
      <c r="W729" s="9"/>
      <c r="X729" s="4"/>
      <c r="Y729" s="6"/>
      <c r="Z729" s="9"/>
      <c r="AA729" s="4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10"/>
      <c r="AU729" s="9"/>
    </row>
    <row r="730" spans="1:47">
      <c r="A730" s="4"/>
      <c r="B730" s="4"/>
      <c r="C730" s="5"/>
      <c r="D730" s="5"/>
      <c r="E730" s="6"/>
      <c r="F730" s="4"/>
      <c r="G730" s="6"/>
      <c r="H730" s="7"/>
      <c r="I730" s="7"/>
      <c r="J730" s="7"/>
      <c r="K730" s="7"/>
      <c r="L730" s="2"/>
      <c r="M730" s="2"/>
      <c r="N730" s="2"/>
      <c r="O730" s="2"/>
      <c r="P730" s="2"/>
      <c r="Q730" s="2"/>
      <c r="R730" s="9"/>
      <c r="S730" s="4"/>
      <c r="T730" s="9"/>
      <c r="U730" s="9"/>
      <c r="V730" s="9"/>
      <c r="W730" s="9"/>
      <c r="X730" s="4"/>
      <c r="Y730" s="6"/>
      <c r="Z730" s="9"/>
      <c r="AA730" s="4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10"/>
      <c r="AU730" s="9"/>
    </row>
    <row r="731" spans="1:47">
      <c r="A731" s="4"/>
      <c r="B731" s="4"/>
      <c r="C731" s="5"/>
      <c r="D731" s="5"/>
      <c r="E731" s="6"/>
      <c r="F731" s="4"/>
      <c r="G731" s="6"/>
      <c r="H731" s="7"/>
      <c r="I731" s="7"/>
      <c r="J731" s="7"/>
      <c r="K731" s="7"/>
      <c r="L731" s="2"/>
      <c r="M731" s="2"/>
      <c r="N731" s="2"/>
      <c r="O731" s="2"/>
      <c r="P731" s="2"/>
      <c r="Q731" s="2"/>
      <c r="R731" s="9"/>
      <c r="S731" s="4"/>
      <c r="T731" s="9"/>
      <c r="U731" s="9"/>
      <c r="V731" s="9"/>
      <c r="W731" s="9"/>
      <c r="X731" s="4"/>
      <c r="Y731" s="6"/>
      <c r="Z731" s="9"/>
      <c r="AA731" s="4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10"/>
      <c r="AU731" s="9"/>
    </row>
    <row r="732" spans="1:47">
      <c r="A732" s="4"/>
      <c r="B732" s="4"/>
      <c r="C732" s="5"/>
      <c r="D732" s="5"/>
      <c r="E732" s="6"/>
      <c r="F732" s="4"/>
      <c r="G732" s="6"/>
      <c r="H732" s="7"/>
      <c r="I732" s="7"/>
      <c r="J732" s="7"/>
      <c r="K732" s="7"/>
      <c r="L732" s="2"/>
      <c r="M732" s="2"/>
      <c r="N732" s="2"/>
      <c r="O732" s="2"/>
      <c r="P732" s="2"/>
      <c r="Q732" s="2"/>
      <c r="R732" s="9"/>
      <c r="S732" s="4"/>
      <c r="T732" s="9"/>
      <c r="U732" s="9"/>
      <c r="V732" s="9"/>
      <c r="W732" s="9"/>
      <c r="X732" s="4"/>
      <c r="Y732" s="6"/>
      <c r="Z732" s="9"/>
      <c r="AA732" s="4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10"/>
      <c r="AU732" s="9"/>
    </row>
    <row r="733" spans="1:47">
      <c r="A733" s="4"/>
      <c r="B733" s="4"/>
      <c r="C733" s="5"/>
      <c r="D733" s="5"/>
      <c r="E733" s="6"/>
      <c r="F733" s="4"/>
      <c r="G733" s="6"/>
      <c r="H733" s="7"/>
      <c r="I733" s="7"/>
      <c r="J733" s="7"/>
      <c r="K733" s="7"/>
      <c r="L733" s="2"/>
      <c r="M733" s="2"/>
      <c r="N733" s="2"/>
      <c r="O733" s="2"/>
      <c r="P733" s="2"/>
      <c r="Q733" s="2"/>
      <c r="R733" s="9"/>
      <c r="S733" s="4"/>
      <c r="T733" s="9"/>
      <c r="U733" s="9"/>
      <c r="V733" s="9"/>
      <c r="W733" s="9"/>
      <c r="X733" s="4"/>
      <c r="Y733" s="6"/>
      <c r="Z733" s="9"/>
      <c r="AA733" s="4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10"/>
      <c r="AU733" s="9"/>
    </row>
    <row r="734" spans="1:47">
      <c r="A734" s="4"/>
      <c r="B734" s="4"/>
      <c r="C734" s="5"/>
      <c r="D734" s="5"/>
      <c r="E734" s="6"/>
      <c r="F734" s="4"/>
      <c r="G734" s="6"/>
      <c r="H734" s="7"/>
      <c r="I734" s="7"/>
      <c r="J734" s="7"/>
      <c r="K734" s="7"/>
      <c r="L734" s="2"/>
      <c r="M734" s="2"/>
      <c r="N734" s="2"/>
      <c r="O734" s="2"/>
      <c r="P734" s="2"/>
      <c r="Q734" s="2"/>
      <c r="R734" s="9"/>
      <c r="S734" s="4"/>
      <c r="T734" s="9"/>
      <c r="U734" s="9"/>
      <c r="V734" s="9"/>
      <c r="W734" s="9"/>
      <c r="X734" s="4"/>
      <c r="Y734" s="6"/>
      <c r="Z734" s="9"/>
      <c r="AA734" s="4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10"/>
      <c r="AU734" s="9"/>
    </row>
    <row r="735" spans="1:47">
      <c r="A735" s="4"/>
      <c r="B735" s="4"/>
      <c r="C735" s="5"/>
      <c r="D735" s="5"/>
      <c r="E735" s="6"/>
      <c r="F735" s="4"/>
      <c r="G735" s="6"/>
      <c r="H735" s="7"/>
      <c r="I735" s="7"/>
      <c r="J735" s="7"/>
      <c r="K735" s="7"/>
      <c r="L735" s="2"/>
      <c r="M735" s="2"/>
      <c r="N735" s="2"/>
      <c r="O735" s="2"/>
      <c r="P735" s="2"/>
      <c r="Q735" s="2"/>
      <c r="R735" s="9"/>
      <c r="S735" s="4"/>
      <c r="T735" s="9"/>
      <c r="U735" s="9"/>
      <c r="V735" s="9"/>
      <c r="W735" s="9"/>
      <c r="X735" s="4"/>
      <c r="Y735" s="6"/>
      <c r="Z735" s="9"/>
      <c r="AA735" s="4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10"/>
      <c r="AU735" s="9"/>
    </row>
    <row r="736" spans="1:47">
      <c r="A736" s="4"/>
      <c r="B736" s="4"/>
      <c r="C736" s="5"/>
      <c r="D736" s="5"/>
      <c r="E736" s="6"/>
      <c r="F736" s="4"/>
      <c r="G736" s="6"/>
      <c r="H736" s="7"/>
      <c r="I736" s="7"/>
      <c r="J736" s="7"/>
      <c r="K736" s="7"/>
      <c r="L736" s="2"/>
      <c r="M736" s="2"/>
      <c r="N736" s="2"/>
      <c r="O736" s="2"/>
      <c r="P736" s="2"/>
      <c r="Q736" s="2"/>
      <c r="R736" s="9"/>
      <c r="S736" s="4"/>
      <c r="T736" s="9"/>
      <c r="U736" s="9"/>
      <c r="V736" s="9"/>
      <c r="W736" s="9"/>
      <c r="X736" s="4"/>
      <c r="Y736" s="6"/>
      <c r="Z736" s="9"/>
      <c r="AA736" s="4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10"/>
      <c r="AU736" s="9"/>
    </row>
    <row r="737" spans="1:47">
      <c r="A737" s="4"/>
      <c r="B737" s="4"/>
      <c r="C737" s="5"/>
      <c r="D737" s="5"/>
      <c r="E737" s="6"/>
      <c r="F737" s="4"/>
      <c r="G737" s="6"/>
      <c r="H737" s="7"/>
      <c r="I737" s="7"/>
      <c r="J737" s="7"/>
      <c r="K737" s="7"/>
      <c r="L737" s="2"/>
      <c r="M737" s="2"/>
      <c r="N737" s="2"/>
      <c r="O737" s="2"/>
      <c r="P737" s="2"/>
      <c r="Q737" s="2"/>
      <c r="R737" s="9"/>
      <c r="S737" s="4"/>
      <c r="T737" s="9"/>
      <c r="U737" s="9"/>
      <c r="V737" s="9"/>
      <c r="W737" s="9"/>
      <c r="X737" s="4"/>
      <c r="Y737" s="6"/>
      <c r="Z737" s="9"/>
      <c r="AA737" s="4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10"/>
      <c r="AU737" s="9"/>
    </row>
    <row r="738" spans="1:47">
      <c r="A738" s="4"/>
      <c r="B738" s="4"/>
      <c r="C738" s="5"/>
      <c r="D738" s="5"/>
      <c r="E738" s="6"/>
      <c r="F738" s="4"/>
      <c r="G738" s="6"/>
      <c r="H738" s="7"/>
      <c r="I738" s="7"/>
      <c r="J738" s="7"/>
      <c r="K738" s="7"/>
      <c r="L738" s="2"/>
      <c r="M738" s="2"/>
      <c r="N738" s="2"/>
      <c r="O738" s="2"/>
      <c r="P738" s="2"/>
      <c r="Q738" s="2"/>
      <c r="R738" s="9"/>
      <c r="S738" s="4"/>
      <c r="T738" s="9"/>
      <c r="U738" s="9"/>
      <c r="V738" s="9"/>
      <c r="W738" s="9"/>
      <c r="X738" s="4"/>
      <c r="Y738" s="6"/>
      <c r="Z738" s="9"/>
      <c r="AA738" s="4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10"/>
      <c r="AU738" s="9"/>
    </row>
    <row r="739" spans="1:47">
      <c r="A739" s="4"/>
      <c r="B739" s="4"/>
      <c r="C739" s="5"/>
      <c r="D739" s="5"/>
      <c r="E739" s="6"/>
      <c r="F739" s="4"/>
      <c r="G739" s="6"/>
      <c r="H739" s="7"/>
      <c r="I739" s="7"/>
      <c r="J739" s="7"/>
      <c r="K739" s="7"/>
      <c r="L739" s="2"/>
      <c r="M739" s="2"/>
      <c r="N739" s="2"/>
      <c r="O739" s="2"/>
      <c r="P739" s="2"/>
      <c r="Q739" s="2"/>
      <c r="R739" s="9"/>
      <c r="S739" s="4"/>
      <c r="T739" s="9"/>
      <c r="U739" s="9"/>
      <c r="V739" s="9"/>
      <c r="W739" s="9"/>
      <c r="X739" s="4"/>
      <c r="Y739" s="6"/>
      <c r="Z739" s="9"/>
      <c r="AA739" s="4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10"/>
      <c r="AU739" s="9"/>
    </row>
    <row r="740" spans="1:47">
      <c r="A740" s="4"/>
      <c r="B740" s="4"/>
      <c r="C740" s="5"/>
      <c r="D740" s="5"/>
      <c r="E740" s="6"/>
      <c r="F740" s="4"/>
      <c r="G740" s="6"/>
      <c r="H740" s="7"/>
      <c r="I740" s="7"/>
      <c r="J740" s="7"/>
      <c r="K740" s="7"/>
      <c r="L740" s="2"/>
      <c r="M740" s="2"/>
      <c r="N740" s="2"/>
      <c r="O740" s="2"/>
      <c r="P740" s="2"/>
      <c r="Q740" s="2"/>
      <c r="R740" s="9"/>
      <c r="S740" s="4"/>
      <c r="T740" s="9"/>
      <c r="U740" s="9"/>
      <c r="V740" s="9"/>
      <c r="W740" s="9"/>
      <c r="X740" s="4"/>
      <c r="Y740" s="6"/>
      <c r="Z740" s="9"/>
      <c r="AA740" s="4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10"/>
      <c r="AU740" s="9"/>
    </row>
    <row r="741" spans="1:47">
      <c r="A741" s="4"/>
      <c r="B741" s="4"/>
      <c r="C741" s="5"/>
      <c r="D741" s="5"/>
      <c r="E741" s="6"/>
      <c r="F741" s="4"/>
      <c r="G741" s="6"/>
      <c r="H741" s="7"/>
      <c r="I741" s="7"/>
      <c r="J741" s="7"/>
      <c r="K741" s="7"/>
      <c r="L741" s="2"/>
      <c r="M741" s="2"/>
      <c r="N741" s="2"/>
      <c r="O741" s="2"/>
      <c r="P741" s="2"/>
      <c r="Q741" s="2"/>
      <c r="R741" s="9"/>
      <c r="S741" s="4"/>
      <c r="T741" s="9"/>
      <c r="U741" s="9"/>
      <c r="V741" s="9"/>
      <c r="W741" s="9"/>
      <c r="X741" s="4"/>
      <c r="Y741" s="6"/>
      <c r="Z741" s="9"/>
      <c r="AA741" s="4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10"/>
      <c r="AU741" s="9"/>
    </row>
    <row r="742" spans="1:47">
      <c r="A742" s="4"/>
      <c r="B742" s="4"/>
      <c r="C742" s="5"/>
      <c r="D742" s="5"/>
      <c r="E742" s="6"/>
      <c r="F742" s="4"/>
      <c r="G742" s="6"/>
      <c r="H742" s="7"/>
      <c r="I742" s="7"/>
      <c r="J742" s="7"/>
      <c r="K742" s="7"/>
      <c r="L742" s="2"/>
      <c r="M742" s="2"/>
      <c r="N742" s="2"/>
      <c r="O742" s="2"/>
      <c r="P742" s="2"/>
      <c r="Q742" s="2"/>
      <c r="R742" s="9"/>
      <c r="S742" s="4"/>
      <c r="T742" s="9"/>
      <c r="U742" s="9"/>
      <c r="V742" s="9"/>
      <c r="W742" s="9"/>
      <c r="X742" s="4"/>
      <c r="Y742" s="6"/>
      <c r="Z742" s="9"/>
      <c r="AA742" s="4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10"/>
      <c r="AU742" s="9"/>
    </row>
    <row r="743" spans="1:47">
      <c r="A743" s="4"/>
      <c r="B743" s="4"/>
      <c r="C743" s="5"/>
      <c r="D743" s="5"/>
      <c r="E743" s="6"/>
      <c r="F743" s="4"/>
      <c r="G743" s="6"/>
      <c r="H743" s="7"/>
      <c r="I743" s="7"/>
      <c r="J743" s="7"/>
      <c r="K743" s="7"/>
      <c r="L743" s="7"/>
      <c r="M743" s="2"/>
      <c r="N743" s="2"/>
      <c r="O743" s="2"/>
      <c r="P743" s="2"/>
      <c r="Q743" s="2"/>
      <c r="R743" s="9"/>
      <c r="S743" s="4"/>
      <c r="T743" s="9"/>
      <c r="U743" s="9"/>
      <c r="V743" s="9"/>
      <c r="W743" s="9"/>
      <c r="X743" s="4"/>
      <c r="Y743" s="6"/>
      <c r="Z743" s="9"/>
      <c r="AA743" s="4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10"/>
      <c r="AU743" s="9"/>
    </row>
    <row r="744" spans="1:47">
      <c r="A744" s="4"/>
      <c r="B744" s="4"/>
      <c r="C744" s="5"/>
      <c r="D744" s="5"/>
      <c r="E744" s="6"/>
      <c r="F744" s="4"/>
      <c r="G744" s="6"/>
      <c r="H744" s="7"/>
      <c r="I744" s="7"/>
      <c r="J744" s="7"/>
      <c r="K744" s="7"/>
      <c r="L744" s="7"/>
      <c r="M744" s="2"/>
      <c r="N744" s="2"/>
      <c r="O744" s="2"/>
      <c r="P744" s="2"/>
      <c r="Q744" s="2"/>
      <c r="R744" s="9"/>
      <c r="S744" s="4"/>
      <c r="T744" s="9"/>
      <c r="U744" s="9"/>
      <c r="V744" s="9"/>
      <c r="W744" s="9"/>
      <c r="X744" s="4"/>
      <c r="Y744" s="6"/>
      <c r="Z744" s="9"/>
      <c r="AA744" s="4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10"/>
      <c r="AU744" s="9"/>
    </row>
    <row r="745" spans="1:47">
      <c r="A745" s="4"/>
      <c r="B745" s="4"/>
      <c r="C745" s="5"/>
      <c r="D745" s="5"/>
      <c r="E745" s="6"/>
      <c r="F745" s="4"/>
      <c r="G745" s="6"/>
      <c r="H745" s="7"/>
      <c r="I745" s="7"/>
      <c r="J745" s="7"/>
      <c r="K745" s="7"/>
      <c r="L745" s="7"/>
      <c r="M745" s="2"/>
      <c r="N745" s="2"/>
      <c r="O745" s="2"/>
      <c r="P745" s="2"/>
      <c r="Q745" s="2"/>
      <c r="R745" s="9"/>
      <c r="S745" s="4"/>
      <c r="T745" s="9"/>
      <c r="U745" s="9"/>
      <c r="V745" s="9"/>
      <c r="W745" s="9"/>
      <c r="X745" s="4"/>
      <c r="Y745" s="6"/>
      <c r="Z745" s="9"/>
      <c r="AA745" s="4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10"/>
      <c r="AU745" s="9"/>
    </row>
    <row r="746" spans="1:47">
      <c r="A746" s="4"/>
      <c r="B746" s="4"/>
      <c r="C746" s="5"/>
      <c r="D746" s="5"/>
      <c r="E746" s="6"/>
      <c r="F746" s="4"/>
      <c r="G746" s="6"/>
      <c r="H746" s="7"/>
      <c r="I746" s="7"/>
      <c r="J746" s="7"/>
      <c r="K746" s="7"/>
      <c r="L746" s="7"/>
      <c r="M746" s="2"/>
      <c r="N746" s="2"/>
      <c r="O746" s="2"/>
      <c r="P746" s="2"/>
      <c r="Q746" s="2"/>
      <c r="R746" s="9"/>
      <c r="S746" s="4"/>
      <c r="T746" s="9"/>
      <c r="U746" s="9"/>
      <c r="V746" s="9"/>
      <c r="W746" s="9"/>
      <c r="X746" s="4"/>
      <c r="Y746" s="6"/>
      <c r="Z746" s="9"/>
      <c r="AA746" s="4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10"/>
      <c r="AU746" s="9"/>
    </row>
    <row r="747" spans="1:47">
      <c r="A747" s="4"/>
      <c r="B747" s="4"/>
      <c r="C747" s="5"/>
      <c r="D747" s="5"/>
      <c r="E747" s="6"/>
      <c r="F747" s="4"/>
      <c r="G747" s="6"/>
      <c r="H747" s="7"/>
      <c r="I747" s="7"/>
      <c r="J747" s="7"/>
      <c r="K747" s="7"/>
      <c r="L747" s="7"/>
      <c r="M747" s="2"/>
      <c r="N747" s="2"/>
      <c r="O747" s="2"/>
      <c r="P747" s="2"/>
      <c r="Q747" s="2"/>
      <c r="R747" s="9"/>
      <c r="S747" s="4"/>
      <c r="T747" s="9"/>
      <c r="U747" s="9"/>
      <c r="V747" s="9"/>
      <c r="W747" s="9"/>
      <c r="X747" s="4"/>
      <c r="Y747" s="6"/>
      <c r="Z747" s="9"/>
      <c r="AA747" s="4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10"/>
      <c r="AU747" s="9"/>
    </row>
    <row r="748" spans="1:47">
      <c r="A748" s="4"/>
      <c r="B748" s="4"/>
      <c r="C748" s="5"/>
      <c r="D748" s="5"/>
      <c r="E748" s="6"/>
      <c r="F748" s="4"/>
      <c r="G748" s="6"/>
      <c r="H748" s="7"/>
      <c r="I748" s="7"/>
      <c r="J748" s="7"/>
      <c r="K748" s="7"/>
      <c r="L748" s="7"/>
      <c r="M748" s="2"/>
      <c r="N748" s="2"/>
      <c r="O748" s="2"/>
      <c r="P748" s="2"/>
      <c r="Q748" s="2"/>
      <c r="R748" s="9"/>
      <c r="S748" s="4"/>
      <c r="T748" s="9"/>
      <c r="U748" s="9"/>
      <c r="V748" s="9"/>
      <c r="W748" s="9"/>
      <c r="X748" s="4"/>
      <c r="Y748" s="6"/>
      <c r="Z748" s="9"/>
      <c r="AA748" s="4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10"/>
      <c r="AU748" s="9"/>
    </row>
    <row r="749" spans="1:47">
      <c r="A749" s="4"/>
      <c r="B749" s="4"/>
      <c r="C749" s="5"/>
      <c r="D749" s="5"/>
      <c r="E749" s="6"/>
      <c r="F749" s="4"/>
      <c r="G749" s="6"/>
      <c r="H749" s="7"/>
      <c r="I749" s="7"/>
      <c r="J749" s="7"/>
      <c r="K749" s="7"/>
      <c r="L749" s="7"/>
      <c r="M749" s="2"/>
      <c r="N749" s="2"/>
      <c r="O749" s="2"/>
      <c r="P749" s="2"/>
      <c r="Q749" s="2"/>
      <c r="R749" s="9"/>
      <c r="S749" s="4"/>
      <c r="T749" s="9"/>
      <c r="U749" s="9"/>
      <c r="V749" s="9"/>
      <c r="W749" s="9"/>
      <c r="X749" s="4"/>
      <c r="Y749" s="6"/>
      <c r="Z749" s="9"/>
      <c r="AA749" s="4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10"/>
      <c r="AU749" s="9"/>
    </row>
    <row r="750" spans="1:47">
      <c r="A750" s="4"/>
      <c r="B750" s="4"/>
      <c r="C750" s="5"/>
      <c r="D750" s="5"/>
      <c r="E750" s="6"/>
      <c r="F750" s="4"/>
      <c r="G750" s="6"/>
      <c r="H750" s="7"/>
      <c r="I750" s="7"/>
      <c r="J750" s="7"/>
      <c r="K750" s="7"/>
      <c r="L750" s="7"/>
      <c r="M750" s="2"/>
      <c r="N750" s="2"/>
      <c r="O750" s="2"/>
      <c r="P750" s="2"/>
      <c r="Q750" s="2"/>
      <c r="R750" s="9"/>
      <c r="S750" s="4"/>
      <c r="T750" s="9"/>
      <c r="U750" s="9"/>
      <c r="V750" s="9"/>
      <c r="W750" s="9"/>
      <c r="X750" s="4"/>
      <c r="Y750" s="6"/>
      <c r="Z750" s="9"/>
      <c r="AA750" s="4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10"/>
      <c r="AU750" s="9"/>
    </row>
    <row r="751" spans="1:47">
      <c r="A751" s="4"/>
      <c r="B751" s="4"/>
      <c r="C751" s="5"/>
      <c r="D751" s="5"/>
      <c r="E751" s="6"/>
      <c r="F751" s="4"/>
      <c r="G751" s="6"/>
      <c r="H751" s="7"/>
      <c r="I751" s="7"/>
      <c r="J751" s="7"/>
      <c r="K751" s="7"/>
      <c r="L751" s="7"/>
      <c r="M751" s="2"/>
      <c r="N751" s="2"/>
      <c r="O751" s="2"/>
      <c r="P751" s="2"/>
      <c r="Q751" s="2"/>
      <c r="R751" s="9"/>
      <c r="S751" s="4"/>
      <c r="T751" s="9"/>
      <c r="U751" s="9"/>
      <c r="V751" s="9"/>
      <c r="W751" s="9"/>
      <c r="X751" s="4"/>
      <c r="Y751" s="6"/>
      <c r="Z751" s="9"/>
      <c r="AA751" s="4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10"/>
      <c r="AU751" s="9"/>
    </row>
    <row r="752" spans="1:47">
      <c r="A752" s="4"/>
      <c r="B752" s="4"/>
      <c r="C752" s="5"/>
      <c r="D752" s="5"/>
      <c r="E752" s="6"/>
      <c r="F752" s="4"/>
      <c r="G752" s="6"/>
      <c r="H752" s="7"/>
      <c r="I752" s="7"/>
      <c r="J752" s="7"/>
      <c r="K752" s="7"/>
      <c r="L752" s="7"/>
      <c r="M752" s="2"/>
      <c r="N752" s="2"/>
      <c r="O752" s="2"/>
      <c r="P752" s="2"/>
      <c r="Q752" s="2"/>
      <c r="R752" s="9"/>
      <c r="S752" s="4"/>
      <c r="T752" s="9"/>
      <c r="U752" s="9"/>
      <c r="V752" s="9"/>
      <c r="W752" s="9"/>
      <c r="X752" s="4"/>
      <c r="Y752" s="6"/>
      <c r="Z752" s="9"/>
      <c r="AA752" s="4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10"/>
      <c r="AU752" s="9"/>
    </row>
    <row r="753" spans="1:47">
      <c r="A753" s="4"/>
      <c r="B753" s="4"/>
      <c r="C753" s="5"/>
      <c r="D753" s="5"/>
      <c r="E753" s="6"/>
      <c r="F753" s="4"/>
      <c r="G753" s="6"/>
      <c r="H753" s="7"/>
      <c r="I753" s="7"/>
      <c r="J753" s="7"/>
      <c r="K753" s="7"/>
      <c r="L753" s="7"/>
      <c r="M753" s="2"/>
      <c r="N753" s="2"/>
      <c r="O753" s="2"/>
      <c r="P753" s="2"/>
      <c r="Q753" s="2"/>
      <c r="R753" s="9"/>
      <c r="S753" s="4"/>
      <c r="T753" s="9"/>
      <c r="U753" s="9"/>
      <c r="V753" s="9"/>
      <c r="W753" s="9"/>
      <c r="X753" s="4"/>
      <c r="Y753" s="6"/>
      <c r="Z753" s="9"/>
      <c r="AA753" s="4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10"/>
      <c r="AU753" s="9"/>
    </row>
    <row r="754" spans="1:47">
      <c r="A754" s="4"/>
      <c r="B754" s="4"/>
      <c r="C754" s="5"/>
      <c r="D754" s="5"/>
      <c r="E754" s="6"/>
      <c r="F754" s="4"/>
      <c r="G754" s="6"/>
      <c r="H754" s="7"/>
      <c r="I754" s="7"/>
      <c r="J754" s="7"/>
      <c r="K754" s="7"/>
      <c r="L754" s="7"/>
      <c r="M754" s="2"/>
      <c r="N754" s="2"/>
      <c r="O754" s="2"/>
      <c r="P754" s="2"/>
      <c r="Q754" s="2"/>
      <c r="R754" s="9"/>
      <c r="S754" s="4"/>
      <c r="T754" s="9"/>
      <c r="U754" s="9"/>
      <c r="V754" s="9"/>
      <c r="W754" s="9"/>
      <c r="X754" s="4"/>
      <c r="Y754" s="6"/>
      <c r="Z754" s="9"/>
      <c r="AA754" s="4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10"/>
      <c r="AU754" s="9"/>
    </row>
    <row r="755" spans="1:47">
      <c r="A755" s="4"/>
      <c r="B755" s="4"/>
      <c r="C755" s="5"/>
      <c r="D755" s="5"/>
      <c r="E755" s="6"/>
      <c r="F755" s="4"/>
      <c r="G755" s="6"/>
      <c r="H755" s="7"/>
      <c r="I755" s="7"/>
      <c r="J755" s="7"/>
      <c r="K755" s="7"/>
      <c r="L755" s="2"/>
      <c r="M755" s="2"/>
      <c r="N755" s="2"/>
      <c r="O755" s="2"/>
      <c r="P755" s="2"/>
      <c r="Q755" s="2"/>
      <c r="R755" s="9"/>
      <c r="S755" s="4"/>
      <c r="T755" s="9"/>
      <c r="U755" s="9"/>
      <c r="V755" s="9"/>
      <c r="W755" s="9"/>
      <c r="X755" s="4"/>
      <c r="Y755" s="6"/>
      <c r="Z755" s="9"/>
      <c r="AA755" s="4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10"/>
      <c r="AU755" s="9"/>
    </row>
    <row r="756" spans="1:47">
      <c r="A756" s="4"/>
      <c r="B756" s="4"/>
      <c r="C756" s="5"/>
      <c r="D756" s="5"/>
      <c r="E756" s="6"/>
      <c r="F756" s="4"/>
      <c r="G756" s="6"/>
      <c r="H756" s="7"/>
      <c r="I756" s="7"/>
      <c r="J756" s="7"/>
      <c r="K756" s="7"/>
      <c r="L756" s="7"/>
      <c r="M756" s="7"/>
      <c r="N756" s="2"/>
      <c r="O756" s="2"/>
      <c r="P756" s="2"/>
      <c r="Q756" s="2"/>
      <c r="R756" s="9"/>
      <c r="S756" s="4"/>
      <c r="T756" s="9"/>
      <c r="U756" s="9"/>
      <c r="V756" s="9"/>
      <c r="W756" s="9"/>
      <c r="X756" s="4"/>
      <c r="Y756" s="6"/>
      <c r="Z756" s="9"/>
      <c r="AA756" s="4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10"/>
      <c r="AU756" s="9"/>
    </row>
    <row r="757" spans="1:47">
      <c r="A757" s="4"/>
      <c r="B757" s="4"/>
      <c r="C757" s="5"/>
      <c r="D757" s="5"/>
      <c r="E757" s="6"/>
      <c r="F757" s="4"/>
      <c r="G757" s="6"/>
      <c r="H757" s="7"/>
      <c r="I757" s="7"/>
      <c r="J757" s="7"/>
      <c r="K757" s="7"/>
      <c r="L757" s="7"/>
      <c r="M757" s="7"/>
      <c r="N757" s="2"/>
      <c r="O757" s="2"/>
      <c r="P757" s="2"/>
      <c r="Q757" s="2"/>
      <c r="R757" s="9"/>
      <c r="S757" s="4"/>
      <c r="T757" s="9"/>
      <c r="U757" s="9"/>
      <c r="V757" s="9"/>
      <c r="W757" s="9"/>
      <c r="X757" s="4"/>
      <c r="Y757" s="6"/>
      <c r="Z757" s="9"/>
      <c r="AA757" s="4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10"/>
      <c r="AU757" s="9"/>
    </row>
    <row r="758" spans="1:47">
      <c r="A758" s="4"/>
      <c r="B758" s="4"/>
      <c r="C758" s="5"/>
      <c r="D758" s="5"/>
      <c r="E758" s="6"/>
      <c r="F758" s="4"/>
      <c r="G758" s="6"/>
      <c r="H758" s="7"/>
      <c r="I758" s="7"/>
      <c r="J758" s="7"/>
      <c r="K758" s="7"/>
      <c r="L758" s="7"/>
      <c r="M758" s="7"/>
      <c r="N758" s="2"/>
      <c r="O758" s="2"/>
      <c r="P758" s="2"/>
      <c r="Q758" s="2"/>
      <c r="R758" s="9"/>
      <c r="S758" s="4"/>
      <c r="T758" s="9"/>
      <c r="U758" s="9"/>
      <c r="V758" s="9"/>
      <c r="W758" s="9"/>
      <c r="X758" s="4"/>
      <c r="Y758" s="6"/>
      <c r="Z758" s="9"/>
      <c r="AA758" s="4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10"/>
      <c r="AU758" s="9"/>
    </row>
    <row r="759" spans="1:47">
      <c r="A759" s="4"/>
      <c r="B759" s="4"/>
      <c r="C759" s="5"/>
      <c r="D759" s="5"/>
      <c r="E759" s="6"/>
      <c r="F759" s="4"/>
      <c r="G759" s="6"/>
      <c r="H759" s="7"/>
      <c r="I759" s="7"/>
      <c r="J759" s="7"/>
      <c r="K759" s="7"/>
      <c r="L759" s="7"/>
      <c r="M759" s="7"/>
      <c r="N759" s="2"/>
      <c r="O759" s="2"/>
      <c r="P759" s="2"/>
      <c r="Q759" s="2"/>
      <c r="R759" s="9"/>
      <c r="S759" s="4"/>
      <c r="T759" s="9"/>
      <c r="U759" s="9"/>
      <c r="V759" s="9"/>
      <c r="W759" s="9"/>
      <c r="X759" s="4"/>
      <c r="Y759" s="6"/>
      <c r="Z759" s="9"/>
      <c r="AA759" s="4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10"/>
      <c r="AU759" s="9"/>
    </row>
    <row r="760" spans="1:47">
      <c r="A760" s="4"/>
      <c r="B760" s="4"/>
      <c r="C760" s="5"/>
      <c r="D760" s="5"/>
      <c r="E760" s="6"/>
      <c r="F760" s="4"/>
      <c r="G760" s="6"/>
      <c r="H760" s="7"/>
      <c r="I760" s="7"/>
      <c r="J760" s="7"/>
      <c r="K760" s="7"/>
      <c r="L760" s="7"/>
      <c r="M760" s="7"/>
      <c r="N760" s="2"/>
      <c r="O760" s="2"/>
      <c r="P760" s="2"/>
      <c r="Q760" s="2"/>
      <c r="R760" s="9"/>
      <c r="S760" s="4"/>
      <c r="T760" s="9"/>
      <c r="U760" s="9"/>
      <c r="V760" s="9"/>
      <c r="W760" s="9"/>
      <c r="X760" s="4"/>
      <c r="Y760" s="6"/>
      <c r="Z760" s="9"/>
      <c r="AA760" s="4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10"/>
      <c r="AU760" s="9"/>
    </row>
    <row r="761" spans="1:47">
      <c r="A761" s="4"/>
      <c r="B761" s="4"/>
      <c r="C761" s="5"/>
      <c r="D761" s="5"/>
      <c r="E761" s="6"/>
      <c r="F761" s="4"/>
      <c r="G761" s="6"/>
      <c r="H761" s="7"/>
      <c r="I761" s="7"/>
      <c r="J761" s="7"/>
      <c r="K761" s="7"/>
      <c r="L761" s="7"/>
      <c r="M761" s="7"/>
      <c r="N761" s="2"/>
      <c r="O761" s="2"/>
      <c r="P761" s="2"/>
      <c r="Q761" s="2"/>
      <c r="R761" s="9"/>
      <c r="S761" s="4"/>
      <c r="T761" s="9"/>
      <c r="U761" s="9"/>
      <c r="V761" s="9"/>
      <c r="W761" s="9"/>
      <c r="X761" s="4"/>
      <c r="Y761" s="6"/>
      <c r="Z761" s="9"/>
      <c r="AA761" s="4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10"/>
      <c r="AU761" s="9"/>
    </row>
    <row r="762" spans="1:47">
      <c r="A762" s="4"/>
      <c r="B762" s="4"/>
      <c r="C762" s="5"/>
      <c r="D762" s="5"/>
      <c r="E762" s="6"/>
      <c r="F762" s="4"/>
      <c r="G762" s="6"/>
      <c r="H762" s="7"/>
      <c r="I762" s="7"/>
      <c r="J762" s="7"/>
      <c r="K762" s="7"/>
      <c r="L762" s="7"/>
      <c r="M762" s="7"/>
      <c r="N762" s="2"/>
      <c r="O762" s="2"/>
      <c r="P762" s="2"/>
      <c r="Q762" s="2"/>
      <c r="R762" s="9"/>
      <c r="S762" s="4"/>
      <c r="T762" s="9"/>
      <c r="U762" s="9"/>
      <c r="V762" s="9"/>
      <c r="W762" s="9"/>
      <c r="X762" s="4"/>
      <c r="Y762" s="6"/>
      <c r="Z762" s="9"/>
      <c r="AA762" s="4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10"/>
      <c r="AU762" s="9"/>
    </row>
    <row r="763" spans="1:47">
      <c r="A763" s="4"/>
      <c r="B763" s="4"/>
      <c r="C763" s="5"/>
      <c r="D763" s="5"/>
      <c r="E763" s="6"/>
      <c r="F763" s="4"/>
      <c r="G763" s="6"/>
      <c r="H763" s="7"/>
      <c r="I763" s="7"/>
      <c r="J763" s="7"/>
      <c r="K763" s="7"/>
      <c r="L763" s="7"/>
      <c r="M763" s="7"/>
      <c r="N763" s="2"/>
      <c r="O763" s="2"/>
      <c r="P763" s="2"/>
      <c r="Q763" s="2"/>
      <c r="R763" s="9"/>
      <c r="S763" s="4"/>
      <c r="T763" s="9"/>
      <c r="U763" s="9"/>
      <c r="V763" s="9"/>
      <c r="W763" s="9"/>
      <c r="X763" s="4"/>
      <c r="Y763" s="6"/>
      <c r="Z763" s="9"/>
      <c r="AA763" s="4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10"/>
      <c r="AU763" s="9"/>
    </row>
    <row r="764" spans="1:47">
      <c r="A764" s="4"/>
      <c r="B764" s="4"/>
      <c r="C764" s="5"/>
      <c r="D764" s="5"/>
      <c r="E764" s="6"/>
      <c r="F764" s="4"/>
      <c r="G764" s="6"/>
      <c r="H764" s="7"/>
      <c r="I764" s="7"/>
      <c r="J764" s="7"/>
      <c r="K764" s="7"/>
      <c r="L764" s="7"/>
      <c r="M764" s="7"/>
      <c r="N764" s="2"/>
      <c r="O764" s="2"/>
      <c r="P764" s="2"/>
      <c r="Q764" s="2"/>
      <c r="R764" s="9"/>
      <c r="S764" s="4"/>
      <c r="T764" s="9"/>
      <c r="U764" s="9"/>
      <c r="V764" s="9"/>
      <c r="W764" s="9"/>
      <c r="X764" s="4"/>
      <c r="Y764" s="6"/>
      <c r="Z764" s="9"/>
      <c r="AA764" s="4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10"/>
      <c r="AU764" s="9"/>
    </row>
    <row r="765" spans="1:47">
      <c r="A765" s="4"/>
      <c r="B765" s="4"/>
      <c r="C765" s="5"/>
      <c r="D765" s="5"/>
      <c r="E765" s="6"/>
      <c r="F765" s="4"/>
      <c r="G765" s="6"/>
      <c r="H765" s="7"/>
      <c r="I765" s="7"/>
      <c r="J765" s="7"/>
      <c r="K765" s="7"/>
      <c r="L765" s="7"/>
      <c r="M765" s="7"/>
      <c r="N765" s="2"/>
      <c r="O765" s="2"/>
      <c r="P765" s="2"/>
      <c r="Q765" s="2"/>
      <c r="R765" s="9"/>
      <c r="S765" s="4"/>
      <c r="T765" s="9"/>
      <c r="U765" s="9"/>
      <c r="V765" s="9"/>
      <c r="W765" s="9"/>
      <c r="X765" s="4"/>
      <c r="Y765" s="6"/>
      <c r="Z765" s="9"/>
      <c r="AA765" s="4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10"/>
      <c r="AU765" s="9"/>
    </row>
    <row r="766" spans="1:47">
      <c r="A766" s="4"/>
      <c r="B766" s="4"/>
      <c r="C766" s="5"/>
      <c r="D766" s="5"/>
      <c r="E766" s="6"/>
      <c r="F766" s="4"/>
      <c r="G766" s="6"/>
      <c r="H766" s="7"/>
      <c r="I766" s="7"/>
      <c r="J766" s="7"/>
      <c r="K766" s="7"/>
      <c r="L766" s="7"/>
      <c r="M766" s="7"/>
      <c r="N766" s="2"/>
      <c r="O766" s="2"/>
      <c r="P766" s="2"/>
      <c r="Q766" s="2"/>
      <c r="R766" s="9"/>
      <c r="S766" s="4"/>
      <c r="T766" s="9"/>
      <c r="U766" s="9"/>
      <c r="V766" s="9"/>
      <c r="W766" s="9"/>
      <c r="X766" s="4"/>
      <c r="Y766" s="6"/>
      <c r="Z766" s="9"/>
      <c r="AA766" s="4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10"/>
      <c r="AU766" s="9"/>
    </row>
    <row r="767" spans="1:47">
      <c r="A767" s="4"/>
      <c r="B767" s="4"/>
      <c r="C767" s="5"/>
      <c r="D767" s="5"/>
      <c r="E767" s="6"/>
      <c r="F767" s="4"/>
      <c r="G767" s="6"/>
      <c r="H767" s="7"/>
      <c r="I767" s="7"/>
      <c r="J767" s="7"/>
      <c r="K767" s="7"/>
      <c r="L767" s="7"/>
      <c r="M767" s="7"/>
      <c r="N767" s="2"/>
      <c r="O767" s="2"/>
      <c r="P767" s="2"/>
      <c r="Q767" s="2"/>
      <c r="R767" s="9"/>
      <c r="S767" s="4"/>
      <c r="T767" s="9"/>
      <c r="U767" s="9"/>
      <c r="V767" s="9"/>
      <c r="W767" s="9"/>
      <c r="X767" s="4"/>
      <c r="Y767" s="6"/>
      <c r="Z767" s="9"/>
      <c r="AA767" s="4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10"/>
      <c r="AU767" s="9"/>
    </row>
    <row r="768" spans="1:47">
      <c r="A768" s="4"/>
      <c r="B768" s="4"/>
      <c r="C768" s="5"/>
      <c r="D768" s="5"/>
      <c r="E768" s="6"/>
      <c r="F768" s="4"/>
      <c r="G768" s="6"/>
      <c r="H768" s="7"/>
      <c r="I768" s="7"/>
      <c r="J768" s="7"/>
      <c r="K768" s="7"/>
      <c r="L768" s="7"/>
      <c r="M768" s="7"/>
      <c r="N768" s="2"/>
      <c r="O768" s="2"/>
      <c r="P768" s="2"/>
      <c r="Q768" s="2"/>
      <c r="R768" s="9"/>
      <c r="S768" s="4"/>
      <c r="T768" s="9"/>
      <c r="U768" s="9"/>
      <c r="V768" s="9"/>
      <c r="W768" s="9"/>
      <c r="X768" s="4"/>
      <c r="Y768" s="6"/>
      <c r="Z768" s="9"/>
      <c r="AA768" s="4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10"/>
      <c r="AU768" s="9"/>
    </row>
    <row r="769" spans="1:47">
      <c r="A769" s="4"/>
      <c r="B769" s="4"/>
      <c r="C769" s="5"/>
      <c r="D769" s="5"/>
      <c r="E769" s="6"/>
      <c r="F769" s="4"/>
      <c r="G769" s="6"/>
      <c r="H769" s="7"/>
      <c r="I769" s="7"/>
      <c r="J769" s="7"/>
      <c r="K769" s="7"/>
      <c r="L769" s="7"/>
      <c r="M769" s="7"/>
      <c r="N769" s="2"/>
      <c r="O769" s="2"/>
      <c r="P769" s="2"/>
      <c r="Q769" s="2"/>
      <c r="R769" s="9"/>
      <c r="S769" s="4"/>
      <c r="T769" s="9"/>
      <c r="U769" s="9"/>
      <c r="V769" s="9"/>
      <c r="W769" s="9"/>
      <c r="X769" s="4"/>
      <c r="Y769" s="6"/>
      <c r="Z769" s="9"/>
      <c r="AA769" s="4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10"/>
      <c r="AU769" s="9"/>
    </row>
    <row r="770" spans="1:47">
      <c r="A770" s="4"/>
      <c r="B770" s="4"/>
      <c r="C770" s="5"/>
      <c r="D770" s="5"/>
      <c r="E770" s="6"/>
      <c r="F770" s="4"/>
      <c r="G770" s="6"/>
      <c r="H770" s="7"/>
      <c r="I770" s="7"/>
      <c r="J770" s="7"/>
      <c r="K770" s="7"/>
      <c r="L770" s="7"/>
      <c r="M770" s="7"/>
      <c r="N770" s="2"/>
      <c r="O770" s="2"/>
      <c r="P770" s="2"/>
      <c r="Q770" s="2"/>
      <c r="R770" s="9"/>
      <c r="S770" s="4"/>
      <c r="T770" s="9"/>
      <c r="U770" s="9"/>
      <c r="V770" s="9"/>
      <c r="W770" s="9"/>
      <c r="X770" s="4"/>
      <c r="Y770" s="6"/>
      <c r="Z770" s="9"/>
      <c r="AA770" s="4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10"/>
      <c r="AU770" s="9"/>
    </row>
    <row r="771" spans="1:47">
      <c r="A771" s="4"/>
      <c r="B771" s="4"/>
      <c r="C771" s="5"/>
      <c r="D771" s="5"/>
      <c r="E771" s="6"/>
      <c r="F771" s="4"/>
      <c r="G771" s="6"/>
      <c r="H771" s="7"/>
      <c r="I771" s="7"/>
      <c r="J771" s="7"/>
      <c r="K771" s="7"/>
      <c r="L771" s="7"/>
      <c r="M771" s="7"/>
      <c r="N771" s="2"/>
      <c r="O771" s="2"/>
      <c r="P771" s="2"/>
      <c r="Q771" s="2"/>
      <c r="R771" s="9"/>
      <c r="S771" s="4"/>
      <c r="T771" s="9"/>
      <c r="U771" s="9"/>
      <c r="V771" s="9"/>
      <c r="W771" s="9"/>
      <c r="X771" s="4"/>
      <c r="Y771" s="6"/>
      <c r="Z771" s="9"/>
      <c r="AA771" s="4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10"/>
      <c r="AU771" s="9"/>
    </row>
    <row r="772" spans="1:47">
      <c r="A772" s="4"/>
      <c r="B772" s="4"/>
      <c r="C772" s="5"/>
      <c r="D772" s="5"/>
      <c r="E772" s="6"/>
      <c r="F772" s="4"/>
      <c r="G772" s="6"/>
      <c r="H772" s="7"/>
      <c r="I772" s="7"/>
      <c r="J772" s="7"/>
      <c r="K772" s="7"/>
      <c r="L772" s="7"/>
      <c r="M772" s="7"/>
      <c r="N772" s="2"/>
      <c r="O772" s="2"/>
      <c r="P772" s="2"/>
      <c r="Q772" s="2"/>
      <c r="R772" s="9"/>
      <c r="S772" s="4"/>
      <c r="T772" s="9"/>
      <c r="U772" s="9"/>
      <c r="V772" s="9"/>
      <c r="W772" s="9"/>
      <c r="X772" s="4"/>
      <c r="Y772" s="6"/>
      <c r="Z772" s="9"/>
      <c r="AA772" s="4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10"/>
      <c r="AU772" s="9"/>
    </row>
    <row r="773" spans="1:47">
      <c r="A773" s="4"/>
      <c r="B773" s="4"/>
      <c r="C773" s="5"/>
      <c r="D773" s="5"/>
      <c r="E773" s="6"/>
      <c r="F773" s="4"/>
      <c r="G773" s="6"/>
      <c r="H773" s="7"/>
      <c r="I773" s="7"/>
      <c r="J773" s="7"/>
      <c r="K773" s="7"/>
      <c r="L773" s="7"/>
      <c r="M773" s="7"/>
      <c r="N773" s="2"/>
      <c r="O773" s="2"/>
      <c r="P773" s="2"/>
      <c r="Q773" s="2"/>
      <c r="R773" s="9"/>
      <c r="S773" s="4"/>
      <c r="T773" s="9"/>
      <c r="U773" s="9"/>
      <c r="V773" s="9"/>
      <c r="W773" s="9"/>
      <c r="X773" s="4"/>
      <c r="Y773" s="6"/>
      <c r="Z773" s="9"/>
      <c r="AA773" s="4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10"/>
      <c r="AU773" s="9"/>
    </row>
    <row r="774" spans="1:47">
      <c r="A774" s="4"/>
      <c r="B774" s="4"/>
      <c r="C774" s="5"/>
      <c r="D774" s="5"/>
      <c r="E774" s="6"/>
      <c r="F774" s="4"/>
      <c r="G774" s="6"/>
      <c r="H774" s="7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4"/>
      <c r="T774" s="9"/>
      <c r="U774" s="9"/>
      <c r="V774" s="9"/>
      <c r="W774" s="9"/>
      <c r="X774" s="4"/>
      <c r="Y774" s="6"/>
      <c r="Z774" s="4"/>
      <c r="AA774" s="23"/>
      <c r="AB774" s="24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10"/>
      <c r="AU774" s="9"/>
    </row>
    <row r="775" spans="1:47">
      <c r="A775" s="4"/>
      <c r="B775" s="4"/>
      <c r="C775" s="5"/>
      <c r="D775" s="5"/>
      <c r="E775" s="6"/>
      <c r="F775" s="4"/>
      <c r="G775" s="6"/>
      <c r="H775" s="7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4"/>
      <c r="T775" s="9"/>
      <c r="U775" s="9"/>
      <c r="V775" s="9"/>
      <c r="W775" s="9"/>
      <c r="X775" s="4"/>
      <c r="Y775" s="6"/>
      <c r="Z775" s="4"/>
      <c r="AA775" s="23"/>
      <c r="AB775" s="24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10"/>
      <c r="AU775" s="9"/>
    </row>
    <row r="776" spans="1:47">
      <c r="A776" s="4"/>
      <c r="B776" s="4"/>
      <c r="C776" s="5"/>
      <c r="D776" s="5"/>
      <c r="E776" s="6"/>
      <c r="F776" s="4"/>
      <c r="G776" s="6"/>
      <c r="H776" s="7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4"/>
      <c r="T776" s="9"/>
      <c r="U776" s="9"/>
      <c r="V776" s="9"/>
      <c r="W776" s="9"/>
      <c r="X776" s="4"/>
      <c r="Y776" s="6"/>
      <c r="Z776" s="4"/>
      <c r="AA776" s="23"/>
      <c r="AB776" s="24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10"/>
      <c r="AU776" s="9"/>
    </row>
    <row r="777" spans="1:47">
      <c r="A777" s="4"/>
      <c r="B777" s="4"/>
      <c r="C777" s="5"/>
      <c r="D777" s="5"/>
      <c r="E777" s="6"/>
      <c r="F777" s="4"/>
      <c r="G777" s="6"/>
      <c r="H777" s="7"/>
      <c r="I777" s="2"/>
      <c r="J777" s="2"/>
      <c r="K777" s="2"/>
      <c r="L777" s="2"/>
      <c r="M777" s="2"/>
      <c r="N777" s="2"/>
      <c r="O777" s="2"/>
      <c r="P777" s="2"/>
      <c r="Q777" s="2"/>
      <c r="R777" s="9"/>
      <c r="S777" s="4"/>
      <c r="T777" s="9"/>
      <c r="U777" s="9"/>
      <c r="V777" s="9"/>
      <c r="W777" s="9"/>
      <c r="X777" s="4"/>
      <c r="Y777" s="6"/>
      <c r="Z777" s="4"/>
      <c r="AA777" s="23"/>
      <c r="AB777" s="24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10"/>
      <c r="AU777" s="9"/>
    </row>
    <row r="778" spans="1:47">
      <c r="A778" s="4"/>
      <c r="B778" s="4"/>
      <c r="C778" s="5"/>
      <c r="D778" s="5"/>
      <c r="E778" s="6"/>
      <c r="F778" s="4"/>
      <c r="G778" s="6"/>
      <c r="H778" s="7"/>
      <c r="I778" s="7"/>
      <c r="J778" s="7"/>
      <c r="K778" s="7"/>
      <c r="L778" s="7"/>
      <c r="M778" s="2"/>
      <c r="N778" s="2"/>
      <c r="O778" s="2"/>
      <c r="P778" s="2"/>
      <c r="Q778" s="2"/>
      <c r="R778" s="9"/>
      <c r="S778" s="4"/>
      <c r="T778" s="9"/>
      <c r="U778" s="9"/>
      <c r="V778" s="9"/>
      <c r="W778" s="9"/>
      <c r="X778" s="4"/>
      <c r="Y778" s="6"/>
      <c r="Z778" s="9"/>
      <c r="AA778" s="4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10"/>
      <c r="AU778" s="9"/>
    </row>
    <row r="779" spans="1:47">
      <c r="A779" s="4"/>
      <c r="B779" s="4"/>
      <c r="C779" s="5"/>
      <c r="D779" s="5"/>
      <c r="E779" s="6"/>
      <c r="F779" s="4"/>
      <c r="G779" s="6"/>
      <c r="H779" s="7"/>
      <c r="I779" s="2"/>
      <c r="J779" s="2"/>
      <c r="K779" s="2"/>
      <c r="L779" s="2"/>
      <c r="M779" s="2"/>
      <c r="N779" s="2"/>
      <c r="O779" s="2"/>
      <c r="P779" s="2"/>
      <c r="Q779" s="2"/>
      <c r="R779" s="9"/>
      <c r="S779" s="4"/>
      <c r="T779" s="9"/>
      <c r="U779" s="9"/>
      <c r="V779" s="9"/>
      <c r="W779" s="9"/>
      <c r="X779" s="4"/>
      <c r="Y779" s="6"/>
      <c r="Z779" s="4"/>
      <c r="AA779" s="23"/>
      <c r="AB779" s="24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10"/>
      <c r="AU779" s="9"/>
    </row>
    <row r="780" spans="1:47">
      <c r="A780" s="4"/>
      <c r="B780" s="4"/>
      <c r="C780" s="5"/>
      <c r="D780" s="5"/>
      <c r="E780" s="6"/>
      <c r="F780" s="4"/>
      <c r="G780" s="6"/>
      <c r="H780" s="7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4"/>
      <c r="T780" s="9"/>
      <c r="U780" s="9"/>
      <c r="V780" s="9"/>
      <c r="W780" s="9"/>
      <c r="X780" s="4"/>
      <c r="Y780" s="6"/>
      <c r="Z780" s="4"/>
      <c r="AA780" s="23"/>
      <c r="AB780" s="24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10"/>
      <c r="AU780" s="9"/>
    </row>
    <row r="781" spans="1:47">
      <c r="A781" s="4"/>
      <c r="B781" s="4"/>
      <c r="C781" s="5"/>
      <c r="D781" s="5"/>
      <c r="E781" s="6"/>
      <c r="F781" s="4"/>
      <c r="G781" s="6"/>
      <c r="H781" s="7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4"/>
      <c r="T781" s="9"/>
      <c r="U781" s="9"/>
      <c r="V781" s="9"/>
      <c r="W781" s="9"/>
      <c r="X781" s="4"/>
      <c r="Y781" s="6"/>
      <c r="Z781" s="4"/>
      <c r="AA781" s="23"/>
      <c r="AB781" s="24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10"/>
      <c r="AU781" s="9"/>
    </row>
    <row r="782" spans="1:47">
      <c r="A782" s="4"/>
      <c r="B782" s="4"/>
      <c r="C782" s="5"/>
      <c r="D782" s="5"/>
      <c r="E782" s="6"/>
      <c r="F782" s="4"/>
      <c r="G782" s="6"/>
      <c r="H782" s="7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4"/>
      <c r="T782" s="9"/>
      <c r="U782" s="9"/>
      <c r="V782" s="9"/>
      <c r="W782" s="9"/>
      <c r="X782" s="4"/>
      <c r="Y782" s="6"/>
      <c r="Z782" s="4"/>
      <c r="AA782" s="23"/>
      <c r="AB782" s="24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10"/>
      <c r="AU782" s="9"/>
    </row>
    <row r="783" spans="1:47">
      <c r="A783" s="4"/>
      <c r="B783" s="4"/>
      <c r="C783" s="5"/>
      <c r="D783" s="5"/>
      <c r="E783" s="6"/>
      <c r="F783" s="4"/>
      <c r="G783" s="6"/>
      <c r="H783" s="7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4"/>
      <c r="T783" s="9"/>
      <c r="U783" s="9"/>
      <c r="V783" s="9"/>
      <c r="W783" s="9"/>
      <c r="X783" s="4"/>
      <c r="Y783" s="6"/>
      <c r="Z783" s="4"/>
      <c r="AA783" s="23"/>
      <c r="AB783" s="24"/>
      <c r="AC783" s="2"/>
      <c r="AD783" s="2"/>
      <c r="AE783" s="25"/>
      <c r="AF783" s="24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10"/>
      <c r="AU783" s="9"/>
    </row>
    <row r="784" spans="1:47">
      <c r="A784" s="4"/>
      <c r="B784" s="4"/>
      <c r="C784" s="5"/>
      <c r="D784" s="5"/>
      <c r="E784" s="6"/>
      <c r="F784" s="4"/>
      <c r="G784" s="6"/>
      <c r="H784" s="7"/>
      <c r="I784" s="2"/>
      <c r="J784" s="2"/>
      <c r="K784" s="2"/>
      <c r="L784" s="2"/>
      <c r="M784" s="2"/>
      <c r="N784" s="2"/>
      <c r="O784" s="2"/>
      <c r="P784" s="2"/>
      <c r="Q784" s="2"/>
      <c r="R784" s="9"/>
      <c r="S784" s="4"/>
      <c r="T784" s="9"/>
      <c r="U784" s="9"/>
      <c r="V784" s="9"/>
      <c r="W784" s="9"/>
      <c r="X784" s="4"/>
      <c r="Y784" s="6"/>
      <c r="Z784" s="4"/>
      <c r="AA784" s="23"/>
      <c r="AB784" s="24"/>
      <c r="AC784" s="2"/>
      <c r="AD784" s="2"/>
      <c r="AE784" s="25"/>
      <c r="AF784" s="24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10"/>
      <c r="AU784" s="9"/>
    </row>
    <row r="785" spans="1:47">
      <c r="A785" s="4"/>
      <c r="B785" s="4"/>
      <c r="C785" s="5"/>
      <c r="D785" s="5"/>
      <c r="E785" s="6"/>
      <c r="F785" s="4"/>
      <c r="G785" s="6"/>
      <c r="H785" s="7"/>
      <c r="I785" s="7"/>
      <c r="J785" s="7"/>
      <c r="K785" s="7"/>
      <c r="L785" s="7"/>
      <c r="M785" s="2"/>
      <c r="N785" s="2"/>
      <c r="O785" s="2"/>
      <c r="P785" s="2"/>
      <c r="Q785" s="2"/>
      <c r="R785" s="9"/>
      <c r="S785" s="4"/>
      <c r="T785" s="9"/>
      <c r="U785" s="9"/>
      <c r="V785" s="9"/>
      <c r="W785" s="9"/>
      <c r="X785" s="4"/>
      <c r="Y785" s="6"/>
      <c r="Z785" s="9"/>
      <c r="AA785" s="4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10"/>
      <c r="AU785" s="9"/>
    </row>
    <row r="786" spans="1:47">
      <c r="A786" s="4"/>
      <c r="B786" s="4"/>
      <c r="C786" s="5"/>
      <c r="D786" s="5"/>
      <c r="E786" s="6"/>
      <c r="F786" s="4"/>
      <c r="G786" s="6"/>
      <c r="H786" s="7"/>
      <c r="I786" s="2"/>
      <c r="J786" s="2"/>
      <c r="K786" s="2"/>
      <c r="L786" s="2"/>
      <c r="M786" s="2"/>
      <c r="N786" s="2"/>
      <c r="O786" s="2"/>
      <c r="P786" s="2"/>
      <c r="Q786" s="2"/>
      <c r="R786" s="9"/>
      <c r="S786" s="4"/>
      <c r="T786" s="9"/>
      <c r="U786" s="9"/>
      <c r="V786" s="9"/>
      <c r="W786" s="9"/>
      <c r="X786" s="4"/>
      <c r="Y786" s="6"/>
      <c r="Z786" s="4"/>
      <c r="AA786" s="23"/>
      <c r="AB786" s="24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10"/>
      <c r="AU786" s="9"/>
    </row>
    <row r="787" spans="1:47">
      <c r="A787" s="4"/>
      <c r="B787" s="4"/>
      <c r="C787" s="5"/>
      <c r="D787" s="5"/>
      <c r="E787" s="6"/>
      <c r="F787" s="4"/>
      <c r="G787" s="6"/>
      <c r="H787" s="7"/>
      <c r="I787" s="2"/>
      <c r="J787" s="2"/>
      <c r="K787" s="2"/>
      <c r="L787" s="2"/>
      <c r="M787" s="2"/>
      <c r="N787" s="2"/>
      <c r="O787" s="2"/>
      <c r="P787" s="2"/>
      <c r="Q787" s="2"/>
      <c r="R787" s="9"/>
      <c r="S787" s="4"/>
      <c r="T787" s="9"/>
      <c r="U787" s="9"/>
      <c r="V787" s="9"/>
      <c r="W787" s="9"/>
      <c r="X787" s="4"/>
      <c r="Y787" s="6"/>
      <c r="Z787" s="4"/>
      <c r="AA787" s="23"/>
      <c r="AB787" s="24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10"/>
      <c r="AU787" s="9"/>
    </row>
    <row r="788" spans="1:47">
      <c r="A788" s="4"/>
      <c r="B788" s="4"/>
      <c r="C788" s="5"/>
      <c r="D788" s="5"/>
      <c r="E788" s="6"/>
      <c r="F788" s="4"/>
      <c r="G788" s="6"/>
      <c r="H788" s="7"/>
      <c r="I788" s="7"/>
      <c r="J788" s="7"/>
      <c r="K788" s="7"/>
      <c r="L788" s="7"/>
      <c r="M788" s="2"/>
      <c r="N788" s="2"/>
      <c r="O788" s="2"/>
      <c r="P788" s="2"/>
      <c r="Q788" s="2"/>
      <c r="R788" s="9"/>
      <c r="S788" s="4"/>
      <c r="T788" s="9"/>
      <c r="U788" s="9"/>
      <c r="V788" s="9"/>
      <c r="W788" s="9"/>
      <c r="X788" s="4"/>
      <c r="Y788" s="6"/>
      <c r="Z788" s="9"/>
      <c r="AA788" s="4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10"/>
      <c r="AU788" s="9"/>
    </row>
    <row r="789" spans="1:47">
      <c r="A789" s="4"/>
      <c r="B789" s="4"/>
      <c r="C789" s="5"/>
      <c r="D789" s="5"/>
      <c r="E789" s="6"/>
      <c r="F789" s="4"/>
      <c r="G789" s="6"/>
      <c r="H789" s="7"/>
      <c r="I789" s="7"/>
      <c r="J789" s="7"/>
      <c r="K789" s="7"/>
      <c r="L789" s="7"/>
      <c r="M789" s="2"/>
      <c r="N789" s="2"/>
      <c r="O789" s="2"/>
      <c r="P789" s="2"/>
      <c r="Q789" s="2"/>
      <c r="R789" s="9"/>
      <c r="S789" s="4"/>
      <c r="T789" s="9"/>
      <c r="U789" s="9"/>
      <c r="V789" s="9"/>
      <c r="W789" s="9"/>
      <c r="X789" s="4"/>
      <c r="Y789" s="6"/>
      <c r="Z789" s="9"/>
      <c r="AA789" s="4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10"/>
      <c r="AU789" s="9"/>
    </row>
    <row r="790" spans="1:47">
      <c r="A790" s="4"/>
      <c r="B790" s="4"/>
      <c r="C790" s="5"/>
      <c r="D790" s="5"/>
      <c r="E790" s="6"/>
      <c r="F790" s="4"/>
      <c r="G790" s="6"/>
      <c r="H790" s="7"/>
      <c r="I790" s="2"/>
      <c r="J790" s="2"/>
      <c r="K790" s="2"/>
      <c r="L790" s="2"/>
      <c r="M790" s="2"/>
      <c r="N790" s="2"/>
      <c r="O790" s="2"/>
      <c r="P790" s="2"/>
      <c r="Q790" s="2"/>
      <c r="R790" s="9"/>
      <c r="S790" s="4"/>
      <c r="T790" s="9"/>
      <c r="U790" s="9"/>
      <c r="V790" s="9"/>
      <c r="W790" s="9"/>
      <c r="X790" s="4"/>
      <c r="Y790" s="6"/>
      <c r="Z790" s="4"/>
      <c r="AA790" s="23"/>
      <c r="AB790" s="24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10"/>
      <c r="AU790" s="9"/>
    </row>
    <row r="791" spans="1:47">
      <c r="A791" s="4"/>
      <c r="B791" s="4"/>
      <c r="C791" s="5"/>
      <c r="D791" s="5"/>
      <c r="E791" s="6"/>
      <c r="F791" s="4"/>
      <c r="G791" s="6"/>
      <c r="H791" s="7"/>
      <c r="I791" s="7"/>
      <c r="J791" s="7"/>
      <c r="K791" s="7"/>
      <c r="L791" s="7"/>
      <c r="M791" s="2"/>
      <c r="N791" s="2"/>
      <c r="O791" s="2"/>
      <c r="P791" s="2"/>
      <c r="Q791" s="2"/>
      <c r="R791" s="9"/>
      <c r="S791" s="4"/>
      <c r="T791" s="9"/>
      <c r="U791" s="9"/>
      <c r="V791" s="9"/>
      <c r="W791" s="9"/>
      <c r="X791" s="4"/>
      <c r="Y791" s="6"/>
      <c r="Z791" s="9"/>
      <c r="AA791" s="4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10"/>
      <c r="AU791" s="9"/>
    </row>
    <row r="792" spans="1:47">
      <c r="A792" s="4"/>
      <c r="B792" s="4"/>
      <c r="C792" s="5"/>
      <c r="D792" s="5"/>
      <c r="E792" s="6"/>
      <c r="F792" s="4"/>
      <c r="G792" s="6"/>
      <c r="H792" s="7"/>
      <c r="I792" s="7"/>
      <c r="J792" s="7"/>
      <c r="K792" s="7"/>
      <c r="L792" s="7"/>
      <c r="M792" s="2"/>
      <c r="N792" s="2"/>
      <c r="O792" s="2"/>
      <c r="P792" s="2"/>
      <c r="Q792" s="2"/>
      <c r="R792" s="9"/>
      <c r="S792" s="4"/>
      <c r="T792" s="9"/>
      <c r="U792" s="9"/>
      <c r="V792" s="9"/>
      <c r="W792" s="9"/>
      <c r="X792" s="4"/>
      <c r="Y792" s="6"/>
      <c r="Z792" s="9"/>
      <c r="AA792" s="4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10"/>
      <c r="AU792" s="9"/>
    </row>
    <row r="793" spans="1:47">
      <c r="A793" s="4"/>
      <c r="B793" s="4"/>
      <c r="C793" s="5"/>
      <c r="D793" s="5"/>
      <c r="E793" s="6"/>
      <c r="F793" s="4"/>
      <c r="G793" s="6"/>
      <c r="H793" s="7"/>
      <c r="I793" s="7"/>
      <c r="J793" s="7"/>
      <c r="K793" s="7"/>
      <c r="L793" s="7"/>
      <c r="M793" s="2"/>
      <c r="N793" s="2"/>
      <c r="O793" s="2"/>
      <c r="P793" s="2"/>
      <c r="Q793" s="2"/>
      <c r="R793" s="9"/>
      <c r="S793" s="4"/>
      <c r="T793" s="9"/>
      <c r="U793" s="9"/>
      <c r="V793" s="9"/>
      <c r="W793" s="9"/>
      <c r="X793" s="4"/>
      <c r="Y793" s="6"/>
      <c r="Z793" s="9"/>
      <c r="AA793" s="4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10"/>
      <c r="AU793" s="9"/>
    </row>
    <row r="794" spans="1:47">
      <c r="A794" s="4"/>
      <c r="B794" s="4"/>
      <c r="C794" s="5"/>
      <c r="D794" s="5"/>
      <c r="E794" s="6"/>
      <c r="F794" s="4"/>
      <c r="G794" s="6"/>
      <c r="H794" s="7"/>
      <c r="I794" s="7"/>
      <c r="J794" s="7"/>
      <c r="K794" s="7"/>
      <c r="L794" s="7"/>
      <c r="M794" s="2"/>
      <c r="N794" s="2"/>
      <c r="O794" s="2"/>
      <c r="P794" s="2"/>
      <c r="Q794" s="2"/>
      <c r="R794" s="9"/>
      <c r="S794" s="4"/>
      <c r="T794" s="9"/>
      <c r="U794" s="9"/>
      <c r="V794" s="9"/>
      <c r="W794" s="9"/>
      <c r="X794" s="4"/>
      <c r="Y794" s="6"/>
      <c r="Z794" s="9"/>
      <c r="AA794" s="4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10"/>
      <c r="AU794" s="9"/>
    </row>
    <row r="795" spans="1:47">
      <c r="A795" s="4"/>
      <c r="B795" s="4"/>
      <c r="C795" s="5"/>
      <c r="D795" s="5"/>
      <c r="E795" s="6"/>
      <c r="F795" s="4"/>
      <c r="G795" s="6"/>
      <c r="H795" s="7"/>
      <c r="I795" s="7"/>
      <c r="J795" s="7"/>
      <c r="K795" s="7"/>
      <c r="L795" s="7"/>
      <c r="M795" s="2"/>
      <c r="N795" s="2"/>
      <c r="O795" s="2"/>
      <c r="P795" s="2"/>
      <c r="Q795" s="2"/>
      <c r="R795" s="9"/>
      <c r="S795" s="4"/>
      <c r="T795" s="9"/>
      <c r="U795" s="9"/>
      <c r="V795" s="9"/>
      <c r="W795" s="9"/>
      <c r="X795" s="4"/>
      <c r="Y795" s="6"/>
      <c r="Z795" s="9"/>
      <c r="AA795" s="4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10"/>
      <c r="AU795" s="9"/>
    </row>
    <row r="796" spans="1:47">
      <c r="A796" s="4"/>
      <c r="B796" s="4"/>
      <c r="C796" s="5"/>
      <c r="D796" s="5"/>
      <c r="E796" s="6"/>
      <c r="F796" s="4"/>
      <c r="G796" s="6"/>
      <c r="H796" s="7"/>
      <c r="I796" s="7"/>
      <c r="J796" s="7"/>
      <c r="K796" s="7"/>
      <c r="L796" s="7"/>
      <c r="M796" s="2"/>
      <c r="N796" s="2"/>
      <c r="O796" s="2"/>
      <c r="P796" s="2"/>
      <c r="Q796" s="2"/>
      <c r="R796" s="9"/>
      <c r="S796" s="4"/>
      <c r="T796" s="9"/>
      <c r="U796" s="9"/>
      <c r="V796" s="9"/>
      <c r="W796" s="9"/>
      <c r="X796" s="4"/>
      <c r="Y796" s="6"/>
      <c r="Z796" s="9"/>
      <c r="AA796" s="4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10"/>
      <c r="AU796" s="9"/>
    </row>
    <row r="797" spans="1:47">
      <c r="A797" s="4"/>
      <c r="B797" s="4"/>
      <c r="C797" s="5"/>
      <c r="D797" s="5"/>
      <c r="E797" s="6"/>
      <c r="F797" s="4"/>
      <c r="G797" s="6"/>
      <c r="H797" s="7"/>
      <c r="I797" s="7"/>
      <c r="J797" s="7"/>
      <c r="K797" s="7"/>
      <c r="L797" s="7"/>
      <c r="M797" s="2"/>
      <c r="N797" s="2"/>
      <c r="O797" s="2"/>
      <c r="P797" s="2"/>
      <c r="Q797" s="2"/>
      <c r="R797" s="9"/>
      <c r="S797" s="4"/>
      <c r="T797" s="9"/>
      <c r="U797" s="9"/>
      <c r="V797" s="9"/>
      <c r="W797" s="9"/>
      <c r="X797" s="4"/>
      <c r="Y797" s="6"/>
      <c r="Z797" s="9"/>
      <c r="AA797" s="4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10"/>
      <c r="AU797" s="9"/>
    </row>
    <row r="798" spans="1:47">
      <c r="A798" s="4"/>
      <c r="B798" s="4"/>
      <c r="C798" s="5"/>
      <c r="D798" s="5"/>
      <c r="E798" s="6"/>
      <c r="F798" s="4"/>
      <c r="G798" s="6"/>
      <c r="H798" s="7"/>
      <c r="I798" s="7"/>
      <c r="J798" s="7"/>
      <c r="K798" s="7"/>
      <c r="L798" s="7"/>
      <c r="M798" s="2"/>
      <c r="N798" s="2"/>
      <c r="O798" s="2"/>
      <c r="P798" s="2"/>
      <c r="Q798" s="2"/>
      <c r="R798" s="9"/>
      <c r="S798" s="4"/>
      <c r="T798" s="9"/>
      <c r="U798" s="9"/>
      <c r="V798" s="9"/>
      <c r="W798" s="9"/>
      <c r="X798" s="4"/>
      <c r="Y798" s="6"/>
      <c r="Z798" s="9"/>
      <c r="AA798" s="4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10"/>
      <c r="AU798" s="9"/>
    </row>
    <row r="799" spans="1:47">
      <c r="A799" s="4"/>
      <c r="B799" s="4"/>
      <c r="C799" s="5"/>
      <c r="D799" s="5"/>
      <c r="E799" s="6"/>
      <c r="F799" s="4"/>
      <c r="G799" s="6"/>
      <c r="H799" s="7"/>
      <c r="I799" s="7"/>
      <c r="J799" s="7"/>
      <c r="K799" s="7"/>
      <c r="L799" s="7"/>
      <c r="M799" s="7"/>
      <c r="N799" s="2"/>
      <c r="O799" s="2"/>
      <c r="P799" s="2"/>
      <c r="Q799" s="2"/>
      <c r="R799" s="9"/>
      <c r="S799" s="4"/>
      <c r="T799" s="9"/>
      <c r="U799" s="9"/>
      <c r="V799" s="9"/>
      <c r="W799" s="9"/>
      <c r="X799" s="4"/>
      <c r="Y799" s="6"/>
      <c r="Z799" s="9"/>
      <c r="AA799" s="4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10"/>
      <c r="AU799" s="9"/>
    </row>
    <row r="800" spans="1:47">
      <c r="A800" s="4"/>
      <c r="B800" s="4"/>
      <c r="C800" s="5"/>
      <c r="D800" s="5"/>
      <c r="E800" s="6"/>
      <c r="F800" s="4"/>
      <c r="G800" s="6"/>
      <c r="H800" s="7"/>
      <c r="I800" s="2"/>
      <c r="J800" s="2"/>
      <c r="K800" s="2"/>
      <c r="L800" s="2"/>
      <c r="M800" s="2"/>
      <c r="N800" s="2"/>
      <c r="O800" s="2"/>
      <c r="P800" s="2"/>
      <c r="Q800" s="2"/>
      <c r="R800" s="9"/>
      <c r="S800" s="4"/>
      <c r="T800" s="9"/>
      <c r="U800" s="9"/>
      <c r="V800" s="9"/>
      <c r="W800" s="9"/>
      <c r="X800" s="4"/>
      <c r="Y800" s="6"/>
      <c r="Z800" s="4"/>
      <c r="AA800" s="23"/>
      <c r="AB800" s="24"/>
      <c r="AC800" s="24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10"/>
      <c r="AU800" s="9"/>
    </row>
    <row r="801" spans="1:47">
      <c r="A801" s="4"/>
      <c r="B801" s="4"/>
      <c r="C801" s="5"/>
      <c r="D801" s="5"/>
      <c r="E801" s="6"/>
      <c r="F801" s="4"/>
      <c r="G801" s="6"/>
      <c r="H801" s="7"/>
      <c r="I801" s="2"/>
      <c r="J801" s="2"/>
      <c r="K801" s="2"/>
      <c r="L801" s="2"/>
      <c r="M801" s="2"/>
      <c r="N801" s="2"/>
      <c r="O801" s="2"/>
      <c r="P801" s="2"/>
      <c r="Q801" s="2"/>
      <c r="R801" s="9"/>
      <c r="S801" s="4"/>
      <c r="T801" s="9"/>
      <c r="U801" s="9"/>
      <c r="V801" s="9"/>
      <c r="W801" s="9"/>
      <c r="X801" s="4"/>
      <c r="Y801" s="6"/>
      <c r="Z801" s="4"/>
      <c r="AA801" s="23"/>
      <c r="AB801" s="24"/>
      <c r="AC801" s="24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10"/>
      <c r="AU801" s="9"/>
    </row>
    <row r="802" spans="1:47">
      <c r="A802" s="4"/>
      <c r="B802" s="4"/>
      <c r="C802" s="5"/>
      <c r="D802" s="5"/>
      <c r="E802" s="6"/>
      <c r="F802" s="4"/>
      <c r="G802" s="6"/>
      <c r="H802" s="7"/>
      <c r="I802" s="2"/>
      <c r="J802" s="2"/>
      <c r="K802" s="2"/>
      <c r="L802" s="2"/>
      <c r="M802" s="2"/>
      <c r="N802" s="2"/>
      <c r="O802" s="2"/>
      <c r="P802" s="2"/>
      <c r="Q802" s="2"/>
      <c r="R802" s="9"/>
      <c r="S802" s="4"/>
      <c r="T802" s="9"/>
      <c r="U802" s="9"/>
      <c r="V802" s="9"/>
      <c r="W802" s="9"/>
      <c r="X802" s="4"/>
      <c r="Y802" s="6"/>
      <c r="Z802" s="4"/>
      <c r="AA802" s="23"/>
      <c r="AB802" s="24"/>
      <c r="AC802" s="24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10"/>
      <c r="AU802" s="9"/>
    </row>
    <row r="803" spans="1:47">
      <c r="A803" s="4"/>
      <c r="B803" s="4"/>
      <c r="C803" s="5"/>
      <c r="D803" s="5"/>
      <c r="E803" s="6"/>
      <c r="F803" s="4"/>
      <c r="G803" s="6"/>
      <c r="H803" s="7"/>
      <c r="I803" s="2"/>
      <c r="J803" s="2"/>
      <c r="K803" s="2"/>
      <c r="L803" s="2"/>
      <c r="M803" s="2"/>
      <c r="N803" s="2"/>
      <c r="O803" s="2"/>
      <c r="P803" s="2"/>
      <c r="Q803" s="2"/>
      <c r="R803" s="9"/>
      <c r="S803" s="4"/>
      <c r="T803" s="9"/>
      <c r="U803" s="9"/>
      <c r="V803" s="9"/>
      <c r="W803" s="9"/>
      <c r="X803" s="4"/>
      <c r="Y803" s="6"/>
      <c r="Z803" s="4"/>
      <c r="AA803" s="23"/>
      <c r="AB803" s="24"/>
      <c r="AC803" s="24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10"/>
      <c r="AU803" s="9"/>
    </row>
    <row r="804" spans="1:47">
      <c r="A804" s="4"/>
      <c r="B804" s="4"/>
      <c r="C804" s="5"/>
      <c r="D804" s="5"/>
      <c r="E804" s="6"/>
      <c r="F804" s="4"/>
      <c r="G804" s="6"/>
      <c r="H804" s="7"/>
      <c r="I804" s="2"/>
      <c r="J804" s="2"/>
      <c r="K804" s="2"/>
      <c r="L804" s="2"/>
      <c r="M804" s="2"/>
      <c r="N804" s="2"/>
      <c r="O804" s="2"/>
      <c r="P804" s="2"/>
      <c r="Q804" s="2"/>
      <c r="R804" s="9"/>
      <c r="S804" s="4"/>
      <c r="T804" s="9"/>
      <c r="U804" s="9"/>
      <c r="V804" s="9"/>
      <c r="W804" s="9"/>
      <c r="X804" s="4"/>
      <c r="Y804" s="6"/>
      <c r="Z804" s="4"/>
      <c r="AA804" s="23"/>
      <c r="AB804" s="24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10"/>
      <c r="AU804" s="9"/>
    </row>
    <row r="805" spans="1:47">
      <c r="A805" s="4"/>
      <c r="B805" s="4"/>
      <c r="C805" s="5"/>
      <c r="D805" s="5"/>
      <c r="E805" s="6"/>
      <c r="F805" s="4"/>
      <c r="G805" s="6"/>
      <c r="H805" s="7"/>
      <c r="I805" s="2"/>
      <c r="J805" s="2"/>
      <c r="K805" s="2"/>
      <c r="L805" s="2"/>
      <c r="M805" s="2"/>
      <c r="N805" s="2"/>
      <c r="O805" s="2"/>
      <c r="P805" s="2"/>
      <c r="Q805" s="2"/>
      <c r="R805" s="9"/>
      <c r="S805" s="4"/>
      <c r="T805" s="9"/>
      <c r="U805" s="9"/>
      <c r="V805" s="9"/>
      <c r="W805" s="9"/>
      <c r="X805" s="4"/>
      <c r="Y805" s="6"/>
      <c r="Z805" s="4"/>
      <c r="AA805" s="23"/>
      <c r="AB805" s="24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10"/>
      <c r="AU805" s="9"/>
    </row>
    <row r="806" spans="1:47">
      <c r="A806" s="4"/>
      <c r="B806" s="4"/>
      <c r="C806" s="5"/>
      <c r="D806" s="5"/>
      <c r="E806" s="6"/>
      <c r="F806" s="4"/>
      <c r="G806" s="6"/>
      <c r="H806" s="7"/>
      <c r="I806" s="7"/>
      <c r="J806" s="7"/>
      <c r="K806" s="7"/>
      <c r="L806" s="7"/>
      <c r="M806" s="7"/>
      <c r="N806" s="7"/>
      <c r="O806" s="2"/>
      <c r="P806" s="2"/>
      <c r="Q806" s="2"/>
      <c r="R806" s="9"/>
      <c r="S806" s="4"/>
      <c r="T806" s="9"/>
      <c r="U806" s="9"/>
      <c r="V806" s="9"/>
      <c r="W806" s="9"/>
      <c r="X806" s="4"/>
      <c r="Y806" s="6"/>
      <c r="Z806" s="9"/>
      <c r="AA806" s="4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10"/>
      <c r="AU806" s="9"/>
    </row>
    <row r="807" spans="1:47">
      <c r="A807" s="4"/>
      <c r="B807" s="4"/>
      <c r="C807" s="5"/>
      <c r="D807" s="5"/>
      <c r="E807" s="6"/>
      <c r="F807" s="4"/>
      <c r="G807" s="6"/>
      <c r="H807" s="7"/>
      <c r="I807" s="7"/>
      <c r="J807" s="7"/>
      <c r="K807" s="7"/>
      <c r="L807" s="7"/>
      <c r="M807" s="7"/>
      <c r="N807" s="7"/>
      <c r="O807" s="2"/>
      <c r="P807" s="2"/>
      <c r="Q807" s="2"/>
      <c r="R807" s="9"/>
      <c r="S807" s="4"/>
      <c r="T807" s="9"/>
      <c r="U807" s="9"/>
      <c r="V807" s="9"/>
      <c r="W807" s="9"/>
      <c r="X807" s="4"/>
      <c r="Y807" s="6"/>
      <c r="Z807" s="9"/>
      <c r="AA807" s="4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10"/>
      <c r="AU807" s="9"/>
    </row>
    <row r="808" spans="1:47">
      <c r="A808" s="4"/>
      <c r="B808" s="4"/>
      <c r="C808" s="5"/>
      <c r="D808" s="5"/>
      <c r="E808" s="6"/>
      <c r="F808" s="4"/>
      <c r="G808" s="6"/>
      <c r="H808" s="7"/>
      <c r="I808" s="2"/>
      <c r="J808" s="2"/>
      <c r="K808" s="2"/>
      <c r="L808" s="2"/>
      <c r="M808" s="2"/>
      <c r="N808" s="2"/>
      <c r="O808" s="2"/>
      <c r="P808" s="2"/>
      <c r="Q808" s="2"/>
      <c r="R808" s="9"/>
      <c r="S808" s="4"/>
      <c r="T808" s="9"/>
      <c r="U808" s="9"/>
      <c r="V808" s="9"/>
      <c r="W808" s="9"/>
      <c r="X808" s="4"/>
      <c r="Y808" s="6"/>
      <c r="Z808" s="4"/>
      <c r="AA808" s="23"/>
      <c r="AB808" s="24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10"/>
      <c r="AU808" s="9"/>
    </row>
    <row r="809" spans="1:47">
      <c r="A809" s="4"/>
      <c r="B809" s="4"/>
      <c r="C809" s="5"/>
      <c r="D809" s="5"/>
      <c r="E809" s="6"/>
      <c r="F809" s="4"/>
      <c r="G809" s="6"/>
      <c r="H809" s="7"/>
      <c r="I809" s="2"/>
      <c r="J809" s="2"/>
      <c r="K809" s="2"/>
      <c r="L809" s="2"/>
      <c r="M809" s="2"/>
      <c r="N809" s="2"/>
      <c r="O809" s="2"/>
      <c r="P809" s="2"/>
      <c r="Q809" s="2"/>
      <c r="R809" s="9"/>
      <c r="S809" s="4"/>
      <c r="T809" s="9"/>
      <c r="U809" s="9"/>
      <c r="V809" s="9"/>
      <c r="W809" s="9"/>
      <c r="X809" s="4"/>
      <c r="Y809" s="6"/>
      <c r="Z809" s="4"/>
      <c r="AA809" s="23"/>
      <c r="AB809" s="24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10"/>
      <c r="AU809" s="9"/>
    </row>
    <row r="810" spans="1:47">
      <c r="A810" s="4"/>
      <c r="B810" s="4"/>
      <c r="C810" s="5"/>
      <c r="D810" s="5"/>
      <c r="E810" s="6"/>
      <c r="F810" s="4"/>
      <c r="G810" s="6"/>
      <c r="H810" s="7"/>
      <c r="I810" s="2"/>
      <c r="J810" s="2"/>
      <c r="K810" s="2"/>
      <c r="L810" s="2"/>
      <c r="M810" s="2"/>
      <c r="N810" s="2"/>
      <c r="O810" s="2"/>
      <c r="P810" s="2"/>
      <c r="Q810" s="2"/>
      <c r="R810" s="9"/>
      <c r="S810" s="4"/>
      <c r="T810" s="9"/>
      <c r="U810" s="9"/>
      <c r="V810" s="9"/>
      <c r="W810" s="9"/>
      <c r="X810" s="4"/>
      <c r="Y810" s="6"/>
      <c r="Z810" s="4"/>
      <c r="AA810" s="23"/>
      <c r="AB810" s="24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10"/>
      <c r="AU810" s="9"/>
    </row>
    <row r="811" spans="1:47">
      <c r="A811" s="4"/>
      <c r="B811" s="4"/>
      <c r="C811" s="5"/>
      <c r="D811" s="5"/>
      <c r="E811" s="6"/>
      <c r="F811" s="4"/>
      <c r="G811" s="6"/>
      <c r="H811" s="7"/>
      <c r="I811" s="2"/>
      <c r="J811" s="2"/>
      <c r="K811" s="2"/>
      <c r="L811" s="2"/>
      <c r="M811" s="2"/>
      <c r="N811" s="2"/>
      <c r="O811" s="2"/>
      <c r="P811" s="2"/>
      <c r="Q811" s="2"/>
      <c r="R811" s="9"/>
      <c r="S811" s="4"/>
      <c r="T811" s="9"/>
      <c r="U811" s="9"/>
      <c r="V811" s="9"/>
      <c r="W811" s="9"/>
      <c r="X811" s="4"/>
      <c r="Y811" s="6"/>
      <c r="Z811" s="4"/>
      <c r="AA811" s="23"/>
      <c r="AB811" s="24"/>
      <c r="AC811" s="24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10"/>
      <c r="AU811" s="9"/>
    </row>
    <row r="812" spans="1:47">
      <c r="A812" s="4"/>
      <c r="B812" s="4"/>
      <c r="C812" s="5"/>
      <c r="D812" s="5"/>
      <c r="E812" s="6"/>
      <c r="F812" s="4"/>
      <c r="G812" s="6"/>
      <c r="H812" s="7"/>
      <c r="I812" s="2"/>
      <c r="J812" s="2"/>
      <c r="K812" s="2"/>
      <c r="L812" s="2"/>
      <c r="M812" s="2"/>
      <c r="N812" s="2"/>
      <c r="O812" s="2"/>
      <c r="P812" s="2"/>
      <c r="Q812" s="2"/>
      <c r="R812" s="9"/>
      <c r="S812" s="4"/>
      <c r="T812" s="9"/>
      <c r="U812" s="9"/>
      <c r="V812" s="9"/>
      <c r="W812" s="9"/>
      <c r="X812" s="4"/>
      <c r="Y812" s="6"/>
      <c r="Z812" s="9"/>
      <c r="AA812" s="4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10"/>
      <c r="AU812" s="9"/>
    </row>
    <row r="813" spans="1:47">
      <c r="A813" s="4"/>
      <c r="B813" s="4"/>
      <c r="C813" s="5"/>
      <c r="D813" s="5"/>
      <c r="E813" s="6"/>
      <c r="F813" s="4"/>
      <c r="G813" s="6"/>
      <c r="H813" s="7"/>
      <c r="I813" s="2"/>
      <c r="J813" s="2"/>
      <c r="K813" s="2"/>
      <c r="L813" s="2"/>
      <c r="M813" s="2"/>
      <c r="N813" s="2"/>
      <c r="O813" s="2"/>
      <c r="P813" s="2"/>
      <c r="Q813" s="2"/>
      <c r="R813" s="9"/>
      <c r="S813" s="4"/>
      <c r="T813" s="9"/>
      <c r="U813" s="9"/>
      <c r="V813" s="9"/>
      <c r="W813" s="9"/>
      <c r="X813" s="4"/>
      <c r="Y813" s="6"/>
      <c r="Z813" s="9"/>
      <c r="AA813" s="4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10"/>
      <c r="AU813" s="9"/>
    </row>
    <row r="814" spans="1:47">
      <c r="A814" s="4"/>
      <c r="B814" s="4"/>
      <c r="C814" s="5"/>
      <c r="D814" s="5"/>
      <c r="E814" s="6"/>
      <c r="F814" s="4"/>
      <c r="G814" s="6"/>
      <c r="H814" s="7"/>
      <c r="I814" s="2"/>
      <c r="J814" s="2"/>
      <c r="K814" s="2"/>
      <c r="L814" s="2"/>
      <c r="M814" s="2"/>
      <c r="N814" s="2"/>
      <c r="O814" s="2"/>
      <c r="P814" s="2"/>
      <c r="Q814" s="2"/>
      <c r="R814" s="9"/>
      <c r="S814" s="4"/>
      <c r="T814" s="9"/>
      <c r="U814" s="9"/>
      <c r="V814" s="9"/>
      <c r="W814" s="9"/>
      <c r="X814" s="4"/>
      <c r="Y814" s="6"/>
      <c r="Z814" s="9"/>
      <c r="AA814" s="4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10"/>
      <c r="AU814" s="9"/>
    </row>
    <row r="815" spans="1:47">
      <c r="A815" s="4"/>
      <c r="B815" s="4"/>
      <c r="C815" s="5"/>
      <c r="D815" s="5"/>
      <c r="E815" s="6"/>
      <c r="F815" s="4"/>
      <c r="G815" s="6"/>
      <c r="H815" s="7"/>
      <c r="I815" s="7"/>
      <c r="J815" s="7"/>
      <c r="K815" s="7"/>
      <c r="L815" s="7"/>
      <c r="M815" s="2"/>
      <c r="N815" s="2"/>
      <c r="O815" s="2"/>
      <c r="P815" s="2"/>
      <c r="Q815" s="2"/>
      <c r="R815" s="9"/>
      <c r="S815" s="4"/>
      <c r="T815" s="9"/>
      <c r="U815" s="9"/>
      <c r="V815" s="9"/>
      <c r="W815" s="9"/>
      <c r="X815" s="4"/>
      <c r="Y815" s="6"/>
      <c r="Z815" s="4"/>
      <c r="AA815" s="23"/>
      <c r="AB815" s="24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10"/>
      <c r="AU815" s="9"/>
    </row>
    <row r="816" spans="1:47">
      <c r="A816" s="4"/>
      <c r="B816" s="4"/>
      <c r="C816" s="5"/>
      <c r="D816" s="5"/>
      <c r="E816" s="6"/>
      <c r="F816" s="4"/>
      <c r="G816" s="6"/>
      <c r="H816" s="7"/>
      <c r="I816" s="2"/>
      <c r="J816" s="2"/>
      <c r="K816" s="2"/>
      <c r="L816" s="2"/>
      <c r="M816" s="2"/>
      <c r="N816" s="2"/>
      <c r="O816" s="2"/>
      <c r="P816" s="2"/>
      <c r="Q816" s="2"/>
      <c r="R816" s="9"/>
      <c r="S816" s="4"/>
      <c r="T816" s="9"/>
      <c r="U816" s="9"/>
      <c r="V816" s="9"/>
      <c r="W816" s="9"/>
      <c r="X816" s="4"/>
      <c r="Y816" s="6"/>
      <c r="Z816" s="4"/>
      <c r="AA816" s="23"/>
      <c r="AB816" s="24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10"/>
      <c r="AU816" s="9"/>
    </row>
    <row r="817" spans="1:47">
      <c r="A817" s="4"/>
      <c r="B817" s="4"/>
      <c r="C817" s="5"/>
      <c r="D817" s="5"/>
      <c r="E817" s="6"/>
      <c r="F817" s="4"/>
      <c r="G817" s="6"/>
      <c r="H817" s="7"/>
      <c r="I817" s="2"/>
      <c r="J817" s="2"/>
      <c r="K817" s="2"/>
      <c r="L817" s="2"/>
      <c r="M817" s="2"/>
      <c r="N817" s="2"/>
      <c r="O817" s="2"/>
      <c r="P817" s="2"/>
      <c r="Q817" s="2"/>
      <c r="R817" s="9"/>
      <c r="S817" s="4"/>
      <c r="T817" s="9"/>
      <c r="U817" s="9"/>
      <c r="V817" s="9"/>
      <c r="W817" s="9"/>
      <c r="X817" s="4"/>
      <c r="Y817" s="6"/>
      <c r="Z817" s="4"/>
      <c r="AA817" s="23"/>
      <c r="AB817" s="24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10"/>
      <c r="AU817" s="9"/>
    </row>
    <row r="818" spans="1:47">
      <c r="A818" s="4"/>
      <c r="B818" s="4"/>
      <c r="C818" s="5"/>
      <c r="D818" s="5"/>
      <c r="E818" s="6"/>
      <c r="F818" s="4"/>
      <c r="G818" s="6"/>
      <c r="H818" s="7"/>
      <c r="I818" s="2"/>
      <c r="J818" s="2"/>
      <c r="K818" s="2"/>
      <c r="L818" s="2"/>
      <c r="M818" s="2"/>
      <c r="N818" s="2"/>
      <c r="O818" s="2"/>
      <c r="P818" s="2"/>
      <c r="Q818" s="2"/>
      <c r="R818" s="9"/>
      <c r="S818" s="4"/>
      <c r="T818" s="9"/>
      <c r="U818" s="9"/>
      <c r="V818" s="9"/>
      <c r="W818" s="9"/>
      <c r="X818" s="4"/>
      <c r="Y818" s="6"/>
      <c r="Z818" s="4"/>
      <c r="AA818" s="23"/>
      <c r="AB818" s="24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10"/>
      <c r="AU818" s="9"/>
    </row>
    <row r="819" spans="1:47">
      <c r="A819" s="4"/>
      <c r="B819" s="4"/>
      <c r="C819" s="5"/>
      <c r="D819" s="5"/>
      <c r="E819" s="6"/>
      <c r="F819" s="4"/>
      <c r="G819" s="6"/>
      <c r="H819" s="7"/>
      <c r="I819" s="7"/>
      <c r="J819" s="7"/>
      <c r="K819" s="7"/>
      <c r="L819" s="7"/>
      <c r="M819" s="2"/>
      <c r="N819" s="2"/>
      <c r="O819" s="2"/>
      <c r="P819" s="2"/>
      <c r="Q819" s="2"/>
      <c r="R819" s="9"/>
      <c r="S819" s="4"/>
      <c r="T819" s="9"/>
      <c r="U819" s="9"/>
      <c r="V819" s="9"/>
      <c r="W819" s="9"/>
      <c r="X819" s="4"/>
      <c r="Y819" s="6"/>
      <c r="Z819" s="4"/>
      <c r="AA819" s="23"/>
      <c r="AB819" s="24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10"/>
      <c r="AU819" s="9"/>
    </row>
    <row r="820" spans="1:47">
      <c r="A820" s="4"/>
      <c r="B820" s="4"/>
      <c r="C820" s="5"/>
      <c r="D820" s="5"/>
      <c r="E820" s="6"/>
      <c r="F820" s="4"/>
      <c r="G820" s="6"/>
      <c r="H820" s="7"/>
      <c r="I820" s="2"/>
      <c r="J820" s="2"/>
      <c r="K820" s="2"/>
      <c r="L820" s="2"/>
      <c r="M820" s="2"/>
      <c r="N820" s="2"/>
      <c r="O820" s="2"/>
      <c r="P820" s="2"/>
      <c r="Q820" s="2"/>
      <c r="R820" s="9"/>
      <c r="S820" s="4"/>
      <c r="T820" s="9"/>
      <c r="U820" s="9"/>
      <c r="V820" s="9"/>
      <c r="W820" s="9"/>
      <c r="X820" s="4"/>
      <c r="Y820" s="6"/>
      <c r="Z820" s="4"/>
      <c r="AA820" s="23"/>
      <c r="AB820" s="24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10"/>
      <c r="AU820" s="9"/>
    </row>
    <row r="821" spans="1:47">
      <c r="A821" s="4"/>
      <c r="B821" s="4"/>
      <c r="C821" s="5"/>
      <c r="D821" s="5"/>
      <c r="E821" s="6"/>
      <c r="F821" s="4"/>
      <c r="G821" s="6"/>
      <c r="H821" s="7"/>
      <c r="I821" s="2"/>
      <c r="J821" s="2"/>
      <c r="K821" s="2"/>
      <c r="L821" s="2"/>
      <c r="M821" s="2"/>
      <c r="N821" s="2"/>
      <c r="O821" s="2"/>
      <c r="P821" s="2"/>
      <c r="Q821" s="2"/>
      <c r="R821" s="9"/>
      <c r="S821" s="4"/>
      <c r="T821" s="9"/>
      <c r="U821" s="9"/>
      <c r="V821" s="9"/>
      <c r="W821" s="9"/>
      <c r="X821" s="4"/>
      <c r="Y821" s="6"/>
      <c r="Z821" s="4"/>
      <c r="AA821" s="23"/>
      <c r="AB821" s="24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10"/>
      <c r="AU821" s="9"/>
    </row>
    <row r="822" spans="1:47">
      <c r="A822" s="4"/>
      <c r="B822" s="4"/>
      <c r="C822" s="5"/>
      <c r="D822" s="5"/>
      <c r="E822" s="6"/>
      <c r="F822" s="4"/>
      <c r="G822" s="6"/>
      <c r="H822" s="7"/>
      <c r="I822" s="2"/>
      <c r="J822" s="2"/>
      <c r="K822" s="2"/>
      <c r="L822" s="2"/>
      <c r="M822" s="2"/>
      <c r="N822" s="2"/>
      <c r="O822" s="2"/>
      <c r="P822" s="2"/>
      <c r="Q822" s="2"/>
      <c r="R822" s="9"/>
      <c r="S822" s="4"/>
      <c r="T822" s="9"/>
      <c r="U822" s="9"/>
      <c r="V822" s="9"/>
      <c r="W822" s="9"/>
      <c r="X822" s="4"/>
      <c r="Y822" s="6"/>
      <c r="Z822" s="4"/>
      <c r="AA822" s="23"/>
      <c r="AB822" s="24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10"/>
      <c r="AU822" s="9"/>
    </row>
    <row r="823" spans="1:47">
      <c r="A823" s="4"/>
      <c r="B823" s="4"/>
      <c r="C823" s="5"/>
      <c r="D823" s="5"/>
      <c r="E823" s="6"/>
      <c r="F823" s="4"/>
      <c r="G823" s="6"/>
      <c r="H823" s="7"/>
      <c r="I823" s="2"/>
      <c r="J823" s="2"/>
      <c r="K823" s="2"/>
      <c r="L823" s="2"/>
      <c r="M823" s="2"/>
      <c r="N823" s="2"/>
      <c r="O823" s="2"/>
      <c r="P823" s="2"/>
      <c r="Q823" s="2"/>
      <c r="R823" s="9"/>
      <c r="S823" s="4"/>
      <c r="T823" s="9"/>
      <c r="U823" s="9"/>
      <c r="V823" s="9"/>
      <c r="W823" s="9"/>
      <c r="X823" s="4"/>
      <c r="Y823" s="6"/>
      <c r="Z823" s="4"/>
      <c r="AA823" s="23"/>
      <c r="AB823" s="24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10"/>
      <c r="AU823" s="9"/>
    </row>
    <row r="824" spans="1:47">
      <c r="A824" s="4"/>
      <c r="B824" s="4"/>
      <c r="C824" s="5"/>
      <c r="D824" s="5"/>
      <c r="E824" s="6"/>
      <c r="F824" s="4"/>
      <c r="G824" s="6"/>
      <c r="H824" s="7"/>
      <c r="I824" s="2"/>
      <c r="J824" s="2"/>
      <c r="K824" s="2"/>
      <c r="L824" s="2"/>
      <c r="M824" s="2"/>
      <c r="N824" s="2"/>
      <c r="O824" s="2"/>
      <c r="P824" s="2"/>
      <c r="Q824" s="2"/>
      <c r="R824" s="9"/>
      <c r="S824" s="4"/>
      <c r="T824" s="9"/>
      <c r="U824" s="9"/>
      <c r="V824" s="9"/>
      <c r="W824" s="9"/>
      <c r="X824" s="4"/>
      <c r="Y824" s="6"/>
      <c r="Z824" s="4"/>
      <c r="AA824" s="23"/>
      <c r="AB824" s="24"/>
      <c r="AC824" s="25"/>
      <c r="AD824" s="24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10"/>
      <c r="AU824" s="9"/>
    </row>
    <row r="825" spans="1:47">
      <c r="A825" s="4"/>
      <c r="B825" s="4"/>
      <c r="C825" s="5"/>
      <c r="D825" s="5"/>
      <c r="E825" s="6"/>
      <c r="F825" s="4"/>
      <c r="G825" s="6"/>
      <c r="H825" s="7"/>
      <c r="I825" s="2"/>
      <c r="J825" s="2"/>
      <c r="K825" s="2"/>
      <c r="L825" s="2"/>
      <c r="M825" s="2"/>
      <c r="N825" s="2"/>
      <c r="O825" s="2"/>
      <c r="P825" s="2"/>
      <c r="Q825" s="2"/>
      <c r="R825" s="9"/>
      <c r="S825" s="4"/>
      <c r="T825" s="9"/>
      <c r="U825" s="9"/>
      <c r="V825" s="9"/>
      <c r="W825" s="9"/>
      <c r="X825" s="4"/>
      <c r="Y825" s="6"/>
      <c r="Z825" s="4"/>
      <c r="AA825" s="23"/>
      <c r="AB825" s="24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10"/>
      <c r="AU825" s="9"/>
    </row>
    <row r="826" spans="1:47">
      <c r="A826" s="4"/>
      <c r="B826" s="4"/>
      <c r="C826" s="5"/>
      <c r="D826" s="5"/>
      <c r="E826" s="6"/>
      <c r="F826" s="4"/>
      <c r="G826" s="6"/>
      <c r="H826" s="7"/>
      <c r="I826" s="7"/>
      <c r="J826" s="2"/>
      <c r="K826" s="2"/>
      <c r="L826" s="2"/>
      <c r="M826" s="2"/>
      <c r="N826" s="2"/>
      <c r="O826" s="2"/>
      <c r="P826" s="2"/>
      <c r="Q826" s="2"/>
      <c r="R826" s="9"/>
      <c r="S826" s="4"/>
      <c r="T826" s="9"/>
      <c r="U826" s="9"/>
      <c r="V826" s="9"/>
      <c r="W826" s="9"/>
      <c r="X826" s="4"/>
      <c r="Y826" s="6"/>
      <c r="Z826" s="9"/>
      <c r="AA826" s="4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10"/>
      <c r="AU826" s="9"/>
    </row>
    <row r="827" spans="1:47">
      <c r="A827" s="4"/>
      <c r="B827" s="4"/>
      <c r="C827" s="5"/>
      <c r="D827" s="5"/>
      <c r="E827" s="6"/>
      <c r="F827" s="4"/>
      <c r="G827" s="6"/>
      <c r="H827" s="7"/>
      <c r="I827" s="2"/>
      <c r="J827" s="2"/>
      <c r="K827" s="2"/>
      <c r="L827" s="2"/>
      <c r="M827" s="2"/>
      <c r="N827" s="2"/>
      <c r="O827" s="2"/>
      <c r="P827" s="2"/>
      <c r="Q827" s="2"/>
      <c r="R827" s="9"/>
      <c r="S827" s="4"/>
      <c r="T827" s="9"/>
      <c r="U827" s="9"/>
      <c r="V827" s="9"/>
      <c r="W827" s="9"/>
      <c r="X827" s="4"/>
      <c r="Y827" s="6"/>
      <c r="Z827" s="9"/>
      <c r="AA827" s="4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10"/>
      <c r="AU827" s="9"/>
    </row>
    <row r="828" spans="1:47">
      <c r="A828" s="4"/>
      <c r="B828" s="4"/>
      <c r="C828" s="5"/>
      <c r="D828" s="5"/>
      <c r="E828" s="6"/>
      <c r="F828" s="4"/>
      <c r="G828" s="6"/>
      <c r="H828" s="7"/>
      <c r="I828" s="2"/>
      <c r="J828" s="2"/>
      <c r="K828" s="2"/>
      <c r="L828" s="2"/>
      <c r="M828" s="2"/>
      <c r="N828" s="2"/>
      <c r="O828" s="2"/>
      <c r="P828" s="2"/>
      <c r="Q828" s="2"/>
      <c r="R828" s="9"/>
      <c r="S828" s="4"/>
      <c r="T828" s="9"/>
      <c r="U828" s="9"/>
      <c r="V828" s="9"/>
      <c r="W828" s="9"/>
      <c r="X828" s="4"/>
      <c r="Y828" s="6"/>
      <c r="Z828" s="9"/>
      <c r="AA828" s="4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10"/>
      <c r="AU828" s="9"/>
    </row>
    <row r="829" spans="1:47">
      <c r="A829" s="4"/>
      <c r="B829" s="4"/>
      <c r="C829" s="5"/>
      <c r="D829" s="5"/>
      <c r="E829" s="6"/>
      <c r="F829" s="4"/>
      <c r="G829" s="6"/>
      <c r="H829" s="7"/>
      <c r="I829" s="7"/>
      <c r="J829" s="2"/>
      <c r="K829" s="2"/>
      <c r="L829" s="2"/>
      <c r="M829" s="2"/>
      <c r="N829" s="2"/>
      <c r="O829" s="2"/>
      <c r="P829" s="2"/>
      <c r="Q829" s="2"/>
      <c r="R829" s="9"/>
      <c r="S829" s="4"/>
      <c r="T829" s="9"/>
      <c r="U829" s="9"/>
      <c r="V829" s="9"/>
      <c r="W829" s="9"/>
      <c r="X829" s="4"/>
      <c r="Y829" s="6"/>
      <c r="Z829" s="9"/>
      <c r="AA829" s="4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10"/>
      <c r="AU829" s="9"/>
    </row>
    <row r="830" spans="1:47">
      <c r="A830" s="4"/>
      <c r="B830" s="4"/>
      <c r="C830" s="5"/>
      <c r="D830" s="5"/>
      <c r="E830" s="6"/>
      <c r="F830" s="4"/>
      <c r="G830" s="6"/>
      <c r="H830" s="7"/>
      <c r="I830" s="2"/>
      <c r="J830" s="2"/>
      <c r="K830" s="2"/>
      <c r="L830" s="2"/>
      <c r="M830" s="2"/>
      <c r="N830" s="2"/>
      <c r="O830" s="2"/>
      <c r="P830" s="2"/>
      <c r="Q830" s="2"/>
      <c r="R830" s="9"/>
      <c r="S830" s="4"/>
      <c r="T830" s="9"/>
      <c r="U830" s="9"/>
      <c r="V830" s="9"/>
      <c r="W830" s="9"/>
      <c r="X830" s="4"/>
      <c r="Y830" s="6"/>
      <c r="Z830" s="4"/>
      <c r="AA830" s="23"/>
      <c r="AB830" s="24"/>
      <c r="AC830" s="2"/>
      <c r="AD830" s="2"/>
      <c r="AE830" s="25"/>
      <c r="AF830" s="24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10"/>
      <c r="AU830" s="9"/>
    </row>
    <row r="831" spans="1:47">
      <c r="A831" s="4"/>
      <c r="B831" s="4"/>
      <c r="C831" s="5"/>
      <c r="D831" s="5"/>
      <c r="E831" s="6"/>
      <c r="F831" s="4"/>
      <c r="G831" s="6"/>
      <c r="H831" s="7"/>
      <c r="I831" s="2"/>
      <c r="J831" s="2"/>
      <c r="K831" s="2"/>
      <c r="L831" s="2"/>
      <c r="M831" s="2"/>
      <c r="N831" s="2"/>
      <c r="O831" s="2"/>
      <c r="P831" s="2"/>
      <c r="Q831" s="2"/>
      <c r="R831" s="9"/>
      <c r="S831" s="4"/>
      <c r="T831" s="9"/>
      <c r="U831" s="9"/>
      <c r="V831" s="9"/>
      <c r="W831" s="9"/>
      <c r="X831" s="4"/>
      <c r="Y831" s="6"/>
      <c r="Z831" s="4"/>
      <c r="AA831" s="23"/>
      <c r="AB831" s="24"/>
      <c r="AC831" s="2"/>
      <c r="AD831" s="2"/>
      <c r="AE831" s="25"/>
      <c r="AF831" s="24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10"/>
      <c r="AU831" s="9"/>
    </row>
    <row r="832" spans="1:47">
      <c r="A832" s="4"/>
      <c r="B832" s="4"/>
      <c r="C832" s="5"/>
      <c r="D832" s="5"/>
      <c r="E832" s="6"/>
      <c r="F832" s="4"/>
      <c r="G832" s="6"/>
      <c r="H832" s="7"/>
      <c r="I832" s="7"/>
      <c r="J832" s="7"/>
      <c r="K832" s="7"/>
      <c r="L832" s="7"/>
      <c r="M832" s="2"/>
      <c r="N832" s="2"/>
      <c r="O832" s="2"/>
      <c r="P832" s="2"/>
      <c r="Q832" s="2"/>
      <c r="R832" s="9"/>
      <c r="S832" s="4"/>
      <c r="T832" s="9"/>
      <c r="U832" s="9"/>
      <c r="V832" s="9"/>
      <c r="W832" s="9"/>
      <c r="X832" s="4"/>
      <c r="Y832" s="6"/>
      <c r="Z832" s="4"/>
      <c r="AA832" s="23"/>
      <c r="AB832" s="24"/>
      <c r="AC832" s="2"/>
      <c r="AD832" s="2"/>
      <c r="AE832" s="25"/>
      <c r="AF832" s="24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10"/>
      <c r="AU832" s="9"/>
    </row>
    <row r="833" spans="1:47">
      <c r="A833" s="4"/>
      <c r="B833" s="4"/>
      <c r="C833" s="5"/>
      <c r="D833" s="5"/>
      <c r="E833" s="6"/>
      <c r="F833" s="4"/>
      <c r="G833" s="6"/>
      <c r="H833" s="7"/>
      <c r="I833" s="7"/>
      <c r="J833" s="7"/>
      <c r="K833" s="7"/>
      <c r="L833" s="7"/>
      <c r="M833" s="2"/>
      <c r="N833" s="2"/>
      <c r="O833" s="2"/>
      <c r="P833" s="2"/>
      <c r="Q833" s="2"/>
      <c r="R833" s="9"/>
      <c r="S833" s="4"/>
      <c r="T833" s="9"/>
      <c r="U833" s="9"/>
      <c r="V833" s="9"/>
      <c r="W833" s="9"/>
      <c r="X833" s="4"/>
      <c r="Y833" s="6"/>
      <c r="Z833" s="4"/>
      <c r="AA833" s="23"/>
      <c r="AB833" s="24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10"/>
      <c r="AU833" s="9"/>
    </row>
    <row r="834" spans="1:47">
      <c r="A834" s="4"/>
      <c r="B834" s="4"/>
      <c r="C834" s="5"/>
      <c r="D834" s="5"/>
      <c r="E834" s="6"/>
      <c r="F834" s="4"/>
      <c r="G834" s="6"/>
      <c r="H834" s="7"/>
      <c r="I834" s="7"/>
      <c r="J834" s="7"/>
      <c r="K834" s="7"/>
      <c r="L834" s="7"/>
      <c r="M834" s="2"/>
      <c r="N834" s="2"/>
      <c r="O834" s="2"/>
      <c r="P834" s="2"/>
      <c r="Q834" s="2"/>
      <c r="R834" s="9"/>
      <c r="S834" s="4"/>
      <c r="T834" s="9"/>
      <c r="U834" s="9"/>
      <c r="V834" s="9"/>
      <c r="W834" s="9"/>
      <c r="X834" s="4"/>
      <c r="Y834" s="6"/>
      <c r="Z834" s="4"/>
      <c r="AA834" s="23"/>
      <c r="AB834" s="24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10"/>
      <c r="AU834" s="9"/>
    </row>
    <row r="835" spans="1:47">
      <c r="A835" s="4"/>
      <c r="B835" s="4"/>
      <c r="C835" s="5"/>
      <c r="D835" s="5"/>
      <c r="E835" s="6"/>
      <c r="F835" s="4"/>
      <c r="G835" s="6"/>
      <c r="H835" s="7"/>
      <c r="I835" s="7"/>
      <c r="J835" s="7"/>
      <c r="K835" s="7"/>
      <c r="L835" s="7"/>
      <c r="M835" s="2"/>
      <c r="N835" s="2"/>
      <c r="O835" s="2"/>
      <c r="P835" s="2"/>
      <c r="Q835" s="2"/>
      <c r="R835" s="9"/>
      <c r="S835" s="4"/>
      <c r="T835" s="9"/>
      <c r="U835" s="9"/>
      <c r="V835" s="9"/>
      <c r="W835" s="9"/>
      <c r="X835" s="4"/>
      <c r="Y835" s="6"/>
      <c r="Z835" s="4"/>
      <c r="AA835" s="23"/>
      <c r="AB835" s="24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10"/>
      <c r="AU835" s="9"/>
    </row>
    <row r="836" spans="1:47">
      <c r="A836" s="4"/>
      <c r="B836" s="4"/>
      <c r="C836" s="5"/>
      <c r="D836" s="5"/>
      <c r="E836" s="6"/>
      <c r="F836" s="4"/>
      <c r="G836" s="6"/>
      <c r="H836" s="7"/>
      <c r="I836" s="7"/>
      <c r="J836" s="7"/>
      <c r="K836" s="7"/>
      <c r="L836" s="7"/>
      <c r="M836" s="2"/>
      <c r="N836" s="2"/>
      <c r="O836" s="2"/>
      <c r="P836" s="2"/>
      <c r="Q836" s="2"/>
      <c r="R836" s="9"/>
      <c r="S836" s="4"/>
      <c r="T836" s="9"/>
      <c r="U836" s="9"/>
      <c r="V836" s="9"/>
      <c r="W836" s="9"/>
      <c r="X836" s="4"/>
      <c r="Y836" s="6"/>
      <c r="Z836" s="4"/>
      <c r="AA836" s="23"/>
      <c r="AB836" s="24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10"/>
      <c r="AU836" s="9"/>
    </row>
    <row r="837" spans="1:47">
      <c r="A837" s="4"/>
      <c r="B837" s="4"/>
      <c r="C837" s="5"/>
      <c r="D837" s="5"/>
      <c r="E837" s="6"/>
      <c r="F837" s="4"/>
      <c r="G837" s="6"/>
      <c r="H837" s="7"/>
      <c r="I837" s="2"/>
      <c r="J837" s="2"/>
      <c r="K837" s="2"/>
      <c r="L837" s="2"/>
      <c r="M837" s="2"/>
      <c r="N837" s="2"/>
      <c r="O837" s="2"/>
      <c r="P837" s="2"/>
      <c r="Q837" s="2"/>
      <c r="R837" s="9"/>
      <c r="S837" s="4"/>
      <c r="T837" s="9"/>
      <c r="U837" s="9"/>
      <c r="V837" s="9"/>
      <c r="W837" s="9"/>
      <c r="X837" s="4"/>
      <c r="Y837" s="6"/>
      <c r="Z837" s="4"/>
      <c r="AA837" s="23"/>
      <c r="AB837" s="24"/>
      <c r="AC837" s="2"/>
      <c r="AD837" s="2"/>
      <c r="AE837" s="25"/>
      <c r="AF837" s="24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10"/>
      <c r="AU837" s="9"/>
    </row>
    <row r="838" spans="1:47">
      <c r="A838" s="4"/>
      <c r="B838" s="4"/>
      <c r="C838" s="5"/>
      <c r="D838" s="5"/>
      <c r="E838" s="6"/>
      <c r="F838" s="4"/>
      <c r="G838" s="6"/>
      <c r="H838" s="7"/>
      <c r="I838" s="2"/>
      <c r="J838" s="2"/>
      <c r="K838" s="2"/>
      <c r="L838" s="2"/>
      <c r="M838" s="2"/>
      <c r="N838" s="2"/>
      <c r="O838" s="2"/>
      <c r="P838" s="2"/>
      <c r="Q838" s="2"/>
      <c r="R838" s="9"/>
      <c r="S838" s="4"/>
      <c r="T838" s="9"/>
      <c r="U838" s="9"/>
      <c r="V838" s="9"/>
      <c r="W838" s="9"/>
      <c r="X838" s="4"/>
      <c r="Y838" s="6"/>
      <c r="Z838" s="4"/>
      <c r="AA838" s="23"/>
      <c r="AB838" s="24"/>
      <c r="AC838" s="2"/>
      <c r="AD838" s="2"/>
      <c r="AE838" s="25"/>
      <c r="AF838" s="24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10"/>
      <c r="AU838" s="9"/>
    </row>
    <row r="839" spans="1:47">
      <c r="A839" s="4"/>
      <c r="B839" s="4"/>
      <c r="C839" s="5"/>
      <c r="D839" s="5"/>
      <c r="E839" s="6"/>
      <c r="F839" s="4"/>
      <c r="G839" s="6"/>
      <c r="H839" s="7"/>
      <c r="I839" s="7"/>
      <c r="J839" s="7"/>
      <c r="K839" s="2"/>
      <c r="L839" s="2"/>
      <c r="M839" s="2"/>
      <c r="N839" s="2"/>
      <c r="O839" s="2"/>
      <c r="P839" s="2"/>
      <c r="Q839" s="2"/>
      <c r="R839" s="9"/>
      <c r="S839" s="4"/>
      <c r="T839" s="9"/>
      <c r="U839" s="9"/>
      <c r="V839" s="9"/>
      <c r="W839" s="9"/>
      <c r="X839" s="4"/>
      <c r="Y839" s="6"/>
      <c r="Z839" s="9"/>
      <c r="AA839" s="4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10"/>
      <c r="AU839" s="9"/>
    </row>
    <row r="840" spans="1:47">
      <c r="A840" s="4"/>
      <c r="B840" s="4"/>
      <c r="C840" s="5"/>
      <c r="D840" s="5"/>
      <c r="E840" s="6"/>
      <c r="F840" s="4"/>
      <c r="G840" s="6"/>
      <c r="H840" s="7"/>
      <c r="I840" s="2"/>
      <c r="J840" s="2"/>
      <c r="K840" s="2"/>
      <c r="L840" s="2"/>
      <c r="M840" s="2"/>
      <c r="N840" s="2"/>
      <c r="O840" s="2"/>
      <c r="P840" s="2"/>
      <c r="Q840" s="2"/>
      <c r="R840" s="9"/>
      <c r="S840" s="4"/>
      <c r="T840" s="9"/>
      <c r="U840" s="9"/>
      <c r="V840" s="9"/>
      <c r="W840" s="9"/>
      <c r="X840" s="4"/>
      <c r="Y840" s="6"/>
      <c r="Z840" s="4"/>
      <c r="AA840" s="23"/>
      <c r="AB840" s="24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10"/>
      <c r="AU840" s="9"/>
    </row>
    <row r="841" spans="1:47">
      <c r="A841" s="4"/>
      <c r="B841" s="4"/>
      <c r="C841" s="5"/>
      <c r="D841" s="5"/>
      <c r="E841" s="6"/>
      <c r="F841" s="4"/>
      <c r="G841" s="6"/>
      <c r="H841" s="7"/>
      <c r="I841" s="2"/>
      <c r="J841" s="2"/>
      <c r="K841" s="2"/>
      <c r="L841" s="2"/>
      <c r="M841" s="2"/>
      <c r="N841" s="2"/>
      <c r="O841" s="2"/>
      <c r="P841" s="2"/>
      <c r="Q841" s="2"/>
      <c r="R841" s="9"/>
      <c r="S841" s="4"/>
      <c r="T841" s="9"/>
      <c r="U841" s="9"/>
      <c r="V841" s="9"/>
      <c r="W841" s="9"/>
      <c r="X841" s="4"/>
      <c r="Y841" s="6"/>
      <c r="Z841" s="4"/>
      <c r="AA841" s="23"/>
      <c r="AB841" s="24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10"/>
      <c r="AU841" s="9"/>
    </row>
    <row r="842" spans="1:47">
      <c r="A842" s="4"/>
      <c r="B842" s="4"/>
      <c r="C842" s="5"/>
      <c r="D842" s="5"/>
      <c r="E842" s="6"/>
      <c r="F842" s="4"/>
      <c r="G842" s="6"/>
      <c r="H842" s="7"/>
      <c r="I842" s="2"/>
      <c r="J842" s="2"/>
      <c r="K842" s="2"/>
      <c r="L842" s="2"/>
      <c r="M842" s="2"/>
      <c r="N842" s="2"/>
      <c r="O842" s="2"/>
      <c r="P842" s="2"/>
      <c r="Q842" s="2"/>
      <c r="R842" s="9"/>
      <c r="S842" s="4"/>
      <c r="T842" s="9"/>
      <c r="U842" s="9"/>
      <c r="V842" s="9"/>
      <c r="W842" s="9"/>
      <c r="X842" s="4"/>
      <c r="Y842" s="6"/>
      <c r="Z842" s="4"/>
      <c r="AA842" s="23"/>
      <c r="AB842" s="24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10"/>
      <c r="AU842" s="9"/>
    </row>
    <row r="843" spans="1:47">
      <c r="A843" s="4"/>
      <c r="B843" s="4"/>
      <c r="C843" s="5"/>
      <c r="D843" s="5"/>
      <c r="E843" s="6"/>
      <c r="F843" s="4"/>
      <c r="G843" s="6"/>
      <c r="H843" s="7"/>
      <c r="I843" s="2"/>
      <c r="J843" s="2"/>
      <c r="K843" s="2"/>
      <c r="L843" s="2"/>
      <c r="M843" s="2"/>
      <c r="N843" s="2"/>
      <c r="O843" s="2"/>
      <c r="P843" s="2"/>
      <c r="Q843" s="2"/>
      <c r="R843" s="9"/>
      <c r="S843" s="4"/>
      <c r="T843" s="9"/>
      <c r="U843" s="9"/>
      <c r="V843" s="9"/>
      <c r="W843" s="9"/>
      <c r="X843" s="4"/>
      <c r="Y843" s="6"/>
      <c r="Z843" s="4"/>
      <c r="AA843" s="23"/>
      <c r="AB843" s="24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10"/>
      <c r="AU843" s="9"/>
    </row>
    <row r="844" spans="1:47">
      <c r="A844" s="4"/>
      <c r="B844" s="4"/>
      <c r="C844" s="5"/>
      <c r="D844" s="5"/>
      <c r="E844" s="6"/>
      <c r="F844" s="4"/>
      <c r="G844" s="6"/>
      <c r="H844" s="7"/>
      <c r="I844" s="2"/>
      <c r="J844" s="2"/>
      <c r="K844" s="2"/>
      <c r="L844" s="2"/>
      <c r="M844" s="2"/>
      <c r="N844" s="2"/>
      <c r="O844" s="2"/>
      <c r="P844" s="2"/>
      <c r="Q844" s="2"/>
      <c r="R844" s="9"/>
      <c r="S844" s="4"/>
      <c r="T844" s="9"/>
      <c r="U844" s="9"/>
      <c r="V844" s="9"/>
      <c r="W844" s="9"/>
      <c r="X844" s="4"/>
      <c r="Y844" s="6"/>
      <c r="Z844" s="9"/>
      <c r="AA844" s="4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10"/>
      <c r="AU844" s="9"/>
    </row>
    <row r="845" spans="1:47">
      <c r="A845" s="4"/>
      <c r="B845" s="4"/>
      <c r="C845" s="5"/>
      <c r="D845" s="5"/>
      <c r="E845" s="6"/>
      <c r="F845" s="4"/>
      <c r="G845" s="6"/>
      <c r="H845" s="7"/>
      <c r="I845" s="2"/>
      <c r="J845" s="2"/>
      <c r="K845" s="2"/>
      <c r="L845" s="2"/>
      <c r="M845" s="2"/>
      <c r="N845" s="2"/>
      <c r="O845" s="2"/>
      <c r="P845" s="2"/>
      <c r="Q845" s="2"/>
      <c r="R845" s="9"/>
      <c r="S845" s="4"/>
      <c r="T845" s="9"/>
      <c r="U845" s="9"/>
      <c r="V845" s="9"/>
      <c r="W845" s="9"/>
      <c r="X845" s="4"/>
      <c r="Y845" s="6"/>
      <c r="Z845" s="9"/>
      <c r="AA845" s="4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10"/>
      <c r="AU845" s="9"/>
    </row>
    <row r="846" spans="1:47">
      <c r="A846" s="4"/>
      <c r="B846" s="9"/>
      <c r="C846" s="5"/>
      <c r="D846" s="5"/>
      <c r="E846" s="6"/>
      <c r="F846" s="4"/>
      <c r="G846" s="6"/>
      <c r="H846" s="7"/>
      <c r="I846" s="2"/>
      <c r="J846" s="2"/>
      <c r="K846" s="2"/>
      <c r="L846" s="2"/>
      <c r="M846" s="2"/>
      <c r="N846" s="2"/>
      <c r="O846" s="2"/>
      <c r="P846" s="2"/>
      <c r="Q846" s="2"/>
      <c r="R846" s="9"/>
      <c r="S846" s="4"/>
      <c r="T846" s="9"/>
      <c r="U846" s="9"/>
      <c r="V846" s="9"/>
      <c r="W846" s="9"/>
      <c r="X846" s="4"/>
      <c r="Y846" s="6"/>
      <c r="Z846" s="9"/>
      <c r="AA846" s="4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10"/>
      <c r="AU846" s="9"/>
    </row>
    <row r="847" spans="1:47">
      <c r="A847" s="4"/>
      <c r="B847" s="4"/>
      <c r="C847" s="5"/>
      <c r="D847" s="5"/>
      <c r="E847" s="6"/>
      <c r="F847" s="4"/>
      <c r="G847" s="6"/>
      <c r="H847" s="7"/>
      <c r="I847" s="7"/>
      <c r="J847" s="2"/>
      <c r="K847" s="2"/>
      <c r="L847" s="2"/>
      <c r="M847" s="2"/>
      <c r="N847" s="2"/>
      <c r="O847" s="2"/>
      <c r="P847" s="2"/>
      <c r="Q847" s="2"/>
      <c r="R847" s="9"/>
      <c r="S847" s="4"/>
      <c r="T847" s="9"/>
      <c r="U847" s="9"/>
      <c r="V847" s="9"/>
      <c r="W847" s="9"/>
      <c r="X847" s="4"/>
      <c r="Y847" s="6"/>
      <c r="Z847" s="9"/>
      <c r="AA847" s="4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10"/>
      <c r="AU847" s="9"/>
    </row>
    <row r="848" spans="1:47">
      <c r="A848" s="4"/>
      <c r="B848" s="4"/>
      <c r="C848" s="5"/>
      <c r="D848" s="5"/>
      <c r="E848" s="6"/>
      <c r="F848" s="4"/>
      <c r="G848" s="6"/>
      <c r="H848" s="7"/>
      <c r="I848" s="7"/>
      <c r="J848" s="2"/>
      <c r="K848" s="2"/>
      <c r="L848" s="2"/>
      <c r="M848" s="2"/>
      <c r="N848" s="2"/>
      <c r="O848" s="2"/>
      <c r="P848" s="2"/>
      <c r="Q848" s="2"/>
      <c r="R848" s="9"/>
      <c r="S848" s="4"/>
      <c r="T848" s="9"/>
      <c r="U848" s="9"/>
      <c r="V848" s="9"/>
      <c r="W848" s="9"/>
      <c r="X848" s="4"/>
      <c r="Y848" s="6"/>
      <c r="Z848" s="9"/>
      <c r="AA848" s="4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10"/>
      <c r="AU848" s="9"/>
    </row>
    <row r="849" spans="1:47">
      <c r="A849" s="4"/>
      <c r="B849" s="4"/>
      <c r="C849" s="5"/>
      <c r="D849" s="5"/>
      <c r="E849" s="6"/>
      <c r="F849" s="4"/>
      <c r="G849" s="6"/>
      <c r="H849" s="7"/>
      <c r="I849" s="7"/>
      <c r="J849" s="2"/>
      <c r="K849" s="2"/>
      <c r="L849" s="2"/>
      <c r="M849" s="2"/>
      <c r="N849" s="2"/>
      <c r="O849" s="2"/>
      <c r="P849" s="2"/>
      <c r="Q849" s="2"/>
      <c r="R849" s="9"/>
      <c r="S849" s="4"/>
      <c r="T849" s="9"/>
      <c r="U849" s="9"/>
      <c r="V849" s="9"/>
      <c r="W849" s="9"/>
      <c r="X849" s="4"/>
      <c r="Y849" s="6"/>
      <c r="Z849" s="9"/>
      <c r="AA849" s="4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10"/>
      <c r="AU849" s="9"/>
    </row>
    <row r="850" spans="1:47">
      <c r="A850" s="4"/>
      <c r="B850" s="9"/>
      <c r="C850" s="5"/>
      <c r="D850" s="5"/>
      <c r="E850" s="6"/>
      <c r="F850" s="4"/>
      <c r="G850" s="6"/>
      <c r="H850" s="7"/>
      <c r="I850" s="2"/>
      <c r="J850" s="2"/>
      <c r="K850" s="2"/>
      <c r="L850" s="2"/>
      <c r="M850" s="2"/>
      <c r="N850" s="2"/>
      <c r="O850" s="2"/>
      <c r="P850" s="2"/>
      <c r="Q850" s="2"/>
      <c r="R850" s="9"/>
      <c r="S850" s="4"/>
      <c r="T850" s="9"/>
      <c r="U850" s="9"/>
      <c r="V850" s="9"/>
      <c r="W850" s="9"/>
      <c r="X850" s="4"/>
      <c r="Y850" s="6"/>
      <c r="Z850" s="9"/>
      <c r="AA850" s="4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10"/>
      <c r="AU850" s="9"/>
    </row>
    <row r="851" spans="1:47">
      <c r="A851" s="4"/>
      <c r="B851" s="4"/>
      <c r="C851" s="5"/>
      <c r="D851" s="5"/>
      <c r="E851" s="6"/>
      <c r="F851" s="4"/>
      <c r="G851" s="6"/>
      <c r="H851" s="7"/>
      <c r="I851" s="2"/>
      <c r="J851" s="2"/>
      <c r="K851" s="2"/>
      <c r="L851" s="2"/>
      <c r="M851" s="2"/>
      <c r="N851" s="2"/>
      <c r="O851" s="2"/>
      <c r="P851" s="2"/>
      <c r="Q851" s="2"/>
      <c r="R851" s="9"/>
      <c r="S851" s="4"/>
      <c r="T851" s="9"/>
      <c r="U851" s="9"/>
      <c r="V851" s="9"/>
      <c r="W851" s="9"/>
      <c r="X851" s="4"/>
      <c r="Y851" s="6"/>
      <c r="Z851" s="9"/>
      <c r="AA851" s="4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10"/>
      <c r="AU851" s="9"/>
    </row>
    <row r="852" spans="1:47">
      <c r="A852" s="4"/>
      <c r="B852" s="4"/>
      <c r="C852" s="5"/>
      <c r="D852" s="5"/>
      <c r="E852" s="6"/>
      <c r="F852" s="4"/>
      <c r="G852" s="6"/>
      <c r="H852" s="7"/>
      <c r="I852" s="7"/>
      <c r="J852" s="7"/>
      <c r="K852" s="2"/>
      <c r="L852" s="2"/>
      <c r="M852" s="2"/>
      <c r="N852" s="2"/>
      <c r="O852" s="2"/>
      <c r="P852" s="2"/>
      <c r="Q852" s="2"/>
      <c r="R852" s="9"/>
      <c r="S852" s="4"/>
      <c r="T852" s="9"/>
      <c r="U852" s="9"/>
      <c r="V852" s="9"/>
      <c r="W852" s="9"/>
      <c r="X852" s="4"/>
      <c r="Y852" s="6"/>
      <c r="Z852" s="9"/>
      <c r="AA852" s="4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10"/>
      <c r="AU852" s="9"/>
    </row>
    <row r="853" spans="1:47">
      <c r="A853" s="4"/>
      <c r="B853" s="4"/>
      <c r="C853" s="5"/>
      <c r="D853" s="5"/>
      <c r="E853" s="6"/>
      <c r="F853" s="4"/>
      <c r="G853" s="6"/>
      <c r="H853" s="7"/>
      <c r="I853" s="7"/>
      <c r="J853" s="7"/>
      <c r="K853" s="2"/>
      <c r="L853" s="2"/>
      <c r="M853" s="2"/>
      <c r="N853" s="2"/>
      <c r="O853" s="2"/>
      <c r="P853" s="2"/>
      <c r="Q853" s="2"/>
      <c r="R853" s="9"/>
      <c r="S853" s="4"/>
      <c r="T853" s="9"/>
      <c r="U853" s="9"/>
      <c r="V853" s="9"/>
      <c r="W853" s="9"/>
      <c r="X853" s="4"/>
      <c r="Y853" s="6"/>
      <c r="Z853" s="9"/>
      <c r="AA853" s="4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10"/>
      <c r="AU853" s="9"/>
    </row>
    <row r="854" spans="1:47">
      <c r="A854" s="4"/>
      <c r="B854" s="4"/>
      <c r="C854" s="5"/>
      <c r="D854" s="5"/>
      <c r="E854" s="6"/>
      <c r="F854" s="4"/>
      <c r="G854" s="6"/>
      <c r="H854" s="7"/>
      <c r="I854" s="7"/>
      <c r="J854" s="7"/>
      <c r="K854" s="2"/>
      <c r="L854" s="2"/>
      <c r="M854" s="2"/>
      <c r="N854" s="2"/>
      <c r="O854" s="2"/>
      <c r="P854" s="2"/>
      <c r="Q854" s="2"/>
      <c r="R854" s="9"/>
      <c r="S854" s="4"/>
      <c r="T854" s="9"/>
      <c r="U854" s="9"/>
      <c r="V854" s="9"/>
      <c r="W854" s="9"/>
      <c r="X854" s="4"/>
      <c r="Y854" s="6"/>
      <c r="Z854" s="9"/>
      <c r="AA854" s="4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10"/>
      <c r="AU854" s="9"/>
    </row>
    <row r="855" spans="1:47">
      <c r="A855" s="4"/>
      <c r="B855" s="4"/>
      <c r="C855" s="5"/>
      <c r="D855" s="5"/>
      <c r="E855" s="6"/>
      <c r="F855" s="4"/>
      <c r="G855" s="6"/>
      <c r="H855" s="7"/>
      <c r="I855" s="7"/>
      <c r="J855" s="7"/>
      <c r="K855" s="2"/>
      <c r="L855" s="2"/>
      <c r="M855" s="2"/>
      <c r="N855" s="2"/>
      <c r="O855" s="2"/>
      <c r="P855" s="2"/>
      <c r="Q855" s="2"/>
      <c r="R855" s="9"/>
      <c r="S855" s="4"/>
      <c r="T855" s="9"/>
      <c r="U855" s="9"/>
      <c r="V855" s="9"/>
      <c r="W855" s="9"/>
      <c r="X855" s="4"/>
      <c r="Y855" s="6"/>
      <c r="Z855" s="9"/>
      <c r="AA855" s="4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10"/>
      <c r="AU855" s="9"/>
    </row>
    <row r="856" spans="1:47">
      <c r="A856" s="4"/>
      <c r="B856" s="4"/>
      <c r="C856" s="5"/>
      <c r="D856" s="5"/>
      <c r="E856" s="6"/>
      <c r="F856" s="4"/>
      <c r="G856" s="6"/>
      <c r="H856" s="7"/>
      <c r="I856" s="7"/>
      <c r="J856" s="7"/>
      <c r="K856" s="2"/>
      <c r="L856" s="2"/>
      <c r="M856" s="2"/>
      <c r="N856" s="2"/>
      <c r="O856" s="2"/>
      <c r="P856" s="2"/>
      <c r="Q856" s="2"/>
      <c r="R856" s="9"/>
      <c r="S856" s="4"/>
      <c r="T856" s="9"/>
      <c r="U856" s="9"/>
      <c r="V856" s="9"/>
      <c r="W856" s="9"/>
      <c r="X856" s="4"/>
      <c r="Y856" s="6"/>
      <c r="Z856" s="9"/>
      <c r="AA856" s="4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10"/>
      <c r="AU856" s="9"/>
    </row>
    <row r="857" spans="1:47">
      <c r="A857" s="4"/>
      <c r="B857" s="4"/>
      <c r="C857" s="5"/>
      <c r="D857" s="5"/>
      <c r="E857" s="6"/>
      <c r="F857" s="4"/>
      <c r="G857" s="6"/>
      <c r="H857" s="7"/>
      <c r="I857" s="7"/>
      <c r="J857" s="7"/>
      <c r="K857" s="2"/>
      <c r="L857" s="2"/>
      <c r="M857" s="2"/>
      <c r="N857" s="2"/>
      <c r="O857" s="2"/>
      <c r="P857" s="2"/>
      <c r="Q857" s="2"/>
      <c r="R857" s="9"/>
      <c r="S857" s="4"/>
      <c r="T857" s="9"/>
      <c r="U857" s="9"/>
      <c r="V857" s="9"/>
      <c r="W857" s="9"/>
      <c r="X857" s="4"/>
      <c r="Y857" s="6"/>
      <c r="Z857" s="9"/>
      <c r="AA857" s="4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10"/>
      <c r="AU857" s="9"/>
    </row>
    <row r="858" spans="1:47">
      <c r="A858" s="4"/>
      <c r="B858" s="4"/>
      <c r="C858" s="5"/>
      <c r="D858" s="5"/>
      <c r="E858" s="6"/>
      <c r="F858" s="4"/>
      <c r="G858" s="6"/>
      <c r="H858" s="7"/>
      <c r="I858" s="7"/>
      <c r="J858" s="7"/>
      <c r="K858" s="2"/>
      <c r="L858" s="2"/>
      <c r="M858" s="2"/>
      <c r="N858" s="2"/>
      <c r="O858" s="2"/>
      <c r="P858" s="2"/>
      <c r="Q858" s="2"/>
      <c r="R858" s="9"/>
      <c r="S858" s="4"/>
      <c r="T858" s="9"/>
      <c r="U858" s="9"/>
      <c r="V858" s="9"/>
      <c r="W858" s="9"/>
      <c r="X858" s="4"/>
      <c r="Y858" s="6"/>
      <c r="Z858" s="9"/>
      <c r="AA858" s="4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10"/>
      <c r="AU858" s="9"/>
    </row>
    <row r="859" spans="1:47">
      <c r="A859" s="4"/>
      <c r="B859" s="4"/>
      <c r="C859" s="5"/>
      <c r="D859" s="5"/>
      <c r="E859" s="6"/>
      <c r="F859" s="4"/>
      <c r="G859" s="6"/>
      <c r="H859" s="7"/>
      <c r="I859" s="7"/>
      <c r="J859" s="7"/>
      <c r="K859" s="7"/>
      <c r="L859" s="7"/>
      <c r="M859" s="7"/>
      <c r="N859" s="7"/>
      <c r="O859" s="2"/>
      <c r="P859" s="2"/>
      <c r="Q859" s="2"/>
      <c r="R859" s="9"/>
      <c r="S859" s="4"/>
      <c r="T859" s="9"/>
      <c r="U859" s="9"/>
      <c r="V859" s="9"/>
      <c r="W859" s="9"/>
      <c r="X859" s="4"/>
      <c r="Y859" s="6"/>
      <c r="Z859" s="9"/>
      <c r="AA859" s="4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10"/>
      <c r="AU859" s="9"/>
    </row>
    <row r="860" spans="1:47">
      <c r="A860" s="4"/>
      <c r="B860" s="4"/>
      <c r="C860" s="5"/>
      <c r="D860" s="5"/>
      <c r="E860" s="6"/>
      <c r="F860" s="4"/>
      <c r="G860" s="6"/>
      <c r="H860" s="7"/>
      <c r="I860" s="7"/>
      <c r="J860" s="7"/>
      <c r="K860" s="7"/>
      <c r="L860" s="7"/>
      <c r="M860" s="7"/>
      <c r="N860" s="7"/>
      <c r="O860" s="2"/>
      <c r="P860" s="2"/>
      <c r="Q860" s="2"/>
      <c r="R860" s="9"/>
      <c r="S860" s="4"/>
      <c r="T860" s="9"/>
      <c r="U860" s="9"/>
      <c r="V860" s="9"/>
      <c r="W860" s="9"/>
      <c r="X860" s="4"/>
      <c r="Y860" s="6"/>
      <c r="Z860" s="9"/>
      <c r="AA860" s="4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10"/>
      <c r="AU860" s="9"/>
    </row>
    <row r="861" spans="1:47">
      <c r="A861" s="4"/>
      <c r="B861" s="4"/>
      <c r="C861" s="5"/>
      <c r="D861" s="5"/>
      <c r="E861" s="6"/>
      <c r="F861" s="4"/>
      <c r="G861" s="6"/>
      <c r="H861" s="7"/>
      <c r="I861" s="7"/>
      <c r="J861" s="7"/>
      <c r="K861" s="7"/>
      <c r="L861" s="7"/>
      <c r="M861" s="7"/>
      <c r="N861" s="7"/>
      <c r="O861" s="2"/>
      <c r="P861" s="2"/>
      <c r="Q861" s="2"/>
      <c r="R861" s="9"/>
      <c r="S861" s="4"/>
      <c r="T861" s="9"/>
      <c r="U861" s="9"/>
      <c r="V861" s="9"/>
      <c r="W861" s="9"/>
      <c r="X861" s="4"/>
      <c r="Y861" s="6"/>
      <c r="Z861" s="9"/>
      <c r="AA861" s="4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10"/>
      <c r="AU861" s="9"/>
    </row>
    <row r="862" spans="1:47">
      <c r="A862" s="4"/>
      <c r="B862" s="4"/>
      <c r="C862" s="5"/>
      <c r="D862" s="5"/>
      <c r="E862" s="6"/>
      <c r="F862" s="4"/>
      <c r="G862" s="6"/>
      <c r="H862" s="7"/>
      <c r="I862" s="7"/>
      <c r="J862" s="7"/>
      <c r="K862" s="7"/>
      <c r="L862" s="7"/>
      <c r="M862" s="7"/>
      <c r="N862" s="7"/>
      <c r="O862" s="2"/>
      <c r="P862" s="2"/>
      <c r="Q862" s="2"/>
      <c r="R862" s="9"/>
      <c r="S862" s="4"/>
      <c r="T862" s="9"/>
      <c r="U862" s="9"/>
      <c r="V862" s="9"/>
      <c r="W862" s="9"/>
      <c r="X862" s="4"/>
      <c r="Y862" s="6"/>
      <c r="Z862" s="9"/>
      <c r="AA862" s="4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10"/>
      <c r="AU862" s="9"/>
    </row>
    <row r="863" spans="1:47">
      <c r="A863" s="4"/>
      <c r="B863" s="4"/>
      <c r="C863" s="5"/>
      <c r="D863" s="5"/>
      <c r="E863" s="6"/>
      <c r="F863" s="4"/>
      <c r="G863" s="6"/>
      <c r="H863" s="7"/>
      <c r="I863" s="7"/>
      <c r="J863" s="7"/>
      <c r="K863" s="7"/>
      <c r="L863" s="7"/>
      <c r="M863" s="7"/>
      <c r="N863" s="7"/>
      <c r="O863" s="2"/>
      <c r="P863" s="2"/>
      <c r="Q863" s="2"/>
      <c r="R863" s="9"/>
      <c r="S863" s="4"/>
      <c r="T863" s="9"/>
      <c r="U863" s="9"/>
      <c r="V863" s="9"/>
      <c r="W863" s="9"/>
      <c r="X863" s="4"/>
      <c r="Y863" s="6"/>
      <c r="Z863" s="9"/>
      <c r="AA863" s="4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10"/>
      <c r="AU863" s="9"/>
    </row>
    <row r="864" spans="1:47">
      <c r="A864" s="4"/>
      <c r="B864" s="4"/>
      <c r="C864" s="5"/>
      <c r="D864" s="5"/>
      <c r="E864" s="6"/>
      <c r="F864" s="4"/>
      <c r="G864" s="6"/>
      <c r="H864" s="7"/>
      <c r="I864" s="7"/>
      <c r="J864" s="7"/>
      <c r="K864" s="7"/>
      <c r="L864" s="7"/>
      <c r="M864" s="7"/>
      <c r="N864" s="7"/>
      <c r="O864" s="2"/>
      <c r="P864" s="2"/>
      <c r="Q864" s="2"/>
      <c r="R864" s="9"/>
      <c r="S864" s="4"/>
      <c r="T864" s="9"/>
      <c r="U864" s="9"/>
      <c r="V864" s="9"/>
      <c r="W864" s="9"/>
      <c r="X864" s="4"/>
      <c r="Y864" s="6"/>
      <c r="Z864" s="9"/>
      <c r="AA864" s="4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10"/>
      <c r="AU864" s="9"/>
    </row>
    <row r="865" spans="1:47">
      <c r="A865" s="4"/>
      <c r="B865" s="4"/>
      <c r="C865" s="5"/>
      <c r="D865" s="5"/>
      <c r="E865" s="6"/>
      <c r="F865" s="4"/>
      <c r="G865" s="6"/>
      <c r="H865" s="7"/>
      <c r="I865" s="7"/>
      <c r="J865" s="7"/>
      <c r="K865" s="7"/>
      <c r="L865" s="7"/>
      <c r="M865" s="7"/>
      <c r="N865" s="7"/>
      <c r="O865" s="2"/>
      <c r="P865" s="2"/>
      <c r="Q865" s="2"/>
      <c r="R865" s="9"/>
      <c r="S865" s="4"/>
      <c r="T865" s="9"/>
      <c r="U865" s="9"/>
      <c r="V865" s="9"/>
      <c r="W865" s="9"/>
      <c r="X865" s="4"/>
      <c r="Y865" s="6"/>
      <c r="Z865" s="9"/>
      <c r="AA865" s="4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10"/>
      <c r="AU865" s="9"/>
    </row>
    <row r="866" spans="1:47">
      <c r="A866" s="4"/>
      <c r="B866" s="4"/>
      <c r="C866" s="5"/>
      <c r="D866" s="5"/>
      <c r="E866" s="6"/>
      <c r="F866" s="4"/>
      <c r="G866" s="6"/>
      <c r="H866" s="7"/>
      <c r="I866" s="7"/>
      <c r="J866" s="7"/>
      <c r="K866" s="7"/>
      <c r="L866" s="7"/>
      <c r="M866" s="7"/>
      <c r="N866" s="7"/>
      <c r="O866" s="2"/>
      <c r="P866" s="2"/>
      <c r="Q866" s="2"/>
      <c r="R866" s="9"/>
      <c r="S866" s="4"/>
      <c r="T866" s="9"/>
      <c r="U866" s="9"/>
      <c r="V866" s="9"/>
      <c r="W866" s="9"/>
      <c r="X866" s="4"/>
      <c r="Y866" s="6"/>
      <c r="Z866" s="9"/>
      <c r="AA866" s="4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10"/>
      <c r="AU866" s="9"/>
    </row>
    <row r="867" spans="1:47">
      <c r="A867" s="4"/>
      <c r="B867" s="4"/>
      <c r="C867" s="5"/>
      <c r="D867" s="5"/>
      <c r="E867" s="6"/>
      <c r="F867" s="4"/>
      <c r="G867" s="6"/>
      <c r="H867" s="7"/>
      <c r="I867" s="7"/>
      <c r="J867" s="7"/>
      <c r="K867" s="7"/>
      <c r="L867" s="7"/>
      <c r="M867" s="7"/>
      <c r="N867" s="7"/>
      <c r="O867" s="2"/>
      <c r="P867" s="2"/>
      <c r="Q867" s="2"/>
      <c r="R867" s="9"/>
      <c r="S867" s="4"/>
      <c r="T867" s="9"/>
      <c r="U867" s="9"/>
      <c r="V867" s="9"/>
      <c r="W867" s="9"/>
      <c r="X867" s="4"/>
      <c r="Y867" s="6"/>
      <c r="Z867" s="9"/>
      <c r="AA867" s="4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10"/>
      <c r="AU867" s="9"/>
    </row>
    <row r="868" spans="1:47">
      <c r="A868" s="4"/>
      <c r="B868" s="4"/>
      <c r="C868" s="5"/>
      <c r="D868" s="5"/>
      <c r="E868" s="6"/>
      <c r="F868" s="4"/>
      <c r="G868" s="6"/>
      <c r="H868" s="7"/>
      <c r="I868" s="7"/>
      <c r="J868" s="7"/>
      <c r="K868" s="7"/>
      <c r="L868" s="7"/>
      <c r="M868" s="7"/>
      <c r="N868" s="7"/>
      <c r="O868" s="2"/>
      <c r="P868" s="2"/>
      <c r="Q868" s="2"/>
      <c r="R868" s="9"/>
      <c r="S868" s="4"/>
      <c r="T868" s="9"/>
      <c r="U868" s="9"/>
      <c r="V868" s="9"/>
      <c r="W868" s="9"/>
      <c r="X868" s="4"/>
      <c r="Y868" s="6"/>
      <c r="Z868" s="9"/>
      <c r="AA868" s="4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10"/>
      <c r="AU868" s="9"/>
    </row>
    <row r="869" spans="1:47">
      <c r="A869" s="4"/>
      <c r="B869" s="4"/>
      <c r="C869" s="5"/>
      <c r="D869" s="5"/>
      <c r="E869" s="6"/>
      <c r="F869" s="4"/>
      <c r="G869" s="6"/>
      <c r="H869" s="7"/>
      <c r="I869" s="7"/>
      <c r="J869" s="7"/>
      <c r="K869" s="7"/>
      <c r="L869" s="7"/>
      <c r="M869" s="7"/>
      <c r="N869" s="7"/>
      <c r="O869" s="2"/>
      <c r="P869" s="2"/>
      <c r="Q869" s="2"/>
      <c r="R869" s="9"/>
      <c r="S869" s="4"/>
      <c r="T869" s="9"/>
      <c r="U869" s="9"/>
      <c r="V869" s="9"/>
      <c r="W869" s="9"/>
      <c r="X869" s="4"/>
      <c r="Y869" s="6"/>
      <c r="Z869" s="9"/>
      <c r="AA869" s="4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10"/>
      <c r="AU869" s="9"/>
    </row>
    <row r="870" spans="1:47">
      <c r="A870" s="4"/>
      <c r="B870" s="4"/>
      <c r="C870" s="5"/>
      <c r="D870" s="5"/>
      <c r="E870" s="6"/>
      <c r="F870" s="4"/>
      <c r="G870" s="6"/>
      <c r="H870" s="7"/>
      <c r="I870" s="7"/>
      <c r="J870" s="7"/>
      <c r="K870" s="7"/>
      <c r="L870" s="7"/>
      <c r="M870" s="7"/>
      <c r="N870" s="7"/>
      <c r="O870" s="2"/>
      <c r="P870" s="2"/>
      <c r="Q870" s="2"/>
      <c r="R870" s="9"/>
      <c r="S870" s="4"/>
      <c r="T870" s="9"/>
      <c r="U870" s="9"/>
      <c r="V870" s="9"/>
      <c r="W870" s="9"/>
      <c r="X870" s="4"/>
      <c r="Y870" s="6"/>
      <c r="Z870" s="9"/>
      <c r="AA870" s="4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10"/>
      <c r="AU870" s="9"/>
    </row>
    <row r="871" spans="1:47">
      <c r="A871" s="4"/>
      <c r="B871" s="4"/>
      <c r="C871" s="5"/>
      <c r="D871" s="5"/>
      <c r="E871" s="6"/>
      <c r="F871" s="4"/>
      <c r="G871" s="6"/>
      <c r="H871" s="7"/>
      <c r="I871" s="7"/>
      <c r="J871" s="7"/>
      <c r="K871" s="7"/>
      <c r="L871" s="7"/>
      <c r="M871" s="7"/>
      <c r="N871" s="7"/>
      <c r="O871" s="2"/>
      <c r="P871" s="2"/>
      <c r="Q871" s="2"/>
      <c r="R871" s="9"/>
      <c r="S871" s="4"/>
      <c r="T871" s="9"/>
      <c r="U871" s="9"/>
      <c r="V871" s="9"/>
      <c r="W871" s="9"/>
      <c r="X871" s="4"/>
      <c r="Y871" s="6"/>
      <c r="Z871" s="9"/>
      <c r="AA871" s="4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10"/>
      <c r="AU871" s="9"/>
    </row>
    <row r="872" spans="1:47">
      <c r="A872" s="4"/>
      <c r="B872" s="4"/>
      <c r="C872" s="5"/>
      <c r="D872" s="5"/>
      <c r="E872" s="6"/>
      <c r="F872" s="4"/>
      <c r="G872" s="6"/>
      <c r="H872" s="7"/>
      <c r="I872" s="7"/>
      <c r="J872" s="7"/>
      <c r="K872" s="7"/>
      <c r="L872" s="7"/>
      <c r="M872" s="7"/>
      <c r="N872" s="7"/>
      <c r="O872" s="2"/>
      <c r="P872" s="2"/>
      <c r="Q872" s="2"/>
      <c r="R872" s="9"/>
      <c r="S872" s="4"/>
      <c r="T872" s="9"/>
      <c r="U872" s="9"/>
      <c r="V872" s="9"/>
      <c r="W872" s="9"/>
      <c r="X872" s="4"/>
      <c r="Y872" s="6"/>
      <c r="Z872" s="9"/>
      <c r="AA872" s="4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10"/>
      <c r="AU872" s="9"/>
    </row>
    <row r="873" spans="1:47">
      <c r="A873" s="4"/>
      <c r="B873" s="4"/>
      <c r="C873" s="5"/>
      <c r="D873" s="5"/>
      <c r="E873" s="6"/>
      <c r="F873" s="4"/>
      <c r="G873" s="6"/>
      <c r="H873" s="7"/>
      <c r="I873" s="7"/>
      <c r="J873" s="7"/>
      <c r="K873" s="7"/>
      <c r="L873" s="7"/>
      <c r="M873" s="7"/>
      <c r="N873" s="7"/>
      <c r="O873" s="2"/>
      <c r="P873" s="2"/>
      <c r="Q873" s="2"/>
      <c r="R873" s="9"/>
      <c r="S873" s="4"/>
      <c r="T873" s="9"/>
      <c r="U873" s="9"/>
      <c r="V873" s="9"/>
      <c r="W873" s="9"/>
      <c r="X873" s="4"/>
      <c r="Y873" s="6"/>
      <c r="Z873" s="9"/>
      <c r="AA873" s="4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10"/>
      <c r="AU873" s="9"/>
    </row>
    <row r="874" spans="1:47">
      <c r="A874" s="4"/>
      <c r="B874" s="4"/>
      <c r="C874" s="5"/>
      <c r="D874" s="5"/>
      <c r="E874" s="6"/>
      <c r="F874" s="4"/>
      <c r="G874" s="6"/>
      <c r="H874" s="7"/>
      <c r="I874" s="7"/>
      <c r="J874" s="7"/>
      <c r="K874" s="7"/>
      <c r="L874" s="7"/>
      <c r="M874" s="7"/>
      <c r="N874" s="7"/>
      <c r="O874" s="2"/>
      <c r="P874" s="2"/>
      <c r="Q874" s="2"/>
      <c r="R874" s="9"/>
      <c r="S874" s="4"/>
      <c r="T874" s="9"/>
      <c r="U874" s="9"/>
      <c r="V874" s="9"/>
      <c r="W874" s="9"/>
      <c r="X874" s="4"/>
      <c r="Y874" s="6"/>
      <c r="Z874" s="9"/>
      <c r="AA874" s="4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10"/>
      <c r="AU874" s="9"/>
    </row>
    <row r="875" spans="1:47">
      <c r="A875" s="4"/>
      <c r="B875" s="4"/>
      <c r="C875" s="5"/>
      <c r="D875" s="5"/>
      <c r="E875" s="6"/>
      <c r="F875" s="4"/>
      <c r="G875" s="6"/>
      <c r="H875" s="7"/>
      <c r="I875" s="2"/>
      <c r="J875" s="2"/>
      <c r="K875" s="2"/>
      <c r="L875" s="2"/>
      <c r="M875" s="2"/>
      <c r="N875" s="2"/>
      <c r="O875" s="2"/>
      <c r="P875" s="2"/>
      <c r="Q875" s="2"/>
      <c r="R875" s="9"/>
      <c r="S875" s="4"/>
      <c r="T875" s="9"/>
      <c r="U875" s="9"/>
      <c r="V875" s="9"/>
      <c r="W875" s="9"/>
      <c r="X875" s="4"/>
      <c r="Y875" s="6"/>
      <c r="Z875" s="9"/>
      <c r="AA875" s="4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10"/>
      <c r="AU875" s="9"/>
    </row>
    <row r="876" spans="1:47">
      <c r="A876" s="4"/>
      <c r="B876" s="4"/>
      <c r="C876" s="5"/>
      <c r="D876" s="5"/>
      <c r="E876" s="6"/>
      <c r="F876" s="4"/>
      <c r="G876" s="6"/>
      <c r="H876" s="7"/>
      <c r="I876" s="2"/>
      <c r="J876" s="2"/>
      <c r="K876" s="2"/>
      <c r="L876" s="2"/>
      <c r="M876" s="2"/>
      <c r="N876" s="2"/>
      <c r="O876" s="2"/>
      <c r="P876" s="2"/>
      <c r="Q876" s="2"/>
      <c r="R876" s="9"/>
      <c r="S876" s="4"/>
      <c r="T876" s="9"/>
      <c r="U876" s="9"/>
      <c r="V876" s="9"/>
      <c r="W876" s="9"/>
      <c r="X876" s="4"/>
      <c r="Y876" s="6"/>
      <c r="Z876" s="4"/>
      <c r="AA876" s="23"/>
      <c r="AB876" s="24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10"/>
      <c r="AU876" s="9"/>
    </row>
    <row r="877" spans="1:47">
      <c r="A877" s="4"/>
      <c r="B877" s="4"/>
      <c r="C877" s="5"/>
      <c r="D877" s="5"/>
      <c r="E877" s="6"/>
      <c r="F877" s="4"/>
      <c r="G877" s="6"/>
      <c r="H877" s="7"/>
      <c r="I877" s="2"/>
      <c r="J877" s="2"/>
      <c r="K877" s="2"/>
      <c r="L877" s="2"/>
      <c r="M877" s="2"/>
      <c r="N877" s="2"/>
      <c r="O877" s="2"/>
      <c r="P877" s="2"/>
      <c r="Q877" s="2"/>
      <c r="R877" s="9"/>
      <c r="S877" s="4"/>
      <c r="T877" s="9"/>
      <c r="U877" s="9"/>
      <c r="V877" s="9"/>
      <c r="W877" s="9"/>
      <c r="X877" s="4"/>
      <c r="Y877" s="6"/>
      <c r="Z877" s="4"/>
      <c r="AA877" s="23"/>
      <c r="AB877" s="24"/>
      <c r="AC877" s="2"/>
      <c r="AD877" s="2"/>
      <c r="AE877" s="25"/>
      <c r="AF877" s="24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10"/>
      <c r="AU877" s="9"/>
    </row>
    <row r="878" spans="1:47">
      <c r="A878" s="4"/>
      <c r="B878" s="4"/>
      <c r="C878" s="5"/>
      <c r="D878" s="5"/>
      <c r="E878" s="6"/>
      <c r="F878" s="4"/>
      <c r="G878" s="6"/>
      <c r="H878" s="7"/>
      <c r="I878" s="2"/>
      <c r="J878" s="2"/>
      <c r="K878" s="2"/>
      <c r="L878" s="2"/>
      <c r="M878" s="2"/>
      <c r="N878" s="2"/>
      <c r="O878" s="2"/>
      <c r="P878" s="2"/>
      <c r="Q878" s="2"/>
      <c r="R878" s="9"/>
      <c r="S878" s="4"/>
      <c r="T878" s="9"/>
      <c r="U878" s="9"/>
      <c r="V878" s="9"/>
      <c r="W878" s="9"/>
      <c r="X878" s="4"/>
      <c r="Y878" s="6"/>
      <c r="Z878" s="4"/>
      <c r="AA878" s="23"/>
      <c r="AB878" s="24"/>
      <c r="AC878" s="25"/>
      <c r="AD878" s="24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10"/>
      <c r="AU878" s="9"/>
    </row>
    <row r="879" spans="1:47">
      <c r="A879" s="4"/>
      <c r="B879" s="4"/>
      <c r="C879" s="5"/>
      <c r="D879" s="5"/>
      <c r="E879" s="6"/>
      <c r="F879" s="4"/>
      <c r="G879" s="6"/>
      <c r="H879" s="7"/>
      <c r="I879" s="2"/>
      <c r="J879" s="2"/>
      <c r="K879" s="2"/>
      <c r="L879" s="2"/>
      <c r="M879" s="2"/>
      <c r="N879" s="2"/>
      <c r="O879" s="2"/>
      <c r="P879" s="2"/>
      <c r="Q879" s="2"/>
      <c r="R879" s="9"/>
      <c r="S879" s="4"/>
      <c r="T879" s="9"/>
      <c r="U879" s="9"/>
      <c r="V879" s="9"/>
      <c r="W879" s="9"/>
      <c r="X879" s="4"/>
      <c r="Y879" s="6"/>
      <c r="Z879" s="4"/>
      <c r="AA879" s="23"/>
      <c r="AB879" s="24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10"/>
      <c r="AU879" s="9"/>
    </row>
    <row r="880" spans="1:47">
      <c r="A880" s="4"/>
      <c r="B880" s="4"/>
      <c r="C880" s="5"/>
      <c r="D880" s="5"/>
      <c r="E880" s="6"/>
      <c r="F880" s="4"/>
      <c r="G880" s="6"/>
      <c r="H880" s="7"/>
      <c r="I880" s="2"/>
      <c r="J880" s="2"/>
      <c r="K880" s="2"/>
      <c r="L880" s="2"/>
      <c r="M880" s="2"/>
      <c r="N880" s="2"/>
      <c r="O880" s="2"/>
      <c r="P880" s="2"/>
      <c r="Q880" s="2"/>
      <c r="R880" s="9"/>
      <c r="S880" s="4"/>
      <c r="T880" s="9"/>
      <c r="U880" s="9"/>
      <c r="V880" s="9"/>
      <c r="W880" s="9"/>
      <c r="X880" s="4"/>
      <c r="Y880" s="6"/>
      <c r="Z880" s="4"/>
      <c r="AA880" s="23"/>
      <c r="AB880" s="24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10"/>
      <c r="AU880" s="9"/>
    </row>
    <row r="881" spans="1:47">
      <c r="A881" s="4"/>
      <c r="B881" s="4"/>
      <c r="C881" s="5"/>
      <c r="D881" s="5"/>
      <c r="E881" s="6"/>
      <c r="F881" s="4"/>
      <c r="G881" s="6"/>
      <c r="H881" s="7"/>
      <c r="I881" s="2"/>
      <c r="J881" s="2"/>
      <c r="K881" s="2"/>
      <c r="L881" s="2"/>
      <c r="M881" s="2"/>
      <c r="N881" s="2"/>
      <c r="O881" s="2"/>
      <c r="P881" s="2"/>
      <c r="Q881" s="2"/>
      <c r="R881" s="9"/>
      <c r="S881" s="4"/>
      <c r="T881" s="9"/>
      <c r="U881" s="9"/>
      <c r="V881" s="9"/>
      <c r="W881" s="9"/>
      <c r="X881" s="4"/>
      <c r="Y881" s="6"/>
      <c r="Z881" s="4"/>
      <c r="AA881" s="23"/>
      <c r="AB881" s="24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10"/>
      <c r="AU881" s="9"/>
    </row>
    <row r="882" spans="1:47">
      <c r="A882" s="4"/>
      <c r="B882" s="4"/>
      <c r="C882" s="5"/>
      <c r="D882" s="5"/>
      <c r="E882" s="6"/>
      <c r="F882" s="4"/>
      <c r="G882" s="6"/>
      <c r="H882" s="7"/>
      <c r="I882" s="7"/>
      <c r="J882" s="7"/>
      <c r="K882" s="2"/>
      <c r="L882" s="2"/>
      <c r="M882" s="2"/>
      <c r="N882" s="2"/>
      <c r="O882" s="2"/>
      <c r="P882" s="2"/>
      <c r="Q882" s="2"/>
      <c r="R882" s="9"/>
      <c r="S882" s="4"/>
      <c r="T882" s="9"/>
      <c r="U882" s="9"/>
      <c r="V882" s="9"/>
      <c r="W882" s="9"/>
      <c r="X882" s="4"/>
      <c r="Y882" s="6"/>
      <c r="Z882" s="9"/>
      <c r="AA882" s="4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10"/>
      <c r="AU882" s="9"/>
    </row>
    <row r="883" spans="1:47">
      <c r="A883" s="4"/>
      <c r="B883" s="4"/>
      <c r="C883" s="5"/>
      <c r="D883" s="5"/>
      <c r="E883" s="6"/>
      <c r="F883" s="4"/>
      <c r="G883" s="6"/>
      <c r="H883" s="7"/>
      <c r="I883" s="7"/>
      <c r="J883" s="7"/>
      <c r="K883" s="7"/>
      <c r="L883" s="7"/>
      <c r="M883" s="2"/>
      <c r="N883" s="2"/>
      <c r="O883" s="2"/>
      <c r="P883" s="2"/>
      <c r="Q883" s="2"/>
      <c r="R883" s="9"/>
      <c r="S883" s="4"/>
      <c r="T883" s="9"/>
      <c r="U883" s="9"/>
      <c r="V883" s="9"/>
      <c r="W883" s="9"/>
      <c r="X883" s="4"/>
      <c r="Y883" s="6"/>
      <c r="Z883" s="9"/>
      <c r="AA883" s="4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10"/>
      <c r="AU883" s="9"/>
    </row>
    <row r="884" spans="1:47">
      <c r="A884" s="4"/>
      <c r="B884" s="4"/>
      <c r="C884" s="5"/>
      <c r="D884" s="5"/>
      <c r="E884" s="6"/>
      <c r="F884" s="4"/>
      <c r="G884" s="6"/>
      <c r="H884" s="7"/>
      <c r="I884" s="7"/>
      <c r="J884" s="7"/>
      <c r="K884" s="7"/>
      <c r="L884" s="2"/>
      <c r="M884" s="2"/>
      <c r="N884" s="2"/>
      <c r="O884" s="2"/>
      <c r="P884" s="2"/>
      <c r="Q884" s="2"/>
      <c r="R884" s="9"/>
      <c r="S884" s="4"/>
      <c r="T884" s="9"/>
      <c r="U884" s="9"/>
      <c r="V884" s="9"/>
      <c r="W884" s="9"/>
      <c r="X884" s="4"/>
      <c r="Y884" s="6"/>
      <c r="Z884" s="9"/>
      <c r="AA884" s="4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10"/>
      <c r="AU884" s="9"/>
    </row>
    <row r="885" spans="1:47">
      <c r="A885" s="4"/>
      <c r="B885" s="4"/>
      <c r="C885" s="5"/>
      <c r="D885" s="5"/>
      <c r="E885" s="6"/>
      <c r="F885" s="4"/>
      <c r="G885" s="6"/>
      <c r="H885" s="7"/>
      <c r="I885" s="2"/>
      <c r="J885" s="2"/>
      <c r="K885" s="2"/>
      <c r="L885" s="2"/>
      <c r="M885" s="2"/>
      <c r="N885" s="2"/>
      <c r="O885" s="2"/>
      <c r="P885" s="2"/>
      <c r="Q885" s="2"/>
      <c r="R885" s="9"/>
      <c r="S885" s="4"/>
      <c r="T885" s="9"/>
      <c r="U885" s="9"/>
      <c r="V885" s="9"/>
      <c r="W885" s="9"/>
      <c r="X885" s="4"/>
      <c r="Y885" s="6"/>
      <c r="Z885" s="4"/>
      <c r="AA885" s="23"/>
      <c r="AB885" s="24"/>
      <c r="AC885" s="2"/>
      <c r="AD885" s="2"/>
      <c r="AE885" s="2"/>
      <c r="AF885" s="2"/>
      <c r="AG885" s="2"/>
      <c r="AH885" s="2"/>
      <c r="AI885" s="2"/>
      <c r="AJ885" s="2"/>
      <c r="AK885" s="2"/>
      <c r="AL885" s="25"/>
      <c r="AM885" s="24"/>
      <c r="AN885" s="2"/>
      <c r="AO885" s="2"/>
      <c r="AP885" s="2"/>
      <c r="AQ885" s="2"/>
      <c r="AR885" s="2"/>
      <c r="AS885" s="2"/>
      <c r="AT885" s="10"/>
      <c r="AU885" s="9"/>
    </row>
    <row r="886" spans="1:47">
      <c r="A886" s="4"/>
      <c r="B886" s="4"/>
      <c r="C886" s="5"/>
      <c r="D886" s="5"/>
      <c r="E886" s="6"/>
      <c r="F886" s="4"/>
      <c r="G886" s="6"/>
      <c r="H886" s="7"/>
      <c r="I886" s="2"/>
      <c r="J886" s="2"/>
      <c r="K886" s="2"/>
      <c r="L886" s="2"/>
      <c r="M886" s="2"/>
      <c r="N886" s="2"/>
      <c r="O886" s="2"/>
      <c r="P886" s="2"/>
      <c r="Q886" s="2"/>
      <c r="R886" s="9"/>
      <c r="S886" s="4"/>
      <c r="T886" s="9"/>
      <c r="U886" s="9"/>
      <c r="V886" s="9"/>
      <c r="W886" s="9"/>
      <c r="X886" s="4"/>
      <c r="Y886" s="6"/>
      <c r="Z886" s="4"/>
      <c r="AA886" s="23"/>
      <c r="AB886" s="24"/>
      <c r="AC886" s="2"/>
      <c r="AD886" s="2"/>
      <c r="AE886" s="2"/>
      <c r="AF886" s="2"/>
      <c r="AG886" s="2"/>
      <c r="AH886" s="2"/>
      <c r="AI886" s="2"/>
      <c r="AJ886" s="2"/>
      <c r="AK886" s="2"/>
      <c r="AL886" s="25"/>
      <c r="AM886" s="24"/>
      <c r="AN886" s="2"/>
      <c r="AO886" s="2"/>
      <c r="AP886" s="2"/>
      <c r="AQ886" s="2"/>
      <c r="AR886" s="2"/>
      <c r="AS886" s="2"/>
      <c r="AT886" s="10"/>
      <c r="AU886" s="9"/>
    </row>
    <row r="887" spans="1:47">
      <c r="A887" s="4"/>
      <c r="B887" s="4"/>
      <c r="C887" s="5"/>
      <c r="D887" s="5"/>
      <c r="E887" s="6"/>
      <c r="F887" s="4"/>
      <c r="G887" s="6"/>
      <c r="H887" s="7"/>
      <c r="I887" s="2"/>
      <c r="J887" s="2"/>
      <c r="K887" s="2"/>
      <c r="L887" s="2"/>
      <c r="M887" s="2"/>
      <c r="N887" s="2"/>
      <c r="O887" s="2"/>
      <c r="P887" s="2"/>
      <c r="Q887" s="2"/>
      <c r="R887" s="9"/>
      <c r="S887" s="4"/>
      <c r="T887" s="9"/>
      <c r="U887" s="9"/>
      <c r="V887" s="9"/>
      <c r="W887" s="9"/>
      <c r="X887" s="4"/>
      <c r="Y887" s="6"/>
      <c r="Z887" s="4"/>
      <c r="AA887" s="23"/>
      <c r="AB887" s="24"/>
      <c r="AC887" s="2"/>
      <c r="AD887" s="2"/>
      <c r="AE887" s="2"/>
      <c r="AF887" s="2"/>
      <c r="AG887" s="2"/>
      <c r="AH887" s="2"/>
      <c r="AI887" s="2"/>
      <c r="AJ887" s="2"/>
      <c r="AK887" s="2"/>
      <c r="AL887" s="25"/>
      <c r="AM887" s="24"/>
      <c r="AN887" s="2"/>
      <c r="AO887" s="2"/>
      <c r="AP887" s="2"/>
      <c r="AQ887" s="2"/>
      <c r="AR887" s="2"/>
      <c r="AS887" s="2"/>
      <c r="AT887" s="10"/>
      <c r="AU887" s="9"/>
    </row>
    <row r="888" spans="1:47">
      <c r="A888" s="4"/>
      <c r="B888" s="4"/>
      <c r="C888" s="5"/>
      <c r="D888" s="5"/>
      <c r="E888" s="6"/>
      <c r="F888" s="4"/>
      <c r="G888" s="6"/>
      <c r="H888" s="7"/>
      <c r="I888" s="2"/>
      <c r="J888" s="2"/>
      <c r="K888" s="2"/>
      <c r="L888" s="2"/>
      <c r="M888" s="2"/>
      <c r="N888" s="2"/>
      <c r="O888" s="2"/>
      <c r="P888" s="2"/>
      <c r="Q888" s="2"/>
      <c r="R888" s="9"/>
      <c r="S888" s="4"/>
      <c r="T888" s="9"/>
      <c r="U888" s="9"/>
      <c r="V888" s="9"/>
      <c r="W888" s="9"/>
      <c r="X888" s="4"/>
      <c r="Y888" s="6"/>
      <c r="Z888" s="4"/>
      <c r="AA888" s="23"/>
      <c r="AB888" s="24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10"/>
      <c r="AU888" s="9"/>
    </row>
    <row r="889" spans="1:47">
      <c r="A889" s="4"/>
      <c r="B889" s="4"/>
      <c r="C889" s="5"/>
      <c r="D889" s="5"/>
      <c r="E889" s="6"/>
      <c r="F889" s="4"/>
      <c r="G889" s="6"/>
      <c r="H889" s="7"/>
      <c r="I889" s="2"/>
      <c r="J889" s="2"/>
      <c r="K889" s="2"/>
      <c r="L889" s="2"/>
      <c r="M889" s="2"/>
      <c r="N889" s="2"/>
      <c r="O889" s="2"/>
      <c r="P889" s="2"/>
      <c r="Q889" s="2"/>
      <c r="R889" s="9"/>
      <c r="S889" s="4"/>
      <c r="T889" s="9"/>
      <c r="U889" s="9"/>
      <c r="V889" s="9"/>
      <c r="W889" s="9"/>
      <c r="X889" s="4"/>
      <c r="Y889" s="6"/>
      <c r="Z889" s="4"/>
      <c r="AA889" s="23"/>
      <c r="AB889" s="24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10"/>
      <c r="AU889" s="9"/>
    </row>
    <row r="890" spans="1:47">
      <c r="A890" s="4"/>
      <c r="B890" s="4"/>
      <c r="C890" s="5"/>
      <c r="D890" s="5"/>
      <c r="E890" s="6"/>
      <c r="F890" s="4"/>
      <c r="G890" s="6"/>
      <c r="H890" s="7"/>
      <c r="I890" s="7"/>
      <c r="J890" s="7"/>
      <c r="K890" s="7"/>
      <c r="L890" s="7"/>
      <c r="M890" s="2"/>
      <c r="N890" s="2"/>
      <c r="O890" s="2"/>
      <c r="P890" s="2"/>
      <c r="Q890" s="2"/>
      <c r="R890" s="9"/>
      <c r="S890" s="4"/>
      <c r="T890" s="9"/>
      <c r="U890" s="9"/>
      <c r="V890" s="9"/>
      <c r="W890" s="9"/>
      <c r="X890" s="4"/>
      <c r="Y890" s="6"/>
      <c r="Z890" s="4"/>
      <c r="AA890" s="23"/>
      <c r="AB890" s="24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10"/>
      <c r="AU890" s="9"/>
    </row>
    <row r="891" spans="1:47">
      <c r="A891" s="4"/>
      <c r="B891" s="4"/>
      <c r="C891" s="5"/>
      <c r="D891" s="5"/>
      <c r="E891" s="6"/>
      <c r="F891" s="4"/>
      <c r="G891" s="6"/>
      <c r="H891" s="7"/>
      <c r="I891" s="2"/>
      <c r="J891" s="2"/>
      <c r="K891" s="2"/>
      <c r="L891" s="2"/>
      <c r="M891" s="2"/>
      <c r="N891" s="2"/>
      <c r="O891" s="2"/>
      <c r="P891" s="2"/>
      <c r="Q891" s="2"/>
      <c r="R891" s="9"/>
      <c r="S891" s="4"/>
      <c r="T891" s="9"/>
      <c r="U891" s="9"/>
      <c r="V891" s="9"/>
      <c r="W891" s="9"/>
      <c r="X891" s="4"/>
      <c r="Y891" s="6"/>
      <c r="Z891" s="4"/>
      <c r="AA891" s="23"/>
      <c r="AB891" s="24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10"/>
      <c r="AU891" s="9"/>
    </row>
    <row r="892" spans="1:47">
      <c r="A892" s="4"/>
      <c r="B892" s="4"/>
      <c r="C892" s="5"/>
      <c r="D892" s="5"/>
      <c r="E892" s="6"/>
      <c r="F892" s="4"/>
      <c r="G892" s="6"/>
      <c r="H892" s="7"/>
      <c r="I892" s="2"/>
      <c r="J892" s="2"/>
      <c r="K892" s="2"/>
      <c r="L892" s="2"/>
      <c r="M892" s="2"/>
      <c r="N892" s="2"/>
      <c r="O892" s="2"/>
      <c r="P892" s="2"/>
      <c r="Q892" s="2"/>
      <c r="R892" s="9"/>
      <c r="S892" s="4"/>
      <c r="T892" s="9"/>
      <c r="U892" s="9"/>
      <c r="V892" s="9"/>
      <c r="W892" s="9"/>
      <c r="X892" s="4"/>
      <c r="Y892" s="6"/>
      <c r="Z892" s="4"/>
      <c r="AA892" s="23"/>
      <c r="AB892" s="24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10"/>
      <c r="AU892" s="9"/>
    </row>
    <row r="893" spans="1:47">
      <c r="A893" s="4"/>
      <c r="B893" s="4"/>
      <c r="C893" s="5"/>
      <c r="D893" s="5"/>
      <c r="E893" s="6"/>
      <c r="F893" s="4"/>
      <c r="G893" s="6"/>
      <c r="H893" s="7"/>
      <c r="I893" s="2"/>
      <c r="J893" s="2"/>
      <c r="K893" s="2"/>
      <c r="L893" s="2"/>
      <c r="M893" s="2"/>
      <c r="N893" s="2"/>
      <c r="O893" s="2"/>
      <c r="P893" s="2"/>
      <c r="Q893" s="2"/>
      <c r="R893" s="9"/>
      <c r="S893" s="4"/>
      <c r="T893" s="9"/>
      <c r="U893" s="9"/>
      <c r="V893" s="9"/>
      <c r="W893" s="9"/>
      <c r="X893" s="4"/>
      <c r="Y893" s="6"/>
      <c r="Z893" s="4"/>
      <c r="AA893" s="23"/>
      <c r="AB893" s="24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10"/>
      <c r="AU893" s="9"/>
    </row>
    <row r="894" spans="1:47">
      <c r="A894" s="4"/>
      <c r="B894" s="4"/>
      <c r="C894" s="5"/>
      <c r="D894" s="5"/>
      <c r="E894" s="6"/>
      <c r="F894" s="4"/>
      <c r="G894" s="6"/>
      <c r="H894" s="7"/>
      <c r="I894" s="2"/>
      <c r="J894" s="2"/>
      <c r="K894" s="2"/>
      <c r="L894" s="2"/>
      <c r="M894" s="2"/>
      <c r="N894" s="2"/>
      <c r="O894" s="2"/>
      <c r="P894" s="2"/>
      <c r="Q894" s="2"/>
      <c r="R894" s="9"/>
      <c r="S894" s="4"/>
      <c r="T894" s="9"/>
      <c r="U894" s="9"/>
      <c r="V894" s="9"/>
      <c r="W894" s="9"/>
      <c r="X894" s="4"/>
      <c r="Y894" s="6"/>
      <c r="Z894" s="4"/>
      <c r="AA894" s="23"/>
      <c r="AB894" s="24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10"/>
      <c r="AU894" s="9"/>
    </row>
    <row r="895" spans="1:47">
      <c r="A895" s="4"/>
      <c r="B895" s="4"/>
      <c r="C895" s="5"/>
      <c r="D895" s="5"/>
      <c r="E895" s="6"/>
      <c r="F895" s="4"/>
      <c r="G895" s="6"/>
      <c r="H895" s="7"/>
      <c r="I895" s="2"/>
      <c r="J895" s="2"/>
      <c r="K895" s="2"/>
      <c r="L895" s="2"/>
      <c r="M895" s="2"/>
      <c r="N895" s="2"/>
      <c r="O895" s="2"/>
      <c r="P895" s="2"/>
      <c r="Q895" s="2"/>
      <c r="R895" s="9"/>
      <c r="S895" s="4"/>
      <c r="T895" s="9"/>
      <c r="U895" s="9"/>
      <c r="V895" s="9"/>
      <c r="W895" s="9"/>
      <c r="X895" s="4"/>
      <c r="Y895" s="6"/>
      <c r="Z895" s="4"/>
      <c r="AA895" s="23"/>
      <c r="AB895" s="24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10"/>
      <c r="AU895" s="9"/>
    </row>
    <row r="896" spans="1:47">
      <c r="A896" s="4"/>
      <c r="B896" s="4"/>
      <c r="C896" s="5"/>
      <c r="D896" s="5"/>
      <c r="E896" s="6"/>
      <c r="F896" s="4"/>
      <c r="G896" s="6"/>
      <c r="H896" s="7"/>
      <c r="I896" s="2"/>
      <c r="J896" s="2"/>
      <c r="K896" s="2"/>
      <c r="L896" s="2"/>
      <c r="M896" s="2"/>
      <c r="N896" s="2"/>
      <c r="O896" s="2"/>
      <c r="P896" s="2"/>
      <c r="Q896" s="2"/>
      <c r="R896" s="9"/>
      <c r="S896" s="4"/>
      <c r="T896" s="9"/>
      <c r="U896" s="9"/>
      <c r="V896" s="9"/>
      <c r="W896" s="9"/>
      <c r="X896" s="4"/>
      <c r="Y896" s="6"/>
      <c r="Z896" s="4"/>
      <c r="AA896" s="23"/>
      <c r="AB896" s="24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10"/>
      <c r="AU896" s="9"/>
    </row>
    <row r="897" spans="1:47">
      <c r="A897" s="4"/>
      <c r="B897" s="4"/>
      <c r="C897" s="5"/>
      <c r="D897" s="5"/>
      <c r="E897" s="6"/>
      <c r="F897" s="4"/>
      <c r="G897" s="6"/>
      <c r="H897" s="7"/>
      <c r="I897" s="2"/>
      <c r="J897" s="2"/>
      <c r="K897" s="2"/>
      <c r="L897" s="2"/>
      <c r="M897" s="2"/>
      <c r="N897" s="2"/>
      <c r="O897" s="2"/>
      <c r="P897" s="2"/>
      <c r="Q897" s="2"/>
      <c r="R897" s="9"/>
      <c r="S897" s="4"/>
      <c r="T897" s="9"/>
      <c r="U897" s="9"/>
      <c r="V897" s="9"/>
      <c r="W897" s="9"/>
      <c r="X897" s="4"/>
      <c r="Y897" s="6"/>
      <c r="Z897" s="4"/>
      <c r="AA897" s="23"/>
      <c r="AB897" s="24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10"/>
      <c r="AU897" s="9"/>
    </row>
    <row r="898" spans="1:47">
      <c r="A898" s="4"/>
      <c r="B898" s="4"/>
      <c r="C898" s="5"/>
      <c r="D898" s="5"/>
      <c r="E898" s="6"/>
      <c r="F898" s="4"/>
      <c r="G898" s="6"/>
      <c r="H898" s="7"/>
      <c r="I898" s="2"/>
      <c r="J898" s="2"/>
      <c r="K898" s="2"/>
      <c r="L898" s="2"/>
      <c r="M898" s="2"/>
      <c r="N898" s="2"/>
      <c r="O898" s="2"/>
      <c r="P898" s="2"/>
      <c r="Q898" s="2"/>
      <c r="R898" s="9"/>
      <c r="S898" s="4"/>
      <c r="T898" s="9"/>
      <c r="U898" s="9"/>
      <c r="V898" s="9"/>
      <c r="W898" s="9"/>
      <c r="X898" s="4"/>
      <c r="Y898" s="6"/>
      <c r="Z898" s="4"/>
      <c r="AA898" s="23"/>
      <c r="AB898" s="24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10"/>
      <c r="AU898" s="9"/>
    </row>
    <row r="899" spans="1:47">
      <c r="A899" s="4"/>
      <c r="B899" s="4"/>
      <c r="C899" s="5"/>
      <c r="D899" s="5"/>
      <c r="E899" s="6"/>
      <c r="F899" s="4"/>
      <c r="G899" s="6"/>
      <c r="H899" s="7"/>
      <c r="I899" s="2"/>
      <c r="J899" s="2"/>
      <c r="K899" s="2"/>
      <c r="L899" s="2"/>
      <c r="M899" s="2"/>
      <c r="N899" s="2"/>
      <c r="O899" s="2"/>
      <c r="P899" s="2"/>
      <c r="Q899" s="2"/>
      <c r="R899" s="9"/>
      <c r="S899" s="4"/>
      <c r="T899" s="9"/>
      <c r="U899" s="9"/>
      <c r="V899" s="9"/>
      <c r="W899" s="9"/>
      <c r="X899" s="4"/>
      <c r="Y899" s="6"/>
      <c r="Z899" s="4"/>
      <c r="AA899" s="23"/>
      <c r="AB899" s="24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10"/>
      <c r="AU899" s="9"/>
    </row>
    <row r="900" spans="1:47">
      <c r="A900" s="4"/>
      <c r="B900" s="4"/>
      <c r="C900" s="5"/>
      <c r="D900" s="5"/>
      <c r="E900" s="6"/>
      <c r="F900" s="4"/>
      <c r="G900" s="6"/>
      <c r="H900" s="7"/>
      <c r="I900" s="2"/>
      <c r="J900" s="2"/>
      <c r="K900" s="2"/>
      <c r="L900" s="2"/>
      <c r="M900" s="2"/>
      <c r="N900" s="2"/>
      <c r="O900" s="2"/>
      <c r="P900" s="2"/>
      <c r="Q900" s="2"/>
      <c r="R900" s="9"/>
      <c r="S900" s="4"/>
      <c r="T900" s="9"/>
      <c r="U900" s="9"/>
      <c r="V900" s="9"/>
      <c r="W900" s="9"/>
      <c r="X900" s="4"/>
      <c r="Y900" s="6"/>
      <c r="Z900" s="4"/>
      <c r="AA900" s="23"/>
      <c r="AB900" s="24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10"/>
      <c r="AU900" s="9"/>
    </row>
    <row r="901" spans="1:47">
      <c r="A901" s="4"/>
      <c r="B901" s="4"/>
      <c r="C901" s="5"/>
      <c r="D901" s="5"/>
      <c r="E901" s="6"/>
      <c r="F901" s="4"/>
      <c r="G901" s="6"/>
      <c r="H901" s="7"/>
      <c r="I901" s="2"/>
      <c r="J901" s="2"/>
      <c r="K901" s="2"/>
      <c r="L901" s="2"/>
      <c r="M901" s="2"/>
      <c r="N901" s="2"/>
      <c r="O901" s="2"/>
      <c r="P901" s="2"/>
      <c r="Q901" s="2"/>
      <c r="R901" s="9"/>
      <c r="S901" s="4"/>
      <c r="T901" s="9"/>
      <c r="U901" s="9"/>
      <c r="V901" s="9"/>
      <c r="W901" s="9"/>
      <c r="X901" s="4"/>
      <c r="Y901" s="6"/>
      <c r="Z901" s="4"/>
      <c r="AA901" s="23"/>
      <c r="AB901" s="24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10"/>
      <c r="AU901" s="9"/>
    </row>
    <row r="902" spans="1:47">
      <c r="A902" s="4"/>
      <c r="B902" s="4"/>
      <c r="C902" s="5"/>
      <c r="D902" s="5"/>
      <c r="E902" s="6"/>
      <c r="F902" s="4"/>
      <c r="G902" s="6"/>
      <c r="H902" s="7"/>
      <c r="I902" s="2"/>
      <c r="J902" s="2"/>
      <c r="K902" s="2"/>
      <c r="L902" s="2"/>
      <c r="M902" s="2"/>
      <c r="N902" s="2"/>
      <c r="O902" s="2"/>
      <c r="P902" s="2"/>
      <c r="Q902" s="2"/>
      <c r="R902" s="9"/>
      <c r="S902" s="4"/>
      <c r="T902" s="9"/>
      <c r="U902" s="9"/>
      <c r="V902" s="9"/>
      <c r="W902" s="9"/>
      <c r="X902" s="4"/>
      <c r="Y902" s="6"/>
      <c r="Z902" s="4"/>
      <c r="AA902" s="23"/>
      <c r="AB902" s="24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10"/>
      <c r="AU902" s="9"/>
    </row>
    <row r="903" spans="1:47">
      <c r="A903" s="4"/>
      <c r="B903" s="4"/>
      <c r="C903" s="5"/>
      <c r="D903" s="5"/>
      <c r="E903" s="6"/>
      <c r="F903" s="4"/>
      <c r="G903" s="6"/>
      <c r="H903" s="7"/>
      <c r="I903" s="7"/>
      <c r="J903" s="7"/>
      <c r="K903" s="7"/>
      <c r="L903" s="7"/>
      <c r="M903" s="2"/>
      <c r="N903" s="2"/>
      <c r="O903" s="2"/>
      <c r="P903" s="2"/>
      <c r="Q903" s="2"/>
      <c r="R903" s="9"/>
      <c r="S903" s="4"/>
      <c r="T903" s="9"/>
      <c r="U903" s="9"/>
      <c r="V903" s="9"/>
      <c r="W903" s="9"/>
      <c r="X903" s="4"/>
      <c r="Y903" s="6"/>
      <c r="Z903" s="9"/>
      <c r="AA903" s="4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10"/>
      <c r="AU903" s="9"/>
    </row>
    <row r="904" spans="1:47">
      <c r="A904" s="4"/>
      <c r="B904" s="4"/>
      <c r="C904" s="5"/>
      <c r="D904" s="5"/>
      <c r="E904" s="6"/>
      <c r="F904" s="4"/>
      <c r="G904" s="6"/>
      <c r="H904" s="7"/>
      <c r="I904" s="7"/>
      <c r="J904" s="7"/>
      <c r="K904" s="7"/>
      <c r="L904" s="7"/>
      <c r="M904" s="2"/>
      <c r="N904" s="2"/>
      <c r="O904" s="2"/>
      <c r="P904" s="2"/>
      <c r="Q904" s="2"/>
      <c r="R904" s="9"/>
      <c r="S904" s="4"/>
      <c r="T904" s="9"/>
      <c r="U904" s="9"/>
      <c r="V904" s="9"/>
      <c r="W904" s="9"/>
      <c r="X904" s="4"/>
      <c r="Y904" s="6"/>
      <c r="Z904" s="9"/>
      <c r="AA904" s="4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10"/>
      <c r="AU904" s="9"/>
    </row>
    <row r="905" spans="1:47">
      <c r="A905" s="4"/>
      <c r="B905" s="4"/>
      <c r="C905" s="5"/>
      <c r="D905" s="5"/>
      <c r="E905" s="6"/>
      <c r="F905" s="4"/>
      <c r="G905" s="6"/>
      <c r="H905" s="7"/>
      <c r="I905" s="7"/>
      <c r="J905" s="7"/>
      <c r="K905" s="7"/>
      <c r="L905" s="7"/>
      <c r="M905" s="2"/>
      <c r="N905" s="2"/>
      <c r="O905" s="2"/>
      <c r="P905" s="2"/>
      <c r="Q905" s="2"/>
      <c r="R905" s="9"/>
      <c r="S905" s="4"/>
      <c r="T905" s="9"/>
      <c r="U905" s="9"/>
      <c r="V905" s="9"/>
      <c r="W905" s="9"/>
      <c r="X905" s="4"/>
      <c r="Y905" s="6"/>
      <c r="Z905" s="9"/>
      <c r="AA905" s="4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10"/>
      <c r="AU905" s="9"/>
    </row>
    <row r="906" spans="1:47">
      <c r="A906" s="4"/>
      <c r="B906" s="4"/>
      <c r="C906" s="5"/>
      <c r="D906" s="5"/>
      <c r="E906" s="6"/>
      <c r="F906" s="4"/>
      <c r="G906" s="6"/>
      <c r="H906" s="7"/>
      <c r="I906" s="7"/>
      <c r="J906" s="7"/>
      <c r="K906" s="7"/>
      <c r="L906" s="7"/>
      <c r="M906" s="2"/>
      <c r="N906" s="2"/>
      <c r="O906" s="2"/>
      <c r="P906" s="2"/>
      <c r="Q906" s="2"/>
      <c r="R906" s="9"/>
      <c r="S906" s="4"/>
      <c r="T906" s="9"/>
      <c r="U906" s="9"/>
      <c r="V906" s="9"/>
      <c r="W906" s="9"/>
      <c r="X906" s="4"/>
      <c r="Y906" s="6"/>
      <c r="Z906" s="9"/>
      <c r="AA906" s="4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10"/>
      <c r="AU906" s="9"/>
    </row>
    <row r="907" spans="1:47">
      <c r="A907" s="4"/>
      <c r="B907" s="4"/>
      <c r="C907" s="5"/>
      <c r="D907" s="5"/>
      <c r="E907" s="6"/>
      <c r="F907" s="4"/>
      <c r="G907" s="6"/>
      <c r="H907" s="7"/>
      <c r="I907" s="7"/>
      <c r="J907" s="7"/>
      <c r="K907" s="7"/>
      <c r="L907" s="7"/>
      <c r="M907" s="2"/>
      <c r="N907" s="2"/>
      <c r="O907" s="2"/>
      <c r="P907" s="2"/>
      <c r="Q907" s="2"/>
      <c r="R907" s="9"/>
      <c r="S907" s="4"/>
      <c r="T907" s="9"/>
      <c r="U907" s="9"/>
      <c r="V907" s="9"/>
      <c r="W907" s="9"/>
      <c r="X907" s="4"/>
      <c r="Y907" s="6"/>
      <c r="Z907" s="9"/>
      <c r="AA907" s="4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10"/>
      <c r="AU907" s="9"/>
    </row>
    <row r="908" spans="1:47">
      <c r="A908" s="4"/>
      <c r="B908" s="4"/>
      <c r="C908" s="5"/>
      <c r="D908" s="5"/>
      <c r="E908" s="6"/>
      <c r="F908" s="4"/>
      <c r="G908" s="6"/>
      <c r="H908" s="7"/>
      <c r="I908" s="2"/>
      <c r="J908" s="2"/>
      <c r="K908" s="2"/>
      <c r="L908" s="2"/>
      <c r="M908" s="2"/>
      <c r="N908" s="2"/>
      <c r="O908" s="2"/>
      <c r="P908" s="2"/>
      <c r="Q908" s="2"/>
      <c r="R908" s="9"/>
      <c r="S908" s="4"/>
      <c r="T908" s="9"/>
      <c r="U908" s="9"/>
      <c r="V908" s="9"/>
      <c r="W908" s="9"/>
      <c r="X908" s="4"/>
      <c r="Y908" s="6"/>
      <c r="Z908" s="4"/>
      <c r="AA908" s="23"/>
      <c r="AB908" s="24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10"/>
      <c r="AU908" s="9"/>
    </row>
    <row r="909" spans="1:47">
      <c r="A909" s="4"/>
      <c r="B909" s="4"/>
      <c r="C909" s="5"/>
      <c r="D909" s="5"/>
      <c r="E909" s="6"/>
      <c r="F909" s="4"/>
      <c r="G909" s="6"/>
      <c r="H909" s="7"/>
      <c r="I909" s="2"/>
      <c r="J909" s="2"/>
      <c r="K909" s="2"/>
      <c r="L909" s="2"/>
      <c r="M909" s="2"/>
      <c r="N909" s="2"/>
      <c r="O909" s="2"/>
      <c r="P909" s="2"/>
      <c r="Q909" s="2"/>
      <c r="R909" s="9"/>
      <c r="S909" s="4"/>
      <c r="T909" s="9"/>
      <c r="U909" s="9"/>
      <c r="V909" s="9"/>
      <c r="W909" s="9"/>
      <c r="X909" s="4"/>
      <c r="Y909" s="6"/>
      <c r="Z909" s="4"/>
      <c r="AA909" s="23"/>
      <c r="AB909" s="24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10"/>
      <c r="AU909" s="9"/>
    </row>
    <row r="910" spans="1:47">
      <c r="A910" s="4"/>
      <c r="B910" s="4"/>
      <c r="C910" s="5"/>
      <c r="D910" s="5"/>
      <c r="E910" s="6"/>
      <c r="F910" s="4"/>
      <c r="G910" s="6"/>
      <c r="H910" s="7"/>
      <c r="I910" s="2"/>
      <c r="J910" s="2"/>
      <c r="K910" s="2"/>
      <c r="L910" s="2"/>
      <c r="M910" s="2"/>
      <c r="N910" s="2"/>
      <c r="O910" s="2"/>
      <c r="P910" s="2"/>
      <c r="Q910" s="2"/>
      <c r="R910" s="9"/>
      <c r="S910" s="4"/>
      <c r="T910" s="9"/>
      <c r="U910" s="9"/>
      <c r="V910" s="9"/>
      <c r="W910" s="9"/>
      <c r="X910" s="4"/>
      <c r="Y910" s="6"/>
      <c r="Z910" s="4"/>
      <c r="AA910" s="23"/>
      <c r="AB910" s="24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10"/>
      <c r="AU910" s="9"/>
    </row>
    <row r="911" spans="1:47">
      <c r="A911" s="4"/>
      <c r="B911" s="4"/>
      <c r="C911" s="5"/>
      <c r="D911" s="5"/>
      <c r="E911" s="6"/>
      <c r="F911" s="4"/>
      <c r="G911" s="6"/>
      <c r="H911" s="7"/>
      <c r="I911" s="2"/>
      <c r="J911" s="2"/>
      <c r="K911" s="2"/>
      <c r="L911" s="2"/>
      <c r="M911" s="2"/>
      <c r="N911" s="2"/>
      <c r="O911" s="2"/>
      <c r="P911" s="2"/>
      <c r="Q911" s="2"/>
      <c r="R911" s="9"/>
      <c r="S911" s="4"/>
      <c r="T911" s="9"/>
      <c r="U911" s="9"/>
      <c r="V911" s="9"/>
      <c r="W911" s="9"/>
      <c r="X911" s="4"/>
      <c r="Y911" s="6"/>
      <c r="Z911" s="4"/>
      <c r="AA911" s="23"/>
      <c r="AB911" s="24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10"/>
      <c r="AU911" s="9"/>
    </row>
    <row r="912" spans="1:47">
      <c r="A912" s="4"/>
      <c r="B912" s="4"/>
      <c r="C912" s="5"/>
      <c r="D912" s="5"/>
      <c r="E912" s="6"/>
      <c r="F912" s="4"/>
      <c r="G912" s="6"/>
      <c r="H912" s="7"/>
      <c r="I912" s="2"/>
      <c r="J912" s="2"/>
      <c r="K912" s="2"/>
      <c r="L912" s="2"/>
      <c r="M912" s="2"/>
      <c r="N912" s="2"/>
      <c r="O912" s="2"/>
      <c r="P912" s="2"/>
      <c r="Q912" s="2"/>
      <c r="R912" s="9"/>
      <c r="S912" s="4"/>
      <c r="T912" s="9"/>
      <c r="U912" s="9"/>
      <c r="V912" s="9"/>
      <c r="W912" s="9"/>
      <c r="X912" s="4"/>
      <c r="Y912" s="6"/>
      <c r="Z912" s="9"/>
      <c r="AA912" s="23"/>
      <c r="AB912" s="24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10"/>
      <c r="AU912" s="9"/>
    </row>
    <row r="913" spans="1:47">
      <c r="A913" s="4"/>
      <c r="B913" s="4"/>
      <c r="C913" s="5"/>
      <c r="D913" s="5"/>
      <c r="E913" s="6"/>
      <c r="F913" s="4"/>
      <c r="G913" s="6"/>
      <c r="H913" s="7"/>
      <c r="I913" s="2"/>
      <c r="J913" s="2"/>
      <c r="K913" s="2"/>
      <c r="L913" s="2"/>
      <c r="M913" s="2"/>
      <c r="N913" s="2"/>
      <c r="O913" s="2"/>
      <c r="P913" s="2"/>
      <c r="Q913" s="2"/>
      <c r="R913" s="9"/>
      <c r="S913" s="4"/>
      <c r="T913" s="9"/>
      <c r="U913" s="9"/>
      <c r="V913" s="9"/>
      <c r="W913" s="9"/>
      <c r="X913" s="4"/>
      <c r="Y913" s="6"/>
      <c r="Z913" s="4"/>
      <c r="AA913" s="23"/>
      <c r="AB913" s="24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10"/>
      <c r="AU913" s="9"/>
    </row>
    <row r="914" spans="1:47">
      <c r="A914" s="4"/>
      <c r="B914" s="4"/>
      <c r="C914" s="5"/>
      <c r="D914" s="5"/>
      <c r="E914" s="6"/>
      <c r="F914" s="4"/>
      <c r="G914" s="6"/>
      <c r="H914" s="7"/>
      <c r="I914" s="2"/>
      <c r="J914" s="2"/>
      <c r="K914" s="2"/>
      <c r="L914" s="2"/>
      <c r="M914" s="2"/>
      <c r="N914" s="2"/>
      <c r="O914" s="2"/>
      <c r="P914" s="2"/>
      <c r="Q914" s="2"/>
      <c r="R914" s="9"/>
      <c r="S914" s="4"/>
      <c r="T914" s="9"/>
      <c r="U914" s="9"/>
      <c r="V914" s="9"/>
      <c r="W914" s="9"/>
      <c r="X914" s="4"/>
      <c r="Y914" s="6"/>
      <c r="Z914" s="4"/>
      <c r="AA914" s="23"/>
      <c r="AB914" s="24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10"/>
      <c r="AU914" s="9"/>
    </row>
    <row r="915" spans="1:47">
      <c r="A915" s="4"/>
      <c r="B915" s="4"/>
      <c r="C915" s="5"/>
      <c r="D915" s="5"/>
      <c r="E915" s="6"/>
      <c r="F915" s="4"/>
      <c r="G915" s="6"/>
      <c r="H915" s="7"/>
      <c r="I915" s="2"/>
      <c r="J915" s="2"/>
      <c r="K915" s="2"/>
      <c r="L915" s="2"/>
      <c r="M915" s="2"/>
      <c r="N915" s="2"/>
      <c r="O915" s="2"/>
      <c r="P915" s="2"/>
      <c r="Q915" s="2"/>
      <c r="R915" s="9"/>
      <c r="S915" s="4"/>
      <c r="T915" s="9"/>
      <c r="U915" s="9"/>
      <c r="V915" s="9"/>
      <c r="W915" s="9"/>
      <c r="X915" s="4"/>
      <c r="Y915" s="6"/>
      <c r="Z915" s="4"/>
      <c r="AA915" s="23"/>
      <c r="AB915" s="24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10"/>
      <c r="AU915" s="9"/>
    </row>
    <row r="916" spans="1:47">
      <c r="A916" s="4"/>
      <c r="B916" s="4"/>
      <c r="C916" s="5"/>
      <c r="D916" s="5"/>
      <c r="E916" s="6"/>
      <c r="F916" s="4"/>
      <c r="G916" s="6"/>
      <c r="H916" s="7"/>
      <c r="I916" s="7"/>
      <c r="J916" s="7"/>
      <c r="K916" s="7"/>
      <c r="L916" s="7"/>
      <c r="M916" s="2"/>
      <c r="N916" s="2"/>
      <c r="O916" s="2"/>
      <c r="P916" s="2"/>
      <c r="Q916" s="2"/>
      <c r="R916" s="9"/>
      <c r="S916" s="4"/>
      <c r="T916" s="9"/>
      <c r="U916" s="9"/>
      <c r="V916" s="9"/>
      <c r="W916" s="9"/>
      <c r="X916" s="4"/>
      <c r="Y916" s="6"/>
      <c r="Z916" s="9"/>
      <c r="AA916" s="4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10"/>
      <c r="AU916" s="9"/>
    </row>
    <row r="917" spans="1:47">
      <c r="A917" s="4"/>
      <c r="B917" s="4"/>
      <c r="C917" s="5"/>
      <c r="D917" s="5"/>
      <c r="E917" s="6"/>
      <c r="F917" s="4"/>
      <c r="G917" s="6"/>
      <c r="H917" s="7"/>
      <c r="I917" s="7"/>
      <c r="J917" s="7"/>
      <c r="K917" s="7"/>
      <c r="L917" s="7"/>
      <c r="M917" s="2"/>
      <c r="N917" s="2"/>
      <c r="O917" s="2"/>
      <c r="P917" s="2"/>
      <c r="Q917" s="2"/>
      <c r="R917" s="9"/>
      <c r="S917" s="4"/>
      <c r="T917" s="9"/>
      <c r="U917" s="9"/>
      <c r="V917" s="9"/>
      <c r="W917" s="9"/>
      <c r="X917" s="4"/>
      <c r="Y917" s="6"/>
      <c r="Z917" s="9"/>
      <c r="AA917" s="4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10"/>
      <c r="AU917" s="9"/>
    </row>
    <row r="918" spans="1:47">
      <c r="A918" s="4"/>
      <c r="B918" s="4"/>
      <c r="C918" s="5"/>
      <c r="D918" s="5"/>
      <c r="E918" s="6"/>
      <c r="F918" s="4"/>
      <c r="G918" s="6"/>
      <c r="H918" s="7"/>
      <c r="I918" s="7"/>
      <c r="J918" s="7"/>
      <c r="K918" s="7"/>
      <c r="L918" s="7"/>
      <c r="M918" s="2"/>
      <c r="N918" s="2"/>
      <c r="O918" s="2"/>
      <c r="P918" s="2"/>
      <c r="Q918" s="2"/>
      <c r="R918" s="9"/>
      <c r="S918" s="4"/>
      <c r="T918" s="9"/>
      <c r="U918" s="9"/>
      <c r="V918" s="9"/>
      <c r="W918" s="9"/>
      <c r="X918" s="4"/>
      <c r="Y918" s="6"/>
      <c r="Z918" s="9"/>
      <c r="AA918" s="4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10"/>
      <c r="AU918" s="9"/>
    </row>
    <row r="919" spans="1:47">
      <c r="A919" s="4"/>
      <c r="B919" s="4"/>
      <c r="C919" s="5"/>
      <c r="D919" s="5"/>
      <c r="E919" s="6"/>
      <c r="F919" s="4"/>
      <c r="G919" s="6"/>
      <c r="H919" s="7"/>
      <c r="I919" s="2"/>
      <c r="J919" s="2"/>
      <c r="K919" s="2"/>
      <c r="L919" s="2"/>
      <c r="M919" s="2"/>
      <c r="N919" s="2"/>
      <c r="O919" s="2"/>
      <c r="P919" s="2"/>
      <c r="Q919" s="2"/>
      <c r="R919" s="9"/>
      <c r="S919" s="4"/>
      <c r="T919" s="9"/>
      <c r="U919" s="9"/>
      <c r="V919" s="9"/>
      <c r="W919" s="9"/>
      <c r="X919" s="4"/>
      <c r="Y919" s="6"/>
      <c r="Z919" s="4"/>
      <c r="AA919" s="23"/>
      <c r="AB919" s="24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10"/>
      <c r="AU919" s="9"/>
    </row>
    <row r="920" spans="1:47">
      <c r="A920" s="4"/>
      <c r="B920" s="4"/>
      <c r="C920" s="5"/>
      <c r="D920" s="5"/>
      <c r="E920" s="6"/>
      <c r="F920" s="4"/>
      <c r="G920" s="6"/>
      <c r="H920" s="7"/>
      <c r="I920" s="2"/>
      <c r="J920" s="2"/>
      <c r="K920" s="2"/>
      <c r="L920" s="2"/>
      <c r="M920" s="2"/>
      <c r="N920" s="2"/>
      <c r="O920" s="2"/>
      <c r="P920" s="2"/>
      <c r="Q920" s="2"/>
      <c r="R920" s="9"/>
      <c r="S920" s="4"/>
      <c r="T920" s="9"/>
      <c r="U920" s="9"/>
      <c r="V920" s="9"/>
      <c r="W920" s="9"/>
      <c r="X920" s="4"/>
      <c r="Y920" s="6"/>
      <c r="Z920" s="4"/>
      <c r="AA920" s="23"/>
      <c r="AB920" s="24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10"/>
      <c r="AU920" s="9"/>
    </row>
    <row r="921" spans="1:47">
      <c r="A921" s="4"/>
      <c r="B921" s="4"/>
      <c r="C921" s="5"/>
      <c r="D921" s="5"/>
      <c r="E921" s="6"/>
      <c r="F921" s="4"/>
      <c r="G921" s="6"/>
      <c r="H921" s="7"/>
      <c r="I921" s="2"/>
      <c r="J921" s="2"/>
      <c r="K921" s="2"/>
      <c r="L921" s="2"/>
      <c r="M921" s="2"/>
      <c r="N921" s="2"/>
      <c r="O921" s="2"/>
      <c r="P921" s="2"/>
      <c r="Q921" s="2"/>
      <c r="R921" s="9"/>
      <c r="S921" s="4"/>
      <c r="T921" s="9"/>
      <c r="U921" s="9"/>
      <c r="V921" s="9"/>
      <c r="W921" s="9"/>
      <c r="X921" s="4"/>
      <c r="Y921" s="6"/>
      <c r="Z921" s="4"/>
      <c r="AA921" s="23"/>
      <c r="AB921" s="24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10"/>
      <c r="AU921" s="9"/>
    </row>
    <row r="922" spans="1:47">
      <c r="A922" s="4"/>
      <c r="B922" s="4"/>
      <c r="C922" s="5"/>
      <c r="D922" s="5"/>
      <c r="E922" s="6"/>
      <c r="F922" s="4"/>
      <c r="G922" s="6"/>
      <c r="H922" s="7"/>
      <c r="I922" s="2"/>
      <c r="J922" s="2"/>
      <c r="K922" s="2"/>
      <c r="L922" s="2"/>
      <c r="M922" s="2"/>
      <c r="N922" s="2"/>
      <c r="O922" s="2"/>
      <c r="P922" s="2"/>
      <c r="Q922" s="2"/>
      <c r="R922" s="9"/>
      <c r="S922" s="4"/>
      <c r="T922" s="9"/>
      <c r="U922" s="9"/>
      <c r="V922" s="9"/>
      <c r="W922" s="9"/>
      <c r="X922" s="4"/>
      <c r="Y922" s="6"/>
      <c r="Z922" s="4"/>
      <c r="AA922" s="23"/>
      <c r="AB922" s="24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10"/>
      <c r="AU922" s="9"/>
    </row>
    <row r="923" spans="1:47">
      <c r="A923" s="4"/>
      <c r="B923" s="4"/>
      <c r="C923" s="5"/>
      <c r="D923" s="5"/>
      <c r="E923" s="6"/>
      <c r="F923" s="4"/>
      <c r="G923" s="6"/>
      <c r="H923" s="7"/>
      <c r="I923" s="2"/>
      <c r="J923" s="2"/>
      <c r="K923" s="2"/>
      <c r="L923" s="2"/>
      <c r="M923" s="2"/>
      <c r="N923" s="2"/>
      <c r="O923" s="2"/>
      <c r="P923" s="2"/>
      <c r="Q923" s="2"/>
      <c r="R923" s="9"/>
      <c r="S923" s="4"/>
      <c r="T923" s="9"/>
      <c r="U923" s="9"/>
      <c r="V923" s="9"/>
      <c r="W923" s="9"/>
      <c r="X923" s="4"/>
      <c r="Y923" s="6"/>
      <c r="Z923" s="4"/>
      <c r="AA923" s="23"/>
      <c r="AB923" s="24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10"/>
      <c r="AU923" s="9"/>
    </row>
    <row r="924" spans="1:47">
      <c r="A924" s="4"/>
      <c r="B924" s="4"/>
      <c r="C924" s="5"/>
      <c r="D924" s="5"/>
      <c r="E924" s="6"/>
      <c r="F924" s="4"/>
      <c r="G924" s="6"/>
      <c r="H924" s="7"/>
      <c r="I924" s="2"/>
      <c r="J924" s="2"/>
      <c r="K924" s="2"/>
      <c r="L924" s="2"/>
      <c r="M924" s="2"/>
      <c r="N924" s="2"/>
      <c r="O924" s="2"/>
      <c r="P924" s="2"/>
      <c r="Q924" s="2"/>
      <c r="R924" s="9"/>
      <c r="S924" s="4"/>
      <c r="T924" s="9"/>
      <c r="U924" s="9"/>
      <c r="V924" s="9"/>
      <c r="W924" s="9"/>
      <c r="X924" s="4"/>
      <c r="Y924" s="6"/>
      <c r="Z924" s="4"/>
      <c r="AA924" s="23"/>
      <c r="AB924" s="24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10"/>
      <c r="AU924" s="9"/>
    </row>
    <row r="925" spans="1:47">
      <c r="A925" s="4"/>
      <c r="B925" s="4"/>
      <c r="C925" s="5"/>
      <c r="D925" s="5"/>
      <c r="E925" s="6"/>
      <c r="F925" s="4"/>
      <c r="G925" s="6"/>
      <c r="H925" s="7"/>
      <c r="I925" s="2"/>
      <c r="J925" s="2"/>
      <c r="K925" s="2"/>
      <c r="L925" s="2"/>
      <c r="M925" s="2"/>
      <c r="N925" s="2"/>
      <c r="O925" s="2"/>
      <c r="P925" s="2"/>
      <c r="Q925" s="2"/>
      <c r="R925" s="9"/>
      <c r="S925" s="4"/>
      <c r="T925" s="9"/>
      <c r="U925" s="9"/>
      <c r="V925" s="9"/>
      <c r="W925" s="9"/>
      <c r="X925" s="4"/>
      <c r="Y925" s="6"/>
      <c r="Z925" s="4"/>
      <c r="AA925" s="23"/>
      <c r="AB925" s="24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10"/>
      <c r="AU925" s="9"/>
    </row>
    <row r="926" spans="1:47">
      <c r="A926" s="4"/>
      <c r="B926" s="4"/>
      <c r="C926" s="5"/>
      <c r="D926" s="5"/>
      <c r="E926" s="6"/>
      <c r="F926" s="4"/>
      <c r="G926" s="6"/>
      <c r="H926" s="7"/>
      <c r="I926" s="2"/>
      <c r="J926" s="2"/>
      <c r="K926" s="2"/>
      <c r="L926" s="2"/>
      <c r="M926" s="2"/>
      <c r="N926" s="2"/>
      <c r="O926" s="2"/>
      <c r="P926" s="2"/>
      <c r="Q926" s="2"/>
      <c r="R926" s="9"/>
      <c r="S926" s="4"/>
      <c r="T926" s="9"/>
      <c r="U926" s="9"/>
      <c r="V926" s="9"/>
      <c r="W926" s="9"/>
      <c r="X926" s="4"/>
      <c r="Y926" s="6"/>
      <c r="Z926" s="4"/>
      <c r="AA926" s="23"/>
      <c r="AB926" s="24"/>
      <c r="AC926" s="2"/>
      <c r="AD926" s="2"/>
      <c r="AE926" s="2"/>
      <c r="AF926" s="2"/>
      <c r="AG926" s="2"/>
      <c r="AH926" s="2"/>
      <c r="AI926" s="2"/>
      <c r="AJ926" s="2"/>
      <c r="AK926" s="2"/>
      <c r="AL926" s="25"/>
      <c r="AM926" s="24"/>
      <c r="AN926" s="2"/>
      <c r="AO926" s="2"/>
      <c r="AP926" s="2"/>
      <c r="AQ926" s="2"/>
      <c r="AR926" s="2"/>
      <c r="AS926" s="2"/>
      <c r="AT926" s="10"/>
      <c r="AU926" s="9"/>
    </row>
    <row r="927" spans="1:47">
      <c r="A927" s="4"/>
      <c r="B927" s="4"/>
      <c r="C927" s="5"/>
      <c r="D927" s="5"/>
      <c r="E927" s="6"/>
      <c r="F927" s="4"/>
      <c r="G927" s="6"/>
      <c r="H927" s="7"/>
      <c r="I927" s="2"/>
      <c r="J927" s="2"/>
      <c r="K927" s="2"/>
      <c r="L927" s="2"/>
      <c r="M927" s="2"/>
      <c r="N927" s="2"/>
      <c r="O927" s="2"/>
      <c r="P927" s="2"/>
      <c r="Q927" s="2"/>
      <c r="R927" s="9"/>
      <c r="S927" s="4"/>
      <c r="T927" s="9"/>
      <c r="U927" s="9"/>
      <c r="V927" s="9"/>
      <c r="W927" s="9"/>
      <c r="X927" s="4"/>
      <c r="Y927" s="6"/>
      <c r="Z927" s="4"/>
      <c r="AA927" s="23"/>
      <c r="AB927" s="24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10"/>
      <c r="AU927" s="9"/>
    </row>
    <row r="928" spans="1:47">
      <c r="A928" s="4"/>
      <c r="B928" s="4"/>
      <c r="C928" s="5"/>
      <c r="D928" s="5"/>
      <c r="E928" s="6"/>
      <c r="F928" s="4"/>
      <c r="G928" s="6"/>
      <c r="H928" s="7"/>
      <c r="I928" s="2"/>
      <c r="J928" s="2"/>
      <c r="K928" s="2"/>
      <c r="L928" s="2"/>
      <c r="M928" s="2"/>
      <c r="N928" s="2"/>
      <c r="O928" s="2"/>
      <c r="P928" s="2"/>
      <c r="Q928" s="2"/>
      <c r="R928" s="9"/>
      <c r="S928" s="4"/>
      <c r="T928" s="9"/>
      <c r="U928" s="9"/>
      <c r="V928" s="9"/>
      <c r="W928" s="9"/>
      <c r="X928" s="4"/>
      <c r="Y928" s="6"/>
      <c r="Z928" s="4"/>
      <c r="AA928" s="23"/>
      <c r="AB928" s="24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10"/>
      <c r="AU928" s="9"/>
    </row>
    <row r="929" spans="1:47">
      <c r="A929" s="4"/>
      <c r="B929" s="4"/>
      <c r="C929" s="5"/>
      <c r="D929" s="5"/>
      <c r="E929" s="6"/>
      <c r="F929" s="4"/>
      <c r="G929" s="6"/>
      <c r="H929" s="7"/>
      <c r="I929" s="7"/>
      <c r="J929" s="2"/>
      <c r="K929" s="2"/>
      <c r="L929" s="2"/>
      <c r="M929" s="2"/>
      <c r="N929" s="2"/>
      <c r="O929" s="2"/>
      <c r="P929" s="2"/>
      <c r="Q929" s="2"/>
      <c r="R929" s="9"/>
      <c r="S929" s="4"/>
      <c r="T929" s="9"/>
      <c r="U929" s="9"/>
      <c r="V929" s="9"/>
      <c r="W929" s="9"/>
      <c r="X929" s="4"/>
      <c r="Y929" s="6"/>
      <c r="Z929" s="9"/>
      <c r="AA929" s="4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10"/>
      <c r="AU929" s="9"/>
    </row>
    <row r="930" spans="1:47">
      <c r="A930" s="4"/>
      <c r="B930" s="4"/>
      <c r="C930" s="5"/>
      <c r="D930" s="5"/>
      <c r="E930" s="6"/>
      <c r="F930" s="4"/>
      <c r="G930" s="6"/>
      <c r="H930" s="7"/>
      <c r="I930" s="2"/>
      <c r="J930" s="2"/>
      <c r="K930" s="2"/>
      <c r="L930" s="2"/>
      <c r="M930" s="2"/>
      <c r="N930" s="2"/>
      <c r="O930" s="2"/>
      <c r="P930" s="2"/>
      <c r="Q930" s="2"/>
      <c r="R930" s="9"/>
      <c r="S930" s="4"/>
      <c r="T930" s="9"/>
      <c r="U930" s="9"/>
      <c r="V930" s="9"/>
      <c r="W930" s="9"/>
      <c r="X930" s="4"/>
      <c r="Y930" s="6"/>
      <c r="Z930" s="4"/>
      <c r="AA930" s="23"/>
      <c r="AB930" s="24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10"/>
      <c r="AU930" s="9"/>
    </row>
    <row r="931" spans="1:47">
      <c r="A931" s="4"/>
      <c r="B931" s="4"/>
      <c r="C931" s="5"/>
      <c r="D931" s="5"/>
      <c r="E931" s="6"/>
      <c r="F931" s="4"/>
      <c r="G931" s="6"/>
      <c r="H931" s="7"/>
      <c r="I931" s="2"/>
      <c r="J931" s="2"/>
      <c r="K931" s="2"/>
      <c r="L931" s="2"/>
      <c r="M931" s="2"/>
      <c r="N931" s="2"/>
      <c r="O931" s="2"/>
      <c r="P931" s="2"/>
      <c r="Q931" s="2"/>
      <c r="R931" s="9"/>
      <c r="S931" s="4"/>
      <c r="T931" s="9"/>
      <c r="U931" s="9"/>
      <c r="V931" s="9"/>
      <c r="W931" s="9"/>
      <c r="X931" s="4"/>
      <c r="Y931" s="6"/>
      <c r="Z931" s="4"/>
      <c r="AA931" s="23"/>
      <c r="AB931" s="24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10"/>
      <c r="AU931" s="9"/>
    </row>
    <row r="932" spans="1:47">
      <c r="A932" s="4"/>
      <c r="B932" s="4"/>
      <c r="C932" s="5"/>
      <c r="D932" s="5"/>
      <c r="E932" s="6"/>
      <c r="F932" s="4"/>
      <c r="G932" s="6"/>
      <c r="H932" s="7"/>
      <c r="I932" s="2"/>
      <c r="J932" s="2"/>
      <c r="K932" s="2"/>
      <c r="L932" s="2"/>
      <c r="M932" s="2"/>
      <c r="N932" s="2"/>
      <c r="O932" s="2"/>
      <c r="P932" s="2"/>
      <c r="Q932" s="2"/>
      <c r="R932" s="9"/>
      <c r="S932" s="4"/>
      <c r="T932" s="9"/>
      <c r="U932" s="9"/>
      <c r="V932" s="9"/>
      <c r="W932" s="9"/>
      <c r="X932" s="4"/>
      <c r="Y932" s="6"/>
      <c r="Z932" s="4"/>
      <c r="AA932" s="23"/>
      <c r="AB932" s="24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10"/>
      <c r="AU932" s="9"/>
    </row>
    <row r="933" spans="1:47">
      <c r="A933" s="4"/>
      <c r="B933" s="4"/>
      <c r="C933" s="5"/>
      <c r="D933" s="5"/>
      <c r="E933" s="6"/>
      <c r="F933" s="4"/>
      <c r="G933" s="6"/>
      <c r="H933" s="7"/>
      <c r="I933" s="2"/>
      <c r="J933" s="2"/>
      <c r="K933" s="2"/>
      <c r="L933" s="2"/>
      <c r="M933" s="2"/>
      <c r="N933" s="2"/>
      <c r="O933" s="2"/>
      <c r="P933" s="2"/>
      <c r="Q933" s="2"/>
      <c r="R933" s="9"/>
      <c r="S933" s="4"/>
      <c r="T933" s="9"/>
      <c r="U933" s="9"/>
      <c r="V933" s="9"/>
      <c r="W933" s="9"/>
      <c r="X933" s="4"/>
      <c r="Y933" s="6"/>
      <c r="Z933" s="4"/>
      <c r="AA933" s="23"/>
      <c r="AB933" s="24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10"/>
      <c r="AU933" s="9"/>
    </row>
    <row r="934" spans="1:47">
      <c r="A934" s="4"/>
      <c r="B934" s="4"/>
      <c r="C934" s="5"/>
      <c r="D934" s="5"/>
      <c r="E934" s="6"/>
      <c r="F934" s="4"/>
      <c r="G934" s="6"/>
      <c r="H934" s="7"/>
      <c r="I934" s="2"/>
      <c r="J934" s="2"/>
      <c r="K934" s="2"/>
      <c r="L934" s="2"/>
      <c r="M934" s="2"/>
      <c r="N934" s="2"/>
      <c r="O934" s="2"/>
      <c r="P934" s="2"/>
      <c r="Q934" s="2"/>
      <c r="R934" s="9"/>
      <c r="S934" s="4"/>
      <c r="T934" s="9"/>
      <c r="U934" s="9"/>
      <c r="V934" s="9"/>
      <c r="W934" s="9"/>
      <c r="X934" s="4"/>
      <c r="Y934" s="6"/>
      <c r="Z934" s="4"/>
      <c r="AA934" s="23"/>
      <c r="AB934" s="24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10"/>
      <c r="AU934" s="9"/>
    </row>
    <row r="935" spans="1:47">
      <c r="A935" s="4"/>
      <c r="B935" s="4"/>
      <c r="C935" s="5"/>
      <c r="D935" s="5"/>
      <c r="E935" s="6"/>
      <c r="F935" s="4"/>
      <c r="G935" s="6"/>
      <c r="H935" s="7"/>
      <c r="I935" s="7"/>
      <c r="J935" s="7"/>
      <c r="K935" s="7"/>
      <c r="L935" s="7"/>
      <c r="M935" s="2"/>
      <c r="N935" s="2"/>
      <c r="O935" s="2"/>
      <c r="P935" s="2"/>
      <c r="Q935" s="2"/>
      <c r="R935" s="9"/>
      <c r="S935" s="4"/>
      <c r="T935" s="9"/>
      <c r="U935" s="9"/>
      <c r="V935" s="9"/>
      <c r="W935" s="9"/>
      <c r="X935" s="4"/>
      <c r="Y935" s="6"/>
      <c r="Z935" s="4"/>
      <c r="AA935" s="23"/>
      <c r="AB935" s="24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10"/>
      <c r="AU935" s="9"/>
    </row>
    <row r="936" spans="1:47">
      <c r="A936" s="4"/>
      <c r="B936" s="4"/>
      <c r="C936" s="5"/>
      <c r="D936" s="5"/>
      <c r="E936" s="6"/>
      <c r="F936" s="4"/>
      <c r="G936" s="6"/>
      <c r="H936" s="7"/>
      <c r="I936" s="7"/>
      <c r="J936" s="7"/>
      <c r="K936" s="7"/>
      <c r="L936" s="7"/>
      <c r="M936" s="2"/>
      <c r="N936" s="2"/>
      <c r="O936" s="2"/>
      <c r="P936" s="2"/>
      <c r="Q936" s="2"/>
      <c r="R936" s="9"/>
      <c r="S936" s="4"/>
      <c r="T936" s="9"/>
      <c r="U936" s="9"/>
      <c r="V936" s="9"/>
      <c r="W936" s="9"/>
      <c r="X936" s="4"/>
      <c r="Y936" s="6"/>
      <c r="Z936" s="4"/>
      <c r="AA936" s="23"/>
      <c r="AB936" s="24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10"/>
      <c r="AU936" s="9"/>
    </row>
    <row r="937" spans="1:47">
      <c r="A937" s="4"/>
      <c r="B937" s="4"/>
      <c r="C937" s="5"/>
      <c r="D937" s="5"/>
      <c r="E937" s="6"/>
      <c r="F937" s="4"/>
      <c r="G937" s="6"/>
      <c r="H937" s="7"/>
      <c r="I937" s="2"/>
      <c r="J937" s="2"/>
      <c r="K937" s="2"/>
      <c r="L937" s="2"/>
      <c r="M937" s="2"/>
      <c r="N937" s="2"/>
      <c r="O937" s="2"/>
      <c r="P937" s="2"/>
      <c r="Q937" s="2"/>
      <c r="R937" s="9"/>
      <c r="S937" s="4"/>
      <c r="T937" s="9"/>
      <c r="U937" s="9"/>
      <c r="V937" s="9"/>
      <c r="W937" s="9"/>
      <c r="X937" s="4"/>
      <c r="Y937" s="6"/>
      <c r="Z937" s="4"/>
      <c r="AA937" s="23"/>
      <c r="AB937" s="24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10"/>
      <c r="AU937" s="9"/>
    </row>
    <row r="938" spans="1:47">
      <c r="A938" s="4"/>
      <c r="B938" s="4"/>
      <c r="C938" s="5"/>
      <c r="D938" s="5"/>
      <c r="E938" s="6"/>
      <c r="F938" s="4"/>
      <c r="G938" s="6"/>
      <c r="H938" s="7"/>
      <c r="I938" s="2"/>
      <c r="J938" s="2"/>
      <c r="K938" s="2"/>
      <c r="L938" s="2"/>
      <c r="M938" s="2"/>
      <c r="N938" s="2"/>
      <c r="O938" s="2"/>
      <c r="P938" s="2"/>
      <c r="Q938" s="2"/>
      <c r="R938" s="9"/>
      <c r="S938" s="4"/>
      <c r="T938" s="9"/>
      <c r="U938" s="9"/>
      <c r="V938" s="9"/>
      <c r="W938" s="9"/>
      <c r="X938" s="4"/>
      <c r="Y938" s="6"/>
      <c r="Z938" s="4"/>
      <c r="AA938" s="23"/>
      <c r="AB938" s="24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10"/>
      <c r="AU938" s="9"/>
    </row>
    <row r="939" spans="1:47">
      <c r="A939" s="4"/>
      <c r="B939" s="4"/>
      <c r="C939" s="5"/>
      <c r="D939" s="5"/>
      <c r="E939" s="6"/>
      <c r="F939" s="4"/>
      <c r="G939" s="6"/>
      <c r="H939" s="7"/>
      <c r="I939" s="2"/>
      <c r="J939" s="2"/>
      <c r="K939" s="2"/>
      <c r="L939" s="2"/>
      <c r="M939" s="2"/>
      <c r="N939" s="2"/>
      <c r="O939" s="2"/>
      <c r="P939" s="2"/>
      <c r="Q939" s="2"/>
      <c r="R939" s="9"/>
      <c r="S939" s="4"/>
      <c r="T939" s="9"/>
      <c r="U939" s="9"/>
      <c r="V939" s="9"/>
      <c r="W939" s="9"/>
      <c r="X939" s="4"/>
      <c r="Y939" s="6"/>
      <c r="Z939" s="4"/>
      <c r="AA939" s="23"/>
      <c r="AB939" s="24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10"/>
      <c r="AU939" s="9"/>
    </row>
    <row r="940" spans="1:47">
      <c r="A940" s="4"/>
      <c r="B940" s="4"/>
      <c r="C940" s="5"/>
      <c r="D940" s="5"/>
      <c r="E940" s="6"/>
      <c r="F940" s="4"/>
      <c r="G940" s="6"/>
      <c r="H940" s="7"/>
      <c r="I940" s="2"/>
      <c r="J940" s="2"/>
      <c r="K940" s="2"/>
      <c r="L940" s="2"/>
      <c r="M940" s="2"/>
      <c r="N940" s="2"/>
      <c r="O940" s="2"/>
      <c r="P940" s="2"/>
      <c r="Q940" s="2"/>
      <c r="R940" s="9"/>
      <c r="S940" s="4"/>
      <c r="T940" s="9"/>
      <c r="U940" s="9"/>
      <c r="V940" s="9"/>
      <c r="W940" s="9"/>
      <c r="X940" s="4"/>
      <c r="Y940" s="6"/>
      <c r="Z940" s="4"/>
      <c r="AA940" s="23"/>
      <c r="AB940" s="24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10"/>
      <c r="AU940" s="9"/>
    </row>
    <row r="941" spans="1:47">
      <c r="A941" s="4"/>
      <c r="B941" s="4"/>
      <c r="C941" s="5"/>
      <c r="D941" s="5"/>
      <c r="E941" s="6"/>
      <c r="F941" s="4"/>
      <c r="G941" s="6"/>
      <c r="H941" s="7"/>
      <c r="I941" s="2"/>
      <c r="J941" s="2"/>
      <c r="K941" s="2"/>
      <c r="L941" s="2"/>
      <c r="M941" s="2"/>
      <c r="N941" s="2"/>
      <c r="O941" s="2"/>
      <c r="P941" s="2"/>
      <c r="Q941" s="2"/>
      <c r="R941" s="9"/>
      <c r="S941" s="4"/>
      <c r="T941" s="9"/>
      <c r="U941" s="9"/>
      <c r="V941" s="9"/>
      <c r="W941" s="9"/>
      <c r="X941" s="4"/>
      <c r="Y941" s="6"/>
      <c r="Z941" s="4"/>
      <c r="AA941" s="23"/>
      <c r="AB941" s="24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10"/>
      <c r="AU941" s="9"/>
    </row>
    <row r="942" spans="1:47">
      <c r="A942" s="4"/>
      <c r="B942" s="4"/>
      <c r="C942" s="5"/>
      <c r="D942" s="5"/>
      <c r="E942" s="6"/>
      <c r="F942" s="4"/>
      <c r="G942" s="6"/>
      <c r="H942" s="7"/>
      <c r="I942" s="2"/>
      <c r="J942" s="2"/>
      <c r="K942" s="2"/>
      <c r="L942" s="2"/>
      <c r="M942" s="2"/>
      <c r="N942" s="2"/>
      <c r="O942" s="2"/>
      <c r="P942" s="2"/>
      <c r="Q942" s="2"/>
      <c r="R942" s="9"/>
      <c r="S942" s="4"/>
      <c r="T942" s="9"/>
      <c r="U942" s="9"/>
      <c r="V942" s="9"/>
      <c r="W942" s="9"/>
      <c r="X942" s="4"/>
      <c r="Y942" s="6"/>
      <c r="Z942" s="4"/>
      <c r="AA942" s="23"/>
      <c r="AB942" s="24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10"/>
      <c r="AU942" s="9"/>
    </row>
    <row r="943" spans="1:47">
      <c r="A943" s="4"/>
      <c r="B943" s="4"/>
      <c r="C943" s="5"/>
      <c r="D943" s="5"/>
      <c r="E943" s="6"/>
      <c r="F943" s="4"/>
      <c r="G943" s="6"/>
      <c r="H943" s="7"/>
      <c r="I943" s="2"/>
      <c r="J943" s="2"/>
      <c r="K943" s="2"/>
      <c r="L943" s="2"/>
      <c r="M943" s="2"/>
      <c r="N943" s="2"/>
      <c r="O943" s="2"/>
      <c r="P943" s="2"/>
      <c r="Q943" s="2"/>
      <c r="R943" s="9"/>
      <c r="S943" s="4"/>
      <c r="T943" s="9"/>
      <c r="U943" s="9"/>
      <c r="V943" s="9"/>
      <c r="W943" s="9"/>
      <c r="X943" s="4"/>
      <c r="Y943" s="6"/>
      <c r="Z943" s="4"/>
      <c r="AA943" s="23"/>
      <c r="AB943" s="24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10"/>
      <c r="AU943" s="9"/>
    </row>
    <row r="944" spans="1:47">
      <c r="A944" s="4"/>
      <c r="B944" s="4"/>
      <c r="C944" s="5"/>
      <c r="D944" s="5"/>
      <c r="E944" s="6"/>
      <c r="F944" s="4"/>
      <c r="G944" s="6"/>
      <c r="H944" s="7"/>
      <c r="I944" s="7"/>
      <c r="J944" s="2"/>
      <c r="K944" s="2"/>
      <c r="L944" s="2"/>
      <c r="M944" s="2"/>
      <c r="N944" s="2"/>
      <c r="O944" s="2"/>
      <c r="P944" s="2"/>
      <c r="Q944" s="2"/>
      <c r="R944" s="9"/>
      <c r="S944" s="4"/>
      <c r="T944" s="9"/>
      <c r="U944" s="9"/>
      <c r="V944" s="9"/>
      <c r="W944" s="9"/>
      <c r="X944" s="4"/>
      <c r="Y944" s="6"/>
      <c r="Z944" s="9"/>
      <c r="AA944" s="4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10"/>
      <c r="AU944" s="9"/>
    </row>
    <row r="945" spans="1:47">
      <c r="A945" s="4"/>
      <c r="B945" s="4"/>
      <c r="C945" s="5"/>
      <c r="D945" s="5"/>
      <c r="E945" s="6"/>
      <c r="F945" s="4"/>
      <c r="G945" s="6"/>
      <c r="H945" s="7"/>
      <c r="I945" s="2"/>
      <c r="J945" s="2"/>
      <c r="K945" s="2"/>
      <c r="L945" s="2"/>
      <c r="M945" s="2"/>
      <c r="N945" s="2"/>
      <c r="O945" s="2"/>
      <c r="P945" s="2"/>
      <c r="Q945" s="2"/>
      <c r="R945" s="9"/>
      <c r="S945" s="4"/>
      <c r="T945" s="9"/>
      <c r="U945" s="9"/>
      <c r="V945" s="9"/>
      <c r="W945" s="9"/>
      <c r="X945" s="4"/>
      <c r="Y945" s="6"/>
      <c r="Z945" s="4"/>
      <c r="AA945" s="23"/>
      <c r="AB945" s="24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10"/>
      <c r="AU945" s="9"/>
    </row>
    <row r="946" spans="1:47">
      <c r="A946" s="4"/>
      <c r="B946" s="4"/>
      <c r="C946" s="5"/>
      <c r="D946" s="5"/>
      <c r="E946" s="6"/>
      <c r="F946" s="4"/>
      <c r="G946" s="6"/>
      <c r="H946" s="7"/>
      <c r="I946" s="2"/>
      <c r="J946" s="2"/>
      <c r="K946" s="2"/>
      <c r="L946" s="2"/>
      <c r="M946" s="2"/>
      <c r="N946" s="2"/>
      <c r="O946" s="2"/>
      <c r="P946" s="2"/>
      <c r="Q946" s="2"/>
      <c r="R946" s="9"/>
      <c r="S946" s="4"/>
      <c r="T946" s="9"/>
      <c r="U946" s="9"/>
      <c r="V946" s="9"/>
      <c r="W946" s="9"/>
      <c r="X946" s="4"/>
      <c r="Y946" s="6"/>
      <c r="Z946" s="4"/>
      <c r="AA946" s="23"/>
      <c r="AB946" s="24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10"/>
      <c r="AU946" s="9"/>
    </row>
    <row r="947" spans="1:47">
      <c r="A947" s="4"/>
      <c r="B947" s="4"/>
      <c r="C947" s="5"/>
      <c r="D947" s="5"/>
      <c r="E947" s="6"/>
      <c r="F947" s="4"/>
      <c r="G947" s="6"/>
      <c r="H947" s="7"/>
      <c r="I947" s="2"/>
      <c r="J947" s="2"/>
      <c r="K947" s="2"/>
      <c r="L947" s="2"/>
      <c r="M947" s="2"/>
      <c r="N947" s="2"/>
      <c r="O947" s="2"/>
      <c r="P947" s="2"/>
      <c r="Q947" s="2"/>
      <c r="R947" s="9"/>
      <c r="S947" s="4"/>
      <c r="T947" s="9"/>
      <c r="U947" s="9"/>
      <c r="V947" s="9"/>
      <c r="W947" s="9"/>
      <c r="X947" s="4"/>
      <c r="Y947" s="6"/>
      <c r="Z947" s="4"/>
      <c r="AA947" s="23"/>
      <c r="AB947" s="24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10"/>
      <c r="AU947" s="9"/>
    </row>
    <row r="948" spans="1:47">
      <c r="A948" s="4"/>
      <c r="B948" s="4"/>
      <c r="C948" s="5"/>
      <c r="D948" s="5"/>
      <c r="E948" s="6"/>
      <c r="F948" s="4"/>
      <c r="G948" s="6"/>
      <c r="H948" s="7"/>
      <c r="I948" s="2"/>
      <c r="J948" s="2"/>
      <c r="K948" s="2"/>
      <c r="L948" s="2"/>
      <c r="M948" s="2"/>
      <c r="N948" s="2"/>
      <c r="O948" s="2"/>
      <c r="P948" s="2"/>
      <c r="Q948" s="2"/>
      <c r="R948" s="9"/>
      <c r="S948" s="4"/>
      <c r="T948" s="9"/>
      <c r="U948" s="9"/>
      <c r="V948" s="9"/>
      <c r="W948" s="9"/>
      <c r="X948" s="4"/>
      <c r="Y948" s="6"/>
      <c r="Z948" s="4"/>
      <c r="AA948" s="23"/>
      <c r="AB948" s="24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10"/>
      <c r="AU948" s="9"/>
    </row>
    <row r="949" spans="1:47">
      <c r="A949" s="4"/>
      <c r="B949" s="4"/>
      <c r="C949" s="5"/>
      <c r="D949" s="5"/>
      <c r="E949" s="6"/>
      <c r="F949" s="4"/>
      <c r="G949" s="6"/>
      <c r="H949" s="7"/>
      <c r="I949" s="2"/>
      <c r="J949" s="2"/>
      <c r="K949" s="2"/>
      <c r="L949" s="2"/>
      <c r="M949" s="2"/>
      <c r="N949" s="2"/>
      <c r="O949" s="2"/>
      <c r="P949" s="2"/>
      <c r="Q949" s="2"/>
      <c r="R949" s="9"/>
      <c r="S949" s="4"/>
      <c r="T949" s="9"/>
      <c r="U949" s="9"/>
      <c r="V949" s="9"/>
      <c r="W949" s="9"/>
      <c r="X949" s="4"/>
      <c r="Y949" s="6"/>
      <c r="Z949" s="4"/>
      <c r="AA949" s="23"/>
      <c r="AB949" s="24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10"/>
      <c r="AU949" s="9"/>
    </row>
    <row r="950" spans="1:47">
      <c r="A950" s="4"/>
      <c r="B950" s="4"/>
      <c r="C950" s="5"/>
      <c r="D950" s="5"/>
      <c r="E950" s="6"/>
      <c r="F950" s="4"/>
      <c r="G950" s="6"/>
      <c r="H950" s="7"/>
      <c r="I950" s="7"/>
      <c r="J950" s="7"/>
      <c r="K950" s="7"/>
      <c r="L950" s="7"/>
      <c r="M950" s="2"/>
      <c r="N950" s="2"/>
      <c r="O950" s="2"/>
      <c r="P950" s="2"/>
      <c r="Q950" s="2"/>
      <c r="R950" s="9"/>
      <c r="S950" s="4"/>
      <c r="T950" s="9"/>
      <c r="U950" s="9"/>
      <c r="V950" s="9"/>
      <c r="W950" s="9"/>
      <c r="X950" s="4"/>
      <c r="Y950" s="6"/>
      <c r="Z950" s="9"/>
      <c r="AA950" s="4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10"/>
      <c r="AU950" s="9"/>
    </row>
    <row r="951" spans="1:47">
      <c r="A951" s="4"/>
      <c r="B951" s="4"/>
      <c r="C951" s="5"/>
      <c r="D951" s="5"/>
      <c r="E951" s="6"/>
      <c r="F951" s="4"/>
      <c r="G951" s="6"/>
      <c r="H951" s="7"/>
      <c r="I951" s="2"/>
      <c r="J951" s="2"/>
      <c r="K951" s="2"/>
      <c r="L951" s="2"/>
      <c r="M951" s="2"/>
      <c r="N951" s="2"/>
      <c r="O951" s="2"/>
      <c r="P951" s="2"/>
      <c r="Q951" s="2"/>
      <c r="R951" s="9"/>
      <c r="S951" s="4"/>
      <c r="T951" s="9"/>
      <c r="U951" s="9"/>
      <c r="V951" s="9"/>
      <c r="W951" s="9"/>
      <c r="X951" s="4"/>
      <c r="Y951" s="6"/>
      <c r="Z951" s="4"/>
      <c r="AA951" s="23"/>
      <c r="AB951" s="24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10"/>
      <c r="AU951" s="9"/>
    </row>
    <row r="952" spans="1:47">
      <c r="A952" s="4"/>
      <c r="B952" s="4"/>
      <c r="C952" s="5"/>
      <c r="D952" s="5"/>
      <c r="E952" s="6"/>
      <c r="F952" s="4"/>
      <c r="G952" s="6"/>
      <c r="H952" s="7"/>
      <c r="I952" s="2"/>
      <c r="J952" s="2"/>
      <c r="K952" s="2"/>
      <c r="L952" s="2"/>
      <c r="M952" s="2"/>
      <c r="N952" s="2"/>
      <c r="O952" s="2"/>
      <c r="P952" s="2"/>
      <c r="Q952" s="2"/>
      <c r="R952" s="9"/>
      <c r="S952" s="4"/>
      <c r="T952" s="9"/>
      <c r="U952" s="9"/>
      <c r="V952" s="9"/>
      <c r="W952" s="9"/>
      <c r="X952" s="4"/>
      <c r="Y952" s="6"/>
      <c r="Z952" s="4"/>
      <c r="AA952" s="23"/>
      <c r="AB952" s="24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10"/>
      <c r="AU952" s="9"/>
    </row>
    <row r="953" spans="1:47">
      <c r="A953" s="4"/>
      <c r="B953" s="4"/>
      <c r="C953" s="5"/>
      <c r="D953" s="5"/>
      <c r="E953" s="6"/>
      <c r="F953" s="4"/>
      <c r="G953" s="6"/>
      <c r="H953" s="7"/>
      <c r="I953" s="2"/>
      <c r="J953" s="2"/>
      <c r="K953" s="2"/>
      <c r="L953" s="2"/>
      <c r="M953" s="2"/>
      <c r="N953" s="2"/>
      <c r="O953" s="2"/>
      <c r="P953" s="2"/>
      <c r="Q953" s="2"/>
      <c r="R953" s="9"/>
      <c r="S953" s="4"/>
      <c r="T953" s="9"/>
      <c r="U953" s="9"/>
      <c r="V953" s="9"/>
      <c r="W953" s="9"/>
      <c r="X953" s="4"/>
      <c r="Y953" s="6"/>
      <c r="Z953" s="4"/>
      <c r="AA953" s="23"/>
      <c r="AB953" s="24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10"/>
      <c r="AU953" s="9"/>
    </row>
    <row r="954" spans="1:47">
      <c r="A954" s="4"/>
      <c r="B954" s="4"/>
      <c r="C954" s="5"/>
      <c r="D954" s="5"/>
      <c r="E954" s="6"/>
      <c r="F954" s="4"/>
      <c r="G954" s="6"/>
      <c r="H954" s="7"/>
      <c r="I954" s="2"/>
      <c r="J954" s="2"/>
      <c r="K954" s="2"/>
      <c r="L954" s="2"/>
      <c r="M954" s="2"/>
      <c r="N954" s="2"/>
      <c r="O954" s="2"/>
      <c r="P954" s="2"/>
      <c r="Q954" s="2"/>
      <c r="R954" s="9"/>
      <c r="S954" s="4"/>
      <c r="T954" s="9"/>
      <c r="U954" s="9"/>
      <c r="V954" s="9"/>
      <c r="W954" s="9"/>
      <c r="X954" s="4"/>
      <c r="Y954" s="6"/>
      <c r="Z954" s="4"/>
      <c r="AA954" s="23"/>
      <c r="AB954" s="24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10"/>
      <c r="AU954" s="9"/>
    </row>
    <row r="955" spans="1:47">
      <c r="A955" s="4"/>
      <c r="B955" s="4"/>
      <c r="C955" s="5"/>
      <c r="D955" s="5"/>
      <c r="E955" s="6"/>
      <c r="F955" s="4"/>
      <c r="G955" s="6"/>
      <c r="H955" s="7"/>
      <c r="I955" s="2"/>
      <c r="J955" s="2"/>
      <c r="K955" s="2"/>
      <c r="L955" s="2"/>
      <c r="M955" s="2"/>
      <c r="N955" s="2"/>
      <c r="O955" s="2"/>
      <c r="P955" s="2"/>
      <c r="Q955" s="2"/>
      <c r="R955" s="9"/>
      <c r="S955" s="4"/>
      <c r="T955" s="9"/>
      <c r="U955" s="9"/>
      <c r="V955" s="9"/>
      <c r="W955" s="9"/>
      <c r="X955" s="4"/>
      <c r="Y955" s="6"/>
      <c r="Z955" s="4"/>
      <c r="AA955" s="23"/>
      <c r="AB955" s="24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10"/>
      <c r="AU955" s="9"/>
    </row>
    <row r="956" spans="1:47">
      <c r="A956" s="4"/>
      <c r="B956" s="4"/>
      <c r="C956" s="5"/>
      <c r="D956" s="5"/>
      <c r="E956" s="6"/>
      <c r="F956" s="4"/>
      <c r="G956" s="6"/>
      <c r="H956" s="7"/>
      <c r="I956" s="2"/>
      <c r="J956" s="2"/>
      <c r="K956" s="2"/>
      <c r="L956" s="2"/>
      <c r="M956" s="2"/>
      <c r="N956" s="2"/>
      <c r="O956" s="2"/>
      <c r="P956" s="2"/>
      <c r="Q956" s="2"/>
      <c r="R956" s="9"/>
      <c r="S956" s="4"/>
      <c r="T956" s="9"/>
      <c r="U956" s="9"/>
      <c r="V956" s="9"/>
      <c r="W956" s="9"/>
      <c r="X956" s="4"/>
      <c r="Y956" s="6"/>
      <c r="Z956" s="4"/>
      <c r="AA956" s="23"/>
      <c r="AB956" s="24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10"/>
      <c r="AU956" s="9"/>
    </row>
    <row r="957" spans="1:47">
      <c r="A957" s="4"/>
      <c r="B957" s="4"/>
      <c r="C957" s="5"/>
      <c r="D957" s="5"/>
      <c r="E957" s="6"/>
      <c r="F957" s="4"/>
      <c r="G957" s="6"/>
      <c r="H957" s="7"/>
      <c r="I957" s="7"/>
      <c r="J957" s="7"/>
      <c r="K957" s="7"/>
      <c r="L957" s="7"/>
      <c r="M957" s="2"/>
      <c r="N957" s="2"/>
      <c r="O957" s="2"/>
      <c r="P957" s="2"/>
      <c r="Q957" s="2"/>
      <c r="R957" s="9"/>
      <c r="S957" s="4"/>
      <c r="T957" s="9"/>
      <c r="U957" s="9"/>
      <c r="V957" s="9"/>
      <c r="W957" s="9"/>
      <c r="X957" s="4"/>
      <c r="Y957" s="6"/>
      <c r="Z957" s="4"/>
      <c r="AA957" s="23"/>
      <c r="AB957" s="24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10"/>
      <c r="AU957" s="9"/>
    </row>
    <row r="958" spans="1:47">
      <c r="A958" s="4"/>
      <c r="B958" s="4"/>
      <c r="C958" s="5"/>
      <c r="D958" s="5"/>
      <c r="E958" s="6"/>
      <c r="F958" s="4"/>
      <c r="G958" s="6"/>
      <c r="H958" s="7"/>
      <c r="I958" s="2"/>
      <c r="J958" s="2"/>
      <c r="K958" s="2"/>
      <c r="L958" s="2"/>
      <c r="M958" s="2"/>
      <c r="N958" s="2"/>
      <c r="O958" s="2"/>
      <c r="P958" s="2"/>
      <c r="Q958" s="2"/>
      <c r="R958" s="9"/>
      <c r="S958" s="4"/>
      <c r="T958" s="9"/>
      <c r="U958" s="9"/>
      <c r="V958" s="9"/>
      <c r="W958" s="9"/>
      <c r="X958" s="4"/>
      <c r="Y958" s="6"/>
      <c r="Z958" s="4"/>
      <c r="AA958" s="23"/>
      <c r="AB958" s="24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10"/>
      <c r="AU958" s="9"/>
    </row>
    <row r="959" spans="1:47">
      <c r="A959" s="4"/>
      <c r="B959" s="4"/>
      <c r="C959" s="5"/>
      <c r="D959" s="5"/>
      <c r="E959" s="6"/>
      <c r="F959" s="4"/>
      <c r="G959" s="6"/>
      <c r="H959" s="7"/>
      <c r="I959" s="2"/>
      <c r="J959" s="2"/>
      <c r="K959" s="2"/>
      <c r="L959" s="2"/>
      <c r="M959" s="2"/>
      <c r="N959" s="2"/>
      <c r="O959" s="2"/>
      <c r="P959" s="2"/>
      <c r="Q959" s="2"/>
      <c r="R959" s="9"/>
      <c r="S959" s="4"/>
      <c r="T959" s="9"/>
      <c r="U959" s="9"/>
      <c r="V959" s="9"/>
      <c r="W959" s="9"/>
      <c r="X959" s="4"/>
      <c r="Y959" s="6"/>
      <c r="Z959" s="4"/>
      <c r="AA959" s="23"/>
      <c r="AB959" s="24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10"/>
      <c r="AU959" s="9"/>
    </row>
    <row r="960" spans="1:47">
      <c r="A960" s="4"/>
      <c r="B960" s="4"/>
      <c r="C960" s="5"/>
      <c r="D960" s="5"/>
      <c r="E960" s="6"/>
      <c r="F960" s="4"/>
      <c r="G960" s="6"/>
      <c r="H960" s="7"/>
      <c r="I960" s="7"/>
      <c r="J960" s="7"/>
      <c r="K960" s="7"/>
      <c r="L960" s="7"/>
      <c r="M960" s="2"/>
      <c r="N960" s="2"/>
      <c r="O960" s="2"/>
      <c r="P960" s="2"/>
      <c r="Q960" s="2"/>
      <c r="R960" s="9"/>
      <c r="S960" s="4"/>
      <c r="T960" s="9"/>
      <c r="U960" s="9"/>
      <c r="V960" s="9"/>
      <c r="W960" s="9"/>
      <c r="X960" s="4"/>
      <c r="Y960" s="6"/>
      <c r="Z960" s="9"/>
      <c r="AA960" s="4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10"/>
      <c r="AU960" s="9"/>
    </row>
    <row r="961" spans="1:47">
      <c r="A961" s="4"/>
      <c r="B961" s="4"/>
      <c r="C961" s="5"/>
      <c r="D961" s="5"/>
      <c r="E961" s="6"/>
      <c r="F961" s="4"/>
      <c r="G961" s="6"/>
      <c r="H961" s="7"/>
      <c r="I961" s="7"/>
      <c r="J961" s="7"/>
      <c r="K961" s="7"/>
      <c r="L961" s="7"/>
      <c r="M961" s="2"/>
      <c r="N961" s="2"/>
      <c r="O961" s="2"/>
      <c r="P961" s="2"/>
      <c r="Q961" s="2"/>
      <c r="R961" s="9"/>
      <c r="S961" s="4"/>
      <c r="T961" s="9"/>
      <c r="U961" s="9"/>
      <c r="V961" s="9"/>
      <c r="W961" s="9"/>
      <c r="X961" s="4"/>
      <c r="Y961" s="6"/>
      <c r="Z961" s="9"/>
      <c r="AA961" s="4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10"/>
      <c r="AU961" s="9"/>
    </row>
    <row r="962" spans="1:47">
      <c r="A962" s="4"/>
      <c r="B962" s="4"/>
      <c r="C962" s="5"/>
      <c r="D962" s="5"/>
      <c r="E962" s="6"/>
      <c r="F962" s="4"/>
      <c r="G962" s="6"/>
      <c r="H962" s="7"/>
      <c r="I962" s="7"/>
      <c r="J962" s="7"/>
      <c r="K962" s="7"/>
      <c r="L962" s="7"/>
      <c r="M962" s="2"/>
      <c r="N962" s="2"/>
      <c r="O962" s="2"/>
      <c r="P962" s="2"/>
      <c r="Q962" s="2"/>
      <c r="R962" s="9"/>
      <c r="S962" s="4"/>
      <c r="T962" s="9"/>
      <c r="U962" s="9"/>
      <c r="V962" s="9"/>
      <c r="W962" s="9"/>
      <c r="X962" s="4"/>
      <c r="Y962" s="6"/>
      <c r="Z962" s="9"/>
      <c r="AA962" s="4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10"/>
      <c r="AU962" s="9"/>
    </row>
    <row r="963" spans="1:47">
      <c r="A963" s="4"/>
      <c r="B963" s="4"/>
      <c r="C963" s="5"/>
      <c r="D963" s="5"/>
      <c r="E963" s="6"/>
      <c r="F963" s="4"/>
      <c r="G963" s="6"/>
      <c r="H963" s="7"/>
      <c r="I963" s="7"/>
      <c r="J963" s="7"/>
      <c r="K963" s="7"/>
      <c r="L963" s="7"/>
      <c r="M963" s="2"/>
      <c r="N963" s="2"/>
      <c r="O963" s="2"/>
      <c r="P963" s="2"/>
      <c r="Q963" s="2"/>
      <c r="R963" s="9"/>
      <c r="S963" s="4"/>
      <c r="T963" s="9"/>
      <c r="U963" s="9"/>
      <c r="V963" s="9"/>
      <c r="W963" s="9"/>
      <c r="X963" s="4"/>
      <c r="Y963" s="6"/>
      <c r="Z963" s="9"/>
      <c r="AA963" s="4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10"/>
      <c r="AU963" s="9"/>
    </row>
    <row r="964" spans="1:47">
      <c r="A964" s="4"/>
      <c r="B964" s="4"/>
      <c r="C964" s="5"/>
      <c r="D964" s="5"/>
      <c r="E964" s="6"/>
      <c r="F964" s="4"/>
      <c r="G964" s="6"/>
      <c r="H964" s="7"/>
      <c r="I964" s="7"/>
      <c r="J964" s="7"/>
      <c r="K964" s="7"/>
      <c r="L964" s="7"/>
      <c r="M964" s="2"/>
      <c r="N964" s="2"/>
      <c r="O964" s="2"/>
      <c r="P964" s="2"/>
      <c r="Q964" s="2"/>
      <c r="R964" s="9"/>
      <c r="S964" s="4"/>
      <c r="T964" s="9"/>
      <c r="U964" s="9"/>
      <c r="V964" s="9"/>
      <c r="W964" s="9"/>
      <c r="X964" s="4"/>
      <c r="Y964" s="6"/>
      <c r="Z964" s="4"/>
      <c r="AA964" s="23"/>
      <c r="AB964" s="24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10"/>
      <c r="AU964" s="9"/>
    </row>
    <row r="965" spans="1:47">
      <c r="A965" s="4"/>
      <c r="B965" s="4"/>
      <c r="C965" s="5"/>
      <c r="D965" s="5"/>
      <c r="E965" s="6"/>
      <c r="F965" s="4"/>
      <c r="G965" s="6"/>
      <c r="H965" s="7"/>
      <c r="I965" s="7"/>
      <c r="J965" s="7"/>
      <c r="K965" s="7"/>
      <c r="L965" s="7"/>
      <c r="M965" s="2"/>
      <c r="N965" s="2"/>
      <c r="O965" s="2"/>
      <c r="P965" s="2"/>
      <c r="Q965" s="2"/>
      <c r="R965" s="9"/>
      <c r="S965" s="4"/>
      <c r="T965" s="9"/>
      <c r="U965" s="9"/>
      <c r="V965" s="9"/>
      <c r="W965" s="9"/>
      <c r="X965" s="4"/>
      <c r="Y965" s="6"/>
      <c r="Z965" s="4"/>
      <c r="AA965" s="23"/>
      <c r="AB965" s="24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10"/>
      <c r="AU965" s="9"/>
    </row>
    <row r="966" spans="1:47">
      <c r="A966" s="4"/>
      <c r="B966" s="4"/>
      <c r="C966" s="5"/>
      <c r="D966" s="5"/>
      <c r="E966" s="6"/>
      <c r="F966" s="4"/>
      <c r="G966" s="6"/>
      <c r="H966" s="7"/>
      <c r="I966" s="2"/>
      <c r="J966" s="2"/>
      <c r="K966" s="2"/>
      <c r="L966" s="2"/>
      <c r="M966" s="2"/>
      <c r="N966" s="2"/>
      <c r="O966" s="2"/>
      <c r="P966" s="2"/>
      <c r="Q966" s="2"/>
      <c r="R966" s="9"/>
      <c r="S966" s="4"/>
      <c r="T966" s="9"/>
      <c r="U966" s="9"/>
      <c r="V966" s="9"/>
      <c r="W966" s="9"/>
      <c r="X966" s="4"/>
      <c r="Y966" s="6"/>
      <c r="Z966" s="4"/>
      <c r="AA966" s="23"/>
      <c r="AB966" s="24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10"/>
      <c r="AU966" s="9"/>
    </row>
    <row r="967" spans="1:47">
      <c r="A967" s="4"/>
      <c r="B967" s="4"/>
      <c r="C967" s="5"/>
      <c r="D967" s="5"/>
      <c r="E967" s="6"/>
      <c r="F967" s="4"/>
      <c r="G967" s="6"/>
      <c r="H967" s="7"/>
      <c r="I967" s="2"/>
      <c r="J967" s="2"/>
      <c r="K967" s="2"/>
      <c r="L967" s="2"/>
      <c r="M967" s="2"/>
      <c r="N967" s="2"/>
      <c r="O967" s="2"/>
      <c r="P967" s="2"/>
      <c r="Q967" s="2"/>
      <c r="R967" s="9"/>
      <c r="S967" s="4"/>
      <c r="T967" s="9"/>
      <c r="U967" s="9"/>
      <c r="V967" s="9"/>
      <c r="W967" s="9"/>
      <c r="X967" s="4"/>
      <c r="Y967" s="6"/>
      <c r="Z967" s="4"/>
      <c r="AA967" s="23"/>
      <c r="AB967" s="24"/>
      <c r="AC967" s="25"/>
      <c r="AD967" s="24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10"/>
      <c r="AU967" s="9"/>
    </row>
    <row r="968" spans="1:47">
      <c r="A968" s="4"/>
      <c r="B968" s="4"/>
      <c r="C968" s="5"/>
      <c r="D968" s="5"/>
      <c r="E968" s="6"/>
      <c r="F968" s="4"/>
      <c r="G968" s="6"/>
      <c r="H968" s="7"/>
      <c r="I968" s="2"/>
      <c r="J968" s="2"/>
      <c r="K968" s="2"/>
      <c r="L968" s="2"/>
      <c r="M968" s="2"/>
      <c r="N968" s="2"/>
      <c r="O968" s="2"/>
      <c r="P968" s="2"/>
      <c r="Q968" s="2"/>
      <c r="R968" s="9"/>
      <c r="S968" s="4"/>
      <c r="T968" s="9"/>
      <c r="U968" s="9"/>
      <c r="V968" s="9"/>
      <c r="W968" s="9"/>
      <c r="X968" s="4"/>
      <c r="Y968" s="6"/>
      <c r="Z968" s="4"/>
      <c r="AA968" s="23"/>
      <c r="AB968" s="24"/>
      <c r="AC968" s="25"/>
      <c r="AD968" s="24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10"/>
      <c r="AU968" s="9"/>
    </row>
    <row r="969" spans="1:47">
      <c r="A969" s="4"/>
      <c r="B969" s="4"/>
      <c r="C969" s="5"/>
      <c r="D969" s="5"/>
      <c r="E969" s="6"/>
      <c r="F969" s="4"/>
      <c r="G969" s="6"/>
      <c r="H969" s="7"/>
      <c r="I969" s="2"/>
      <c r="J969" s="2"/>
      <c r="K969" s="2"/>
      <c r="L969" s="2"/>
      <c r="M969" s="2"/>
      <c r="N969" s="2"/>
      <c r="O969" s="2"/>
      <c r="P969" s="2"/>
      <c r="Q969" s="2"/>
      <c r="R969" s="9"/>
      <c r="S969" s="4"/>
      <c r="T969" s="9"/>
      <c r="U969" s="9"/>
      <c r="V969" s="9"/>
      <c r="W969" s="9"/>
      <c r="X969" s="4"/>
      <c r="Y969" s="6"/>
      <c r="Z969" s="4"/>
      <c r="AA969" s="23"/>
      <c r="AB969" s="24"/>
      <c r="AC969" s="25"/>
      <c r="AD969" s="24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10"/>
      <c r="AU969" s="9"/>
    </row>
    <row r="970" spans="1:47">
      <c r="A970" s="4"/>
      <c r="B970" s="4"/>
      <c r="C970" s="5"/>
      <c r="D970" s="5"/>
      <c r="E970" s="6"/>
      <c r="F970" s="4"/>
      <c r="G970" s="6"/>
      <c r="H970" s="7"/>
      <c r="I970" s="2"/>
      <c r="J970" s="2"/>
      <c r="K970" s="2"/>
      <c r="L970" s="2"/>
      <c r="M970" s="2"/>
      <c r="N970" s="2"/>
      <c r="O970" s="2"/>
      <c r="P970" s="2"/>
      <c r="Q970" s="2"/>
      <c r="R970" s="9"/>
      <c r="S970" s="4"/>
      <c r="T970" s="9"/>
      <c r="U970" s="9"/>
      <c r="V970" s="9"/>
      <c r="W970" s="9"/>
      <c r="X970" s="4"/>
      <c r="Y970" s="6"/>
      <c r="Z970" s="4"/>
      <c r="AA970" s="23"/>
      <c r="AB970" s="24"/>
      <c r="AC970" s="25"/>
      <c r="AD970" s="24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10"/>
      <c r="AU970" s="9"/>
    </row>
    <row r="971" spans="1:47">
      <c r="A971" s="4"/>
      <c r="B971" s="4"/>
      <c r="C971" s="5"/>
      <c r="D971" s="5"/>
      <c r="E971" s="6"/>
      <c r="F971" s="4"/>
      <c r="G971" s="6"/>
      <c r="H971" s="7"/>
      <c r="I971" s="2"/>
      <c r="J971" s="2"/>
      <c r="K971" s="2"/>
      <c r="L971" s="2"/>
      <c r="M971" s="2"/>
      <c r="N971" s="2"/>
      <c r="O971" s="2"/>
      <c r="P971" s="2"/>
      <c r="Q971" s="2"/>
      <c r="R971" s="9"/>
      <c r="S971" s="4"/>
      <c r="T971" s="9"/>
      <c r="U971" s="9"/>
      <c r="V971" s="9"/>
      <c r="W971" s="9"/>
      <c r="X971" s="4"/>
      <c r="Y971" s="6"/>
      <c r="Z971" s="4"/>
      <c r="AA971" s="23"/>
      <c r="AB971" s="24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10"/>
      <c r="AU971" s="9"/>
    </row>
    <row r="972" spans="1:47">
      <c r="A972" s="4"/>
      <c r="B972" s="4"/>
      <c r="C972" s="5"/>
      <c r="D972" s="5"/>
      <c r="E972" s="6"/>
      <c r="F972" s="4"/>
      <c r="G972" s="6"/>
      <c r="H972" s="7"/>
      <c r="I972" s="2"/>
      <c r="J972" s="2"/>
      <c r="K972" s="2"/>
      <c r="L972" s="2"/>
      <c r="M972" s="2"/>
      <c r="N972" s="2"/>
      <c r="O972" s="2"/>
      <c r="P972" s="2"/>
      <c r="Q972" s="2"/>
      <c r="R972" s="9"/>
      <c r="S972" s="4"/>
      <c r="T972" s="9"/>
      <c r="U972" s="9"/>
      <c r="V972" s="9"/>
      <c r="W972" s="9"/>
      <c r="X972" s="4"/>
      <c r="Y972" s="6"/>
      <c r="Z972" s="4"/>
      <c r="AA972" s="23"/>
      <c r="AB972" s="24"/>
      <c r="AC972" s="25"/>
      <c r="AD972" s="24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10"/>
      <c r="AU972" s="9"/>
    </row>
    <row r="973" spans="1:47">
      <c r="A973" s="4"/>
      <c r="B973" s="4"/>
      <c r="C973" s="5"/>
      <c r="D973" s="5"/>
      <c r="E973" s="6"/>
      <c r="F973" s="4"/>
      <c r="G973" s="6"/>
      <c r="H973" s="7"/>
      <c r="I973" s="2"/>
      <c r="J973" s="2"/>
      <c r="K973" s="2"/>
      <c r="L973" s="2"/>
      <c r="M973" s="2"/>
      <c r="N973" s="2"/>
      <c r="O973" s="2"/>
      <c r="P973" s="2"/>
      <c r="Q973" s="2"/>
      <c r="R973" s="9"/>
      <c r="S973" s="4"/>
      <c r="T973" s="9"/>
      <c r="U973" s="9"/>
      <c r="V973" s="9"/>
      <c r="W973" s="9"/>
      <c r="X973" s="4"/>
      <c r="Y973" s="6"/>
      <c r="Z973" s="4"/>
      <c r="AA973" s="23"/>
      <c r="AB973" s="24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10"/>
      <c r="AU973" s="9"/>
    </row>
    <row r="974" spans="1:47">
      <c r="A974" s="4"/>
      <c r="B974" s="4"/>
      <c r="C974" s="5"/>
      <c r="D974" s="5"/>
      <c r="E974" s="6"/>
      <c r="F974" s="4"/>
      <c r="G974" s="6"/>
      <c r="H974" s="7"/>
      <c r="I974" s="2"/>
      <c r="J974" s="2"/>
      <c r="K974" s="2"/>
      <c r="L974" s="2"/>
      <c r="M974" s="2"/>
      <c r="N974" s="2"/>
      <c r="O974" s="2"/>
      <c r="P974" s="2"/>
      <c r="Q974" s="2"/>
      <c r="R974" s="9"/>
      <c r="S974" s="4"/>
      <c r="T974" s="9"/>
      <c r="U974" s="9"/>
      <c r="V974" s="9"/>
      <c r="W974" s="9"/>
      <c r="X974" s="4"/>
      <c r="Y974" s="6"/>
      <c r="Z974" s="4"/>
      <c r="AA974" s="23"/>
      <c r="AB974" s="24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10"/>
      <c r="AU974" s="9"/>
    </row>
    <row r="975" spans="1:47">
      <c r="A975" s="4"/>
      <c r="B975" s="4"/>
      <c r="C975" s="5"/>
      <c r="D975" s="5"/>
      <c r="E975" s="6"/>
      <c r="F975" s="4"/>
      <c r="G975" s="6"/>
      <c r="H975" s="7"/>
      <c r="I975" s="7"/>
      <c r="J975" s="7"/>
      <c r="K975" s="7"/>
      <c r="L975" s="7"/>
      <c r="M975" s="2"/>
      <c r="N975" s="2"/>
      <c r="O975" s="2"/>
      <c r="P975" s="2"/>
      <c r="Q975" s="2"/>
      <c r="R975" s="9"/>
      <c r="S975" s="4"/>
      <c r="T975" s="9"/>
      <c r="U975" s="9"/>
      <c r="V975" s="9"/>
      <c r="W975" s="9"/>
      <c r="X975" s="4"/>
      <c r="Y975" s="6"/>
      <c r="Z975" s="4"/>
      <c r="AA975" s="23"/>
      <c r="AB975" s="24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10"/>
      <c r="AU975" s="9"/>
    </row>
    <row r="976" spans="1:47">
      <c r="A976" s="4"/>
      <c r="B976" s="4"/>
      <c r="C976" s="5"/>
      <c r="D976" s="5"/>
      <c r="E976" s="6"/>
      <c r="F976" s="4"/>
      <c r="G976" s="6"/>
      <c r="H976" s="7"/>
      <c r="I976" s="2"/>
      <c r="J976" s="2"/>
      <c r="K976" s="2"/>
      <c r="L976" s="2"/>
      <c r="M976" s="2"/>
      <c r="N976" s="2"/>
      <c r="O976" s="2"/>
      <c r="P976" s="2"/>
      <c r="Q976" s="2"/>
      <c r="R976" s="9"/>
      <c r="S976" s="4"/>
      <c r="T976" s="9"/>
      <c r="U976" s="9"/>
      <c r="V976" s="9"/>
      <c r="W976" s="9"/>
      <c r="X976" s="4"/>
      <c r="Y976" s="6"/>
      <c r="Z976" s="4"/>
      <c r="AA976" s="23"/>
      <c r="AB976" s="24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10"/>
      <c r="AU976" s="9"/>
    </row>
    <row r="977" spans="1:47">
      <c r="A977" s="4"/>
      <c r="B977" s="4"/>
      <c r="C977" s="5"/>
      <c r="D977" s="5"/>
      <c r="E977" s="6"/>
      <c r="F977" s="4"/>
      <c r="G977" s="6"/>
      <c r="H977" s="7"/>
      <c r="I977" s="7"/>
      <c r="J977" s="7"/>
      <c r="K977" s="7"/>
      <c r="L977" s="2"/>
      <c r="M977" s="2"/>
      <c r="N977" s="2"/>
      <c r="O977" s="2"/>
      <c r="P977" s="2"/>
      <c r="Q977" s="2"/>
      <c r="R977" s="9"/>
      <c r="S977" s="4"/>
      <c r="T977" s="9"/>
      <c r="U977" s="9"/>
      <c r="V977" s="9"/>
      <c r="W977" s="9"/>
      <c r="X977" s="4"/>
      <c r="Y977" s="6"/>
      <c r="Z977" s="9"/>
      <c r="AA977" s="4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10"/>
      <c r="AU977" s="9"/>
    </row>
    <row r="978" spans="1:47">
      <c r="A978" s="4"/>
      <c r="B978" s="4"/>
      <c r="C978" s="5"/>
      <c r="D978" s="5"/>
      <c r="E978" s="6"/>
      <c r="F978" s="4"/>
      <c r="G978" s="6"/>
      <c r="H978" s="7"/>
      <c r="I978" s="2"/>
      <c r="J978" s="2"/>
      <c r="K978" s="2"/>
      <c r="L978" s="2"/>
      <c r="M978" s="2"/>
      <c r="N978" s="2"/>
      <c r="O978" s="2"/>
      <c r="P978" s="2"/>
      <c r="Q978" s="2"/>
      <c r="R978" s="9"/>
      <c r="S978" s="4"/>
      <c r="T978" s="9"/>
      <c r="U978" s="9"/>
      <c r="V978" s="9"/>
      <c r="W978" s="9"/>
      <c r="X978" s="4"/>
      <c r="Y978" s="6"/>
      <c r="Z978" s="4"/>
      <c r="AA978" s="23"/>
      <c r="AB978" s="24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10"/>
      <c r="AU978" s="9"/>
    </row>
    <row r="979" spans="1:47">
      <c r="A979" s="4"/>
      <c r="B979" s="4"/>
      <c r="C979" s="5"/>
      <c r="D979" s="5"/>
      <c r="E979" s="6"/>
      <c r="F979" s="4"/>
      <c r="G979" s="6"/>
      <c r="H979" s="7"/>
      <c r="I979" s="7"/>
      <c r="J979" s="7"/>
      <c r="K979" s="7"/>
      <c r="L979" s="7"/>
      <c r="M979" s="2"/>
      <c r="N979" s="2"/>
      <c r="O979" s="2"/>
      <c r="P979" s="2"/>
      <c r="Q979" s="2"/>
      <c r="R979" s="9"/>
      <c r="S979" s="4"/>
      <c r="T979" s="9"/>
      <c r="U979" s="9"/>
      <c r="V979" s="9"/>
      <c r="W979" s="9"/>
      <c r="X979" s="4"/>
      <c r="Y979" s="6"/>
      <c r="Z979" s="4"/>
      <c r="AA979" s="23"/>
      <c r="AB979" s="24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10"/>
      <c r="AU979" s="9"/>
    </row>
    <row r="980" spans="1:47">
      <c r="A980" s="4"/>
      <c r="B980" s="4"/>
      <c r="C980" s="5"/>
      <c r="D980" s="5"/>
      <c r="E980" s="6"/>
      <c r="F980" s="4"/>
      <c r="G980" s="6"/>
      <c r="H980" s="7"/>
      <c r="I980" s="2"/>
      <c r="J980" s="2"/>
      <c r="K980" s="2"/>
      <c r="L980" s="2"/>
      <c r="M980" s="2"/>
      <c r="N980" s="2"/>
      <c r="O980" s="2"/>
      <c r="P980" s="2"/>
      <c r="Q980" s="2"/>
      <c r="R980" s="9"/>
      <c r="S980" s="4"/>
      <c r="T980" s="9"/>
      <c r="U980" s="9"/>
      <c r="V980" s="9"/>
      <c r="W980" s="9"/>
      <c r="X980" s="4"/>
      <c r="Y980" s="6"/>
      <c r="Z980" s="4"/>
      <c r="AA980" s="23"/>
      <c r="AB980" s="24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10"/>
      <c r="AU980" s="9"/>
    </row>
    <row r="981" spans="1:47">
      <c r="A981" s="4"/>
      <c r="B981" s="4"/>
      <c r="C981" s="5"/>
      <c r="D981" s="5"/>
      <c r="E981" s="6"/>
      <c r="F981" s="4"/>
      <c r="G981" s="6"/>
      <c r="H981" s="7"/>
      <c r="I981" s="7"/>
      <c r="J981" s="7"/>
      <c r="K981" s="7"/>
      <c r="L981" s="7"/>
      <c r="M981" s="2"/>
      <c r="N981" s="2"/>
      <c r="O981" s="2"/>
      <c r="P981" s="2"/>
      <c r="Q981" s="2"/>
      <c r="R981" s="9"/>
      <c r="S981" s="4"/>
      <c r="T981" s="9"/>
      <c r="U981" s="9"/>
      <c r="V981" s="9"/>
      <c r="W981" s="9"/>
      <c r="X981" s="4"/>
      <c r="Y981" s="6"/>
      <c r="Z981" s="4"/>
      <c r="AA981" s="23"/>
      <c r="AB981" s="24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10"/>
      <c r="AU981" s="9"/>
    </row>
    <row r="982" spans="1:47">
      <c r="A982" s="4"/>
      <c r="B982" s="4"/>
      <c r="C982" s="5"/>
      <c r="D982" s="5"/>
      <c r="E982" s="6"/>
      <c r="F982" s="4"/>
      <c r="G982" s="6"/>
      <c r="H982" s="7"/>
      <c r="I982" s="2"/>
      <c r="J982" s="2"/>
      <c r="K982" s="2"/>
      <c r="L982" s="2"/>
      <c r="M982" s="2"/>
      <c r="N982" s="2"/>
      <c r="O982" s="2"/>
      <c r="P982" s="2"/>
      <c r="Q982" s="2"/>
      <c r="R982" s="9"/>
      <c r="S982" s="4"/>
      <c r="T982" s="9"/>
      <c r="U982" s="9"/>
      <c r="V982" s="9"/>
      <c r="W982" s="9"/>
      <c r="X982" s="4"/>
      <c r="Y982" s="6"/>
      <c r="Z982" s="4"/>
      <c r="AA982" s="23"/>
      <c r="AB982" s="24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10"/>
      <c r="AU982" s="9"/>
    </row>
    <row r="983" spans="1:47">
      <c r="A983" s="4"/>
      <c r="B983" s="4"/>
      <c r="C983" s="5"/>
      <c r="D983" s="5"/>
      <c r="E983" s="6"/>
      <c r="F983" s="4"/>
      <c r="G983" s="6"/>
      <c r="H983" s="7"/>
      <c r="I983" s="2"/>
      <c r="J983" s="2"/>
      <c r="K983" s="2"/>
      <c r="L983" s="2"/>
      <c r="M983" s="2"/>
      <c r="N983" s="2"/>
      <c r="O983" s="2"/>
      <c r="P983" s="2"/>
      <c r="Q983" s="2"/>
      <c r="R983" s="9"/>
      <c r="S983" s="4"/>
      <c r="T983" s="9"/>
      <c r="U983" s="9"/>
      <c r="V983" s="9"/>
      <c r="W983" s="9"/>
      <c r="X983" s="4"/>
      <c r="Y983" s="6"/>
      <c r="Z983" s="4"/>
      <c r="AA983" s="23"/>
      <c r="AB983" s="24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10"/>
      <c r="AU983" s="9"/>
    </row>
    <row r="984" spans="1:47">
      <c r="A984" s="4"/>
      <c r="B984" s="4"/>
      <c r="C984" s="5"/>
      <c r="D984" s="5"/>
      <c r="E984" s="6"/>
      <c r="F984" s="4"/>
      <c r="G984" s="6"/>
      <c r="H984" s="7"/>
      <c r="I984" s="2"/>
      <c r="J984" s="2"/>
      <c r="K984" s="2"/>
      <c r="L984" s="2"/>
      <c r="M984" s="2"/>
      <c r="N984" s="2"/>
      <c r="O984" s="2"/>
      <c r="P984" s="2"/>
      <c r="Q984" s="2"/>
      <c r="R984" s="9"/>
      <c r="S984" s="4"/>
      <c r="T984" s="9"/>
      <c r="U984" s="9"/>
      <c r="V984" s="9"/>
      <c r="W984" s="9"/>
      <c r="X984" s="4"/>
      <c r="Y984" s="6"/>
      <c r="Z984" s="4"/>
      <c r="AA984" s="23"/>
      <c r="AB984" s="24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10"/>
      <c r="AU984" s="9"/>
    </row>
    <row r="985" spans="1:47">
      <c r="A985" s="4"/>
      <c r="B985" s="4"/>
      <c r="C985" s="5"/>
      <c r="D985" s="5"/>
      <c r="E985" s="6"/>
      <c r="F985" s="4"/>
      <c r="G985" s="6"/>
      <c r="H985" s="7"/>
      <c r="I985" s="2"/>
      <c r="J985" s="2"/>
      <c r="K985" s="2"/>
      <c r="L985" s="2"/>
      <c r="M985" s="2"/>
      <c r="N985" s="2"/>
      <c r="O985" s="2"/>
      <c r="P985" s="2"/>
      <c r="Q985" s="2"/>
      <c r="R985" s="9"/>
      <c r="S985" s="4"/>
      <c r="T985" s="9"/>
      <c r="U985" s="9"/>
      <c r="V985" s="9"/>
      <c r="W985" s="9"/>
      <c r="X985" s="4"/>
      <c r="Y985" s="6"/>
      <c r="Z985" s="4"/>
      <c r="AA985" s="23"/>
      <c r="AB985" s="24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10"/>
      <c r="AU985" s="9"/>
    </row>
    <row r="986" spans="1:47">
      <c r="A986" s="4"/>
      <c r="B986" s="4"/>
      <c r="C986" s="5"/>
      <c r="D986" s="5"/>
      <c r="E986" s="6"/>
      <c r="F986" s="4"/>
      <c r="G986" s="6"/>
      <c r="H986" s="7"/>
      <c r="I986" s="2"/>
      <c r="J986" s="2"/>
      <c r="K986" s="2"/>
      <c r="L986" s="2"/>
      <c r="M986" s="2"/>
      <c r="N986" s="2"/>
      <c r="O986" s="2"/>
      <c r="P986" s="2"/>
      <c r="Q986" s="2"/>
      <c r="R986" s="9"/>
      <c r="S986" s="4"/>
      <c r="T986" s="9"/>
      <c r="U986" s="9"/>
      <c r="V986" s="9"/>
      <c r="W986" s="9"/>
      <c r="X986" s="4"/>
      <c r="Y986" s="6"/>
      <c r="Z986" s="4"/>
      <c r="AA986" s="23"/>
      <c r="AB986" s="24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10"/>
      <c r="AU986" s="9"/>
    </row>
    <row r="987" spans="1:47">
      <c r="A987" s="4"/>
      <c r="B987" s="4"/>
      <c r="C987" s="5"/>
      <c r="D987" s="5"/>
      <c r="E987" s="6"/>
      <c r="F987" s="4"/>
      <c r="G987" s="6"/>
      <c r="H987" s="7"/>
      <c r="I987" s="7"/>
      <c r="J987" s="7"/>
      <c r="K987" s="2"/>
      <c r="L987" s="2"/>
      <c r="M987" s="2"/>
      <c r="N987" s="2"/>
      <c r="O987" s="2"/>
      <c r="P987" s="2"/>
      <c r="Q987" s="2"/>
      <c r="R987" s="9"/>
      <c r="S987" s="4"/>
      <c r="T987" s="9"/>
      <c r="U987" s="9"/>
      <c r="V987" s="9"/>
      <c r="W987" s="9"/>
      <c r="X987" s="4"/>
      <c r="Y987" s="6"/>
      <c r="Z987" s="9"/>
      <c r="AA987" s="4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10"/>
      <c r="AU987" s="9"/>
    </row>
    <row r="988" spans="1:47">
      <c r="A988" s="4"/>
      <c r="B988" s="4"/>
      <c r="C988" s="5"/>
      <c r="D988" s="5"/>
      <c r="E988" s="6"/>
      <c r="F988" s="4"/>
      <c r="G988" s="6"/>
      <c r="H988" s="7"/>
      <c r="I988" s="7"/>
      <c r="J988" s="7"/>
      <c r="K988" s="2"/>
      <c r="L988" s="2"/>
      <c r="M988" s="2"/>
      <c r="N988" s="2"/>
      <c r="O988" s="2"/>
      <c r="P988" s="2"/>
      <c r="Q988" s="2"/>
      <c r="R988" s="9"/>
      <c r="S988" s="4"/>
      <c r="T988" s="9"/>
      <c r="U988" s="9"/>
      <c r="V988" s="9"/>
      <c r="W988" s="9"/>
      <c r="X988" s="4"/>
      <c r="Y988" s="6"/>
      <c r="Z988" s="9"/>
      <c r="AA988" s="4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10"/>
      <c r="AU988" s="9"/>
    </row>
    <row r="989" spans="1:47">
      <c r="A989" s="4"/>
      <c r="B989" s="4"/>
      <c r="C989" s="5"/>
      <c r="D989" s="5"/>
      <c r="E989" s="6"/>
      <c r="F989" s="4"/>
      <c r="G989" s="6"/>
      <c r="H989" s="7"/>
      <c r="I989" s="7"/>
      <c r="J989" s="7"/>
      <c r="K989" s="7"/>
      <c r="L989" s="7"/>
      <c r="M989" s="2"/>
      <c r="N989" s="2"/>
      <c r="O989" s="2"/>
      <c r="P989" s="2"/>
      <c r="Q989" s="2"/>
      <c r="R989" s="9"/>
      <c r="S989" s="4"/>
      <c r="T989" s="9"/>
      <c r="U989" s="9"/>
      <c r="V989" s="9"/>
      <c r="W989" s="9"/>
      <c r="X989" s="4"/>
      <c r="Y989" s="6"/>
      <c r="Z989" s="4"/>
      <c r="AA989" s="23"/>
      <c r="AB989" s="24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10"/>
      <c r="AU989" s="9"/>
    </row>
    <row r="990" spans="1:47">
      <c r="A990" s="4"/>
      <c r="B990" s="4"/>
      <c r="C990" s="5"/>
      <c r="D990" s="5"/>
      <c r="E990" s="6"/>
      <c r="F990" s="4"/>
      <c r="G990" s="6"/>
      <c r="H990" s="7"/>
      <c r="I990" s="2"/>
      <c r="J990" s="2"/>
      <c r="K990" s="2"/>
      <c r="L990" s="2"/>
      <c r="M990" s="2"/>
      <c r="N990" s="2"/>
      <c r="O990" s="2"/>
      <c r="P990" s="2"/>
      <c r="Q990" s="2"/>
      <c r="R990" s="9"/>
      <c r="S990" s="4"/>
      <c r="T990" s="9"/>
      <c r="U990" s="9"/>
      <c r="V990" s="9"/>
      <c r="W990" s="9"/>
      <c r="X990" s="4"/>
      <c r="Y990" s="6"/>
      <c r="Z990" s="4"/>
      <c r="AA990" s="23"/>
      <c r="AB990" s="24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10"/>
      <c r="AU990" s="9"/>
    </row>
    <row r="991" spans="1:47">
      <c r="A991" s="4"/>
      <c r="B991" s="4"/>
      <c r="C991" s="5"/>
      <c r="D991" s="5"/>
      <c r="E991" s="6"/>
      <c r="F991" s="4"/>
      <c r="G991" s="6"/>
      <c r="H991" s="7"/>
      <c r="I991" s="2"/>
      <c r="J991" s="2"/>
      <c r="K991" s="2"/>
      <c r="L991" s="2"/>
      <c r="M991" s="2"/>
      <c r="N991" s="2"/>
      <c r="O991" s="2"/>
      <c r="P991" s="2"/>
      <c r="Q991" s="2"/>
      <c r="R991" s="9"/>
      <c r="S991" s="4"/>
      <c r="T991" s="9"/>
      <c r="U991" s="9"/>
      <c r="V991" s="9"/>
      <c r="W991" s="9"/>
      <c r="X991" s="4"/>
      <c r="Y991" s="6"/>
      <c r="Z991" s="4"/>
      <c r="AA991" s="23"/>
      <c r="AB991" s="24"/>
      <c r="AC991" s="25"/>
      <c r="AD991" s="24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10"/>
      <c r="AU991" s="9"/>
    </row>
    <row r="992" spans="1:47">
      <c r="A992" s="4"/>
      <c r="B992" s="4"/>
      <c r="C992" s="5"/>
      <c r="D992" s="5"/>
      <c r="E992" s="6"/>
      <c r="F992" s="4"/>
      <c r="G992" s="6"/>
      <c r="H992" s="7"/>
      <c r="I992" s="7"/>
      <c r="J992" s="7"/>
      <c r="K992" s="7"/>
      <c r="L992" s="7"/>
      <c r="M992" s="2"/>
      <c r="N992" s="2"/>
      <c r="O992" s="2"/>
      <c r="P992" s="2"/>
      <c r="Q992" s="2"/>
      <c r="R992" s="9"/>
      <c r="S992" s="4"/>
      <c r="T992" s="9"/>
      <c r="U992" s="9"/>
      <c r="V992" s="9"/>
      <c r="W992" s="9"/>
      <c r="X992" s="4"/>
      <c r="Y992" s="6"/>
      <c r="Z992" s="9"/>
      <c r="AA992" s="4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10"/>
      <c r="AU992" s="9"/>
    </row>
    <row r="993" spans="1:47">
      <c r="A993" s="4"/>
      <c r="B993" s="4"/>
      <c r="C993" s="5"/>
      <c r="D993" s="5"/>
      <c r="E993" s="6"/>
      <c r="F993" s="4"/>
      <c r="G993" s="6"/>
      <c r="H993" s="7"/>
      <c r="I993" s="7"/>
      <c r="J993" s="7"/>
      <c r="K993" s="7"/>
      <c r="L993" s="7"/>
      <c r="M993" s="2"/>
      <c r="N993" s="2"/>
      <c r="O993" s="2"/>
      <c r="P993" s="2"/>
      <c r="Q993" s="2"/>
      <c r="R993" s="9"/>
      <c r="S993" s="4"/>
      <c r="T993" s="9"/>
      <c r="U993" s="9"/>
      <c r="V993" s="9"/>
      <c r="W993" s="9"/>
      <c r="X993" s="4"/>
      <c r="Y993" s="6"/>
      <c r="Z993" s="9"/>
      <c r="AA993" s="4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10"/>
      <c r="AU993" s="9"/>
    </row>
    <row r="994" spans="1:47">
      <c r="A994" s="4"/>
      <c r="B994" s="4"/>
      <c r="C994" s="5"/>
      <c r="D994" s="5"/>
      <c r="E994" s="6"/>
      <c r="F994" s="4"/>
      <c r="G994" s="6"/>
      <c r="H994" s="7"/>
      <c r="I994" s="7"/>
      <c r="J994" s="7"/>
      <c r="K994" s="7"/>
      <c r="L994" s="7"/>
      <c r="M994" s="2"/>
      <c r="N994" s="2"/>
      <c r="O994" s="2"/>
      <c r="P994" s="2"/>
      <c r="Q994" s="2"/>
      <c r="R994" s="9"/>
      <c r="S994" s="4"/>
      <c r="T994" s="9"/>
      <c r="U994" s="9"/>
      <c r="V994" s="9"/>
      <c r="W994" s="9"/>
      <c r="X994" s="4"/>
      <c r="Y994" s="6"/>
      <c r="Z994" s="9"/>
      <c r="AA994" s="4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10"/>
      <c r="AU994" s="9"/>
    </row>
    <row r="995" spans="1:47">
      <c r="A995" s="4"/>
      <c r="B995" s="4"/>
      <c r="C995" s="5"/>
      <c r="D995" s="5"/>
      <c r="E995" s="6"/>
      <c r="F995" s="4"/>
      <c r="G995" s="6"/>
      <c r="H995" s="7"/>
      <c r="I995" s="2"/>
      <c r="J995" s="2"/>
      <c r="K995" s="2"/>
      <c r="L995" s="2"/>
      <c r="M995" s="2"/>
      <c r="N995" s="2"/>
      <c r="O995" s="2"/>
      <c r="P995" s="2"/>
      <c r="Q995" s="2"/>
      <c r="R995" s="9"/>
      <c r="S995" s="4"/>
      <c r="T995" s="9"/>
      <c r="U995" s="9"/>
      <c r="V995" s="9"/>
      <c r="W995" s="9"/>
      <c r="X995" s="4"/>
      <c r="Y995" s="6"/>
      <c r="Z995" s="4"/>
      <c r="AA995" s="23"/>
      <c r="AB995" s="24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10"/>
      <c r="AU995" s="9"/>
    </row>
    <row r="996" spans="1:47">
      <c r="A996" s="4"/>
      <c r="B996" s="4"/>
      <c r="C996" s="5"/>
      <c r="D996" s="5"/>
      <c r="E996" s="6"/>
      <c r="F996" s="4"/>
      <c r="G996" s="6"/>
      <c r="H996" s="7"/>
      <c r="I996" s="7"/>
      <c r="J996" s="7"/>
      <c r="K996" s="7"/>
      <c r="L996" s="7"/>
      <c r="M996" s="2"/>
      <c r="N996" s="2"/>
      <c r="O996" s="2"/>
      <c r="P996" s="2"/>
      <c r="Q996" s="2"/>
      <c r="R996" s="9"/>
      <c r="S996" s="4"/>
      <c r="T996" s="9"/>
      <c r="U996" s="9"/>
      <c r="V996" s="9"/>
      <c r="W996" s="9"/>
      <c r="X996" s="4"/>
      <c r="Y996" s="6"/>
      <c r="Z996" s="9"/>
      <c r="AA996" s="4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10"/>
      <c r="AU996" s="9"/>
    </row>
    <row r="997" spans="1:47">
      <c r="A997" s="4"/>
      <c r="B997" s="4"/>
      <c r="C997" s="5"/>
      <c r="D997" s="5"/>
      <c r="E997" s="6"/>
      <c r="F997" s="4"/>
      <c r="G997" s="6"/>
      <c r="H997" s="7"/>
      <c r="I997" s="7"/>
      <c r="J997" s="7"/>
      <c r="K997" s="7"/>
      <c r="L997" s="7"/>
      <c r="M997" s="2"/>
      <c r="N997" s="2"/>
      <c r="O997" s="2"/>
      <c r="P997" s="2"/>
      <c r="Q997" s="2"/>
      <c r="R997" s="9"/>
      <c r="S997" s="4"/>
      <c r="T997" s="9"/>
      <c r="U997" s="9"/>
      <c r="V997" s="9"/>
      <c r="W997" s="9"/>
      <c r="X997" s="4"/>
      <c r="Y997" s="6"/>
      <c r="Z997" s="9"/>
      <c r="AA997" s="4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10"/>
      <c r="AU997" s="9"/>
    </row>
    <row r="998" spans="1:47">
      <c r="A998" s="4"/>
      <c r="B998" s="4"/>
      <c r="C998" s="5"/>
      <c r="D998" s="5"/>
      <c r="E998" s="6"/>
      <c r="F998" s="4"/>
      <c r="G998" s="6"/>
      <c r="H998" s="7"/>
      <c r="I998" s="7"/>
      <c r="J998" s="7"/>
      <c r="K998" s="7"/>
      <c r="L998" s="7"/>
      <c r="M998" s="2"/>
      <c r="N998" s="2"/>
      <c r="O998" s="2"/>
      <c r="P998" s="2"/>
      <c r="Q998" s="2"/>
      <c r="R998" s="9"/>
      <c r="S998" s="4"/>
      <c r="T998" s="9"/>
      <c r="U998" s="9"/>
      <c r="V998" s="9"/>
      <c r="W998" s="9"/>
      <c r="X998" s="4"/>
      <c r="Y998" s="6"/>
      <c r="Z998" s="9"/>
      <c r="AA998" s="4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10"/>
      <c r="AU998" s="9"/>
    </row>
    <row r="999" spans="1:47">
      <c r="A999" s="4"/>
      <c r="B999" s="4"/>
      <c r="C999" s="5"/>
      <c r="D999" s="5"/>
      <c r="E999" s="6"/>
      <c r="F999" s="4"/>
      <c r="G999" s="6"/>
      <c r="H999" s="7"/>
      <c r="I999" s="7"/>
      <c r="J999" s="7"/>
      <c r="K999" s="7"/>
      <c r="L999" s="7"/>
      <c r="M999" s="2"/>
      <c r="N999" s="2"/>
      <c r="O999" s="2"/>
      <c r="P999" s="2"/>
      <c r="Q999" s="2"/>
      <c r="R999" s="9"/>
      <c r="S999" s="4"/>
      <c r="T999" s="9"/>
      <c r="U999" s="9"/>
      <c r="V999" s="9"/>
      <c r="W999" s="9"/>
      <c r="X999" s="4"/>
      <c r="Y999" s="6"/>
      <c r="Z999" s="9"/>
      <c r="AA999" s="4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10"/>
      <c r="AU999" s="9"/>
    </row>
    <row r="1000" spans="1:47">
      <c r="A1000" s="4"/>
      <c r="B1000" s="4"/>
      <c r="C1000" s="5"/>
      <c r="D1000" s="5"/>
      <c r="E1000" s="6"/>
      <c r="F1000" s="4"/>
      <c r="G1000" s="6"/>
      <c r="H1000" s="7"/>
      <c r="I1000" s="7"/>
      <c r="J1000" s="7"/>
      <c r="K1000" s="7"/>
      <c r="L1000" s="7"/>
      <c r="M1000" s="2"/>
      <c r="N1000" s="2"/>
      <c r="O1000" s="2"/>
      <c r="P1000" s="2"/>
      <c r="Q1000" s="2"/>
      <c r="R1000" s="9"/>
      <c r="S1000" s="4"/>
      <c r="T1000" s="9"/>
      <c r="U1000" s="9"/>
      <c r="V1000" s="9"/>
      <c r="W1000" s="9"/>
      <c r="X1000" s="4"/>
      <c r="Y1000" s="6"/>
      <c r="Z1000" s="9"/>
      <c r="AA1000" s="4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10"/>
      <c r="AU1000" s="9"/>
    </row>
    <row r="1001" spans="1:47">
      <c r="A1001" s="4"/>
      <c r="B1001" s="4"/>
      <c r="C1001" s="5"/>
      <c r="D1001" s="5"/>
      <c r="E1001" s="6"/>
      <c r="F1001" s="4"/>
      <c r="G1001" s="6"/>
      <c r="H1001" s="7"/>
      <c r="I1001" s="7"/>
      <c r="J1001" s="7"/>
      <c r="K1001" s="7"/>
      <c r="L1001" s="7"/>
      <c r="M1001" s="2"/>
      <c r="N1001" s="2"/>
      <c r="O1001" s="2"/>
      <c r="P1001" s="2"/>
      <c r="Q1001" s="2"/>
      <c r="R1001" s="9"/>
      <c r="S1001" s="4"/>
      <c r="T1001" s="9"/>
      <c r="U1001" s="9"/>
      <c r="V1001" s="9"/>
      <c r="W1001" s="9"/>
      <c r="X1001" s="4"/>
      <c r="Y1001" s="6"/>
      <c r="Z1001" s="9"/>
      <c r="AA1001" s="4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10"/>
      <c r="AU1001" s="9"/>
    </row>
    <row r="1002" spans="1:47">
      <c r="A1002" s="4"/>
      <c r="B1002" s="4"/>
      <c r="C1002" s="5"/>
      <c r="D1002" s="5"/>
      <c r="E1002" s="6"/>
      <c r="F1002" s="4"/>
      <c r="G1002" s="6"/>
      <c r="H1002" s="7"/>
      <c r="I1002" s="7"/>
      <c r="J1002" s="7"/>
      <c r="K1002" s="7"/>
      <c r="L1002" s="7"/>
      <c r="M1002" s="2"/>
      <c r="N1002" s="2"/>
      <c r="O1002" s="2"/>
      <c r="P1002" s="2"/>
      <c r="Q1002" s="2"/>
      <c r="R1002" s="9"/>
      <c r="S1002" s="4"/>
      <c r="T1002" s="9"/>
      <c r="U1002" s="9"/>
      <c r="V1002" s="9"/>
      <c r="W1002" s="9"/>
      <c r="X1002" s="4"/>
      <c r="Y1002" s="6"/>
      <c r="Z1002" s="9"/>
      <c r="AA1002" s="4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10"/>
      <c r="AU1002" s="9"/>
    </row>
    <row r="1003" spans="1:47">
      <c r="A1003" s="4"/>
      <c r="B1003" s="4"/>
      <c r="C1003" s="5"/>
      <c r="D1003" s="5"/>
      <c r="E1003" s="6"/>
      <c r="F1003" s="4"/>
      <c r="G1003" s="6"/>
      <c r="H1003" s="7"/>
      <c r="I1003" s="2"/>
      <c r="J1003" s="2"/>
      <c r="K1003" s="2"/>
      <c r="L1003" s="2"/>
      <c r="M1003" s="2"/>
      <c r="N1003" s="2"/>
      <c r="O1003" s="2"/>
      <c r="P1003" s="2"/>
      <c r="Q1003" s="2"/>
      <c r="R1003" s="9"/>
      <c r="S1003" s="4"/>
      <c r="T1003" s="9"/>
      <c r="U1003" s="9"/>
      <c r="V1003" s="9"/>
      <c r="W1003" s="9"/>
      <c r="X1003" s="4"/>
      <c r="Y1003" s="6"/>
      <c r="Z1003" s="4"/>
      <c r="AA1003" s="23"/>
      <c r="AB1003" s="24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10"/>
      <c r="AU1003" s="9"/>
    </row>
    <row r="1004" spans="1:47">
      <c r="A1004" s="4"/>
      <c r="B1004" s="4"/>
      <c r="C1004" s="5"/>
      <c r="D1004" s="5"/>
      <c r="E1004" s="6"/>
      <c r="F1004" s="4"/>
      <c r="G1004" s="6"/>
      <c r="H1004" s="7"/>
      <c r="I1004" s="2"/>
      <c r="J1004" s="2"/>
      <c r="K1004" s="2"/>
      <c r="L1004" s="2"/>
      <c r="M1004" s="2"/>
      <c r="N1004" s="2"/>
      <c r="O1004" s="2"/>
      <c r="P1004" s="2"/>
      <c r="Q1004" s="2"/>
      <c r="R1004" s="9"/>
      <c r="S1004" s="4"/>
      <c r="T1004" s="9"/>
      <c r="U1004" s="9"/>
      <c r="V1004" s="9"/>
      <c r="W1004" s="9"/>
      <c r="X1004" s="4"/>
      <c r="Y1004" s="6"/>
      <c r="Z1004" s="4"/>
      <c r="AA1004" s="23"/>
      <c r="AB1004" s="24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10"/>
      <c r="AU1004" s="9"/>
    </row>
    <row r="1005" spans="1:47">
      <c r="A1005" s="4"/>
      <c r="B1005" s="4"/>
      <c r="C1005" s="5"/>
      <c r="D1005" s="5"/>
      <c r="E1005" s="6"/>
      <c r="F1005" s="4"/>
      <c r="G1005" s="6"/>
      <c r="H1005" s="7"/>
      <c r="I1005" s="2"/>
      <c r="J1005" s="2"/>
      <c r="K1005" s="2"/>
      <c r="L1005" s="2"/>
      <c r="M1005" s="2"/>
      <c r="N1005" s="2"/>
      <c r="O1005" s="2"/>
      <c r="P1005" s="2"/>
      <c r="Q1005" s="2"/>
      <c r="R1005" s="9"/>
      <c r="S1005" s="4"/>
      <c r="T1005" s="9"/>
      <c r="U1005" s="9"/>
      <c r="V1005" s="9"/>
      <c r="W1005" s="9"/>
      <c r="X1005" s="4"/>
      <c r="Y1005" s="6"/>
      <c r="Z1005" s="4"/>
      <c r="AA1005" s="23"/>
      <c r="AB1005" s="24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10"/>
      <c r="AU1005" s="9"/>
    </row>
    <row r="1006" spans="1:47">
      <c r="A1006" s="4"/>
      <c r="B1006" s="4"/>
      <c r="C1006" s="5"/>
      <c r="D1006" s="5"/>
      <c r="E1006" s="6"/>
      <c r="F1006" s="4"/>
      <c r="G1006" s="6"/>
      <c r="H1006" s="7"/>
      <c r="I1006" s="2"/>
      <c r="J1006" s="2"/>
      <c r="K1006" s="2"/>
      <c r="L1006" s="2"/>
      <c r="M1006" s="2"/>
      <c r="N1006" s="2"/>
      <c r="O1006" s="2"/>
      <c r="P1006" s="2"/>
      <c r="Q1006" s="2"/>
      <c r="R1006" s="9"/>
      <c r="S1006" s="4"/>
      <c r="T1006" s="9"/>
      <c r="U1006" s="9"/>
      <c r="V1006" s="9"/>
      <c r="W1006" s="9"/>
      <c r="X1006" s="4"/>
      <c r="Y1006" s="6"/>
      <c r="Z1006" s="4"/>
      <c r="AA1006" s="23"/>
      <c r="AB1006" s="24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10"/>
      <c r="AU1006" s="9"/>
    </row>
    <row r="1007" spans="1:47">
      <c r="A1007" s="4"/>
      <c r="B1007" s="4"/>
      <c r="C1007" s="5"/>
      <c r="D1007" s="5"/>
      <c r="E1007" s="6"/>
      <c r="F1007" s="4"/>
      <c r="G1007" s="6"/>
      <c r="H1007" s="7"/>
      <c r="I1007" s="2"/>
      <c r="J1007" s="2"/>
      <c r="K1007" s="2"/>
      <c r="L1007" s="2"/>
      <c r="M1007" s="2"/>
      <c r="N1007" s="2"/>
      <c r="O1007" s="2"/>
      <c r="P1007" s="2"/>
      <c r="Q1007" s="2"/>
      <c r="R1007" s="9"/>
      <c r="S1007" s="4"/>
      <c r="T1007" s="9"/>
      <c r="U1007" s="9"/>
      <c r="V1007" s="9"/>
      <c r="W1007" s="9"/>
      <c r="X1007" s="4"/>
      <c r="Y1007" s="6"/>
      <c r="Z1007" s="4"/>
      <c r="AA1007" s="23"/>
      <c r="AB1007" s="24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10"/>
      <c r="AU1007" s="9"/>
    </row>
    <row r="1008" spans="1:47">
      <c r="A1008" s="4"/>
      <c r="B1008" s="4"/>
      <c r="C1008" s="5"/>
      <c r="D1008" s="5"/>
      <c r="E1008" s="6"/>
      <c r="F1008" s="4"/>
      <c r="G1008" s="6"/>
      <c r="H1008" s="7"/>
      <c r="I1008" s="2"/>
      <c r="J1008" s="2"/>
      <c r="K1008" s="2"/>
      <c r="L1008" s="2"/>
      <c r="M1008" s="2"/>
      <c r="N1008" s="2"/>
      <c r="O1008" s="2"/>
      <c r="P1008" s="2"/>
      <c r="Q1008" s="2"/>
      <c r="R1008" s="9"/>
      <c r="S1008" s="4"/>
      <c r="T1008" s="9"/>
      <c r="U1008" s="9"/>
      <c r="V1008" s="9"/>
      <c r="W1008" s="9"/>
      <c r="X1008" s="4"/>
      <c r="Y1008" s="6"/>
      <c r="Z1008" s="4"/>
      <c r="AA1008" s="23"/>
      <c r="AB1008" s="24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10"/>
      <c r="AU1008" s="9"/>
    </row>
    <row r="1009" spans="1:47">
      <c r="A1009" s="4"/>
      <c r="B1009" s="4"/>
      <c r="C1009" s="5"/>
      <c r="D1009" s="5"/>
      <c r="E1009" s="6"/>
      <c r="F1009" s="4"/>
      <c r="G1009" s="6"/>
      <c r="H1009" s="7"/>
      <c r="I1009" s="2"/>
      <c r="J1009" s="2"/>
      <c r="K1009" s="2"/>
      <c r="L1009" s="2"/>
      <c r="M1009" s="2"/>
      <c r="N1009" s="2"/>
      <c r="O1009" s="2"/>
      <c r="P1009" s="2"/>
      <c r="Q1009" s="2"/>
      <c r="R1009" s="9"/>
      <c r="S1009" s="4"/>
      <c r="T1009" s="9"/>
      <c r="U1009" s="9"/>
      <c r="V1009" s="9"/>
      <c r="W1009" s="9"/>
      <c r="X1009" s="4"/>
      <c r="Y1009" s="6"/>
      <c r="Z1009" s="4"/>
      <c r="AA1009" s="23"/>
      <c r="AB1009" s="24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10"/>
      <c r="AU1009" s="9"/>
    </row>
    <row r="1010" spans="1:47">
      <c r="A1010" s="4"/>
      <c r="B1010" s="4"/>
      <c r="C1010" s="5"/>
      <c r="D1010" s="5"/>
      <c r="E1010" s="6"/>
      <c r="F1010" s="4"/>
      <c r="G1010" s="6"/>
      <c r="H1010" s="7"/>
      <c r="I1010" s="7"/>
      <c r="J1010" s="7"/>
      <c r="K1010" s="7"/>
      <c r="L1010" s="7"/>
      <c r="M1010" s="2"/>
      <c r="N1010" s="2"/>
      <c r="O1010" s="2"/>
      <c r="P1010" s="2"/>
      <c r="Q1010" s="2"/>
      <c r="R1010" s="9"/>
      <c r="S1010" s="4"/>
      <c r="T1010" s="9"/>
      <c r="U1010" s="9"/>
      <c r="V1010" s="9"/>
      <c r="W1010" s="9"/>
      <c r="X1010" s="4"/>
      <c r="Y1010" s="6"/>
      <c r="Z1010" s="4"/>
      <c r="AA1010" s="23"/>
      <c r="AB1010" s="24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10"/>
      <c r="AU1010" s="9"/>
    </row>
    <row r="1011" spans="1:47">
      <c r="A1011" s="4"/>
      <c r="B1011" s="4"/>
      <c r="C1011" s="5"/>
      <c r="D1011" s="5"/>
      <c r="E1011" s="6"/>
      <c r="F1011" s="4"/>
      <c r="G1011" s="6"/>
      <c r="H1011" s="7"/>
      <c r="I1011" s="2"/>
      <c r="J1011" s="2"/>
      <c r="K1011" s="2"/>
      <c r="L1011" s="2"/>
      <c r="M1011" s="2"/>
      <c r="N1011" s="2"/>
      <c r="O1011" s="2"/>
      <c r="P1011" s="2"/>
      <c r="Q1011" s="2"/>
      <c r="R1011" s="9"/>
      <c r="S1011" s="4"/>
      <c r="T1011" s="9"/>
      <c r="U1011" s="9"/>
      <c r="V1011" s="9"/>
      <c r="W1011" s="9"/>
      <c r="X1011" s="4"/>
      <c r="Y1011" s="6"/>
      <c r="Z1011" s="4"/>
      <c r="AA1011" s="23"/>
      <c r="AB1011" s="24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10"/>
      <c r="AU1011" s="9"/>
    </row>
    <row r="1012" spans="1:47">
      <c r="A1012" s="4"/>
      <c r="B1012" s="4"/>
      <c r="C1012" s="5"/>
      <c r="D1012" s="5"/>
      <c r="E1012" s="6"/>
      <c r="F1012" s="4"/>
      <c r="G1012" s="6"/>
      <c r="H1012" s="7"/>
      <c r="I1012" s="2"/>
      <c r="J1012" s="2"/>
      <c r="K1012" s="2"/>
      <c r="L1012" s="2"/>
      <c r="M1012" s="2"/>
      <c r="N1012" s="2"/>
      <c r="O1012" s="2"/>
      <c r="P1012" s="2"/>
      <c r="Q1012" s="2"/>
      <c r="R1012" s="9"/>
      <c r="S1012" s="4"/>
      <c r="T1012" s="9"/>
      <c r="U1012" s="9"/>
      <c r="V1012" s="9"/>
      <c r="W1012" s="9"/>
      <c r="X1012" s="4"/>
      <c r="Y1012" s="6"/>
      <c r="Z1012" s="4"/>
      <c r="AA1012" s="23"/>
      <c r="AB1012" s="24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10"/>
      <c r="AU1012" s="9"/>
    </row>
    <row r="1013" spans="1:47">
      <c r="A1013" s="4"/>
      <c r="B1013" s="4"/>
      <c r="C1013" s="5"/>
      <c r="D1013" s="5"/>
      <c r="E1013" s="6"/>
      <c r="F1013" s="4"/>
      <c r="G1013" s="6"/>
      <c r="H1013" s="7"/>
      <c r="I1013" s="2"/>
      <c r="J1013" s="2"/>
      <c r="K1013" s="2"/>
      <c r="L1013" s="2"/>
      <c r="M1013" s="2"/>
      <c r="N1013" s="2"/>
      <c r="O1013" s="2"/>
      <c r="P1013" s="2"/>
      <c r="Q1013" s="2"/>
      <c r="R1013" s="9"/>
      <c r="S1013" s="4"/>
      <c r="T1013" s="9"/>
      <c r="U1013" s="9"/>
      <c r="V1013" s="9"/>
      <c r="W1013" s="9"/>
      <c r="X1013" s="4"/>
      <c r="Y1013" s="6"/>
      <c r="Z1013" s="4"/>
      <c r="AA1013" s="23"/>
      <c r="AB1013" s="24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10"/>
      <c r="AU1013" s="9"/>
    </row>
    <row r="1014" spans="1:47">
      <c r="A1014" s="4"/>
      <c r="B1014" s="4"/>
      <c r="C1014" s="5"/>
      <c r="D1014" s="5"/>
      <c r="E1014" s="6"/>
      <c r="F1014" s="4"/>
      <c r="G1014" s="6"/>
      <c r="H1014" s="7"/>
      <c r="I1014" s="7"/>
      <c r="J1014" s="7"/>
      <c r="K1014" s="7"/>
      <c r="L1014" s="7"/>
      <c r="M1014" s="2"/>
      <c r="N1014" s="2"/>
      <c r="O1014" s="2"/>
      <c r="P1014" s="2"/>
      <c r="Q1014" s="2"/>
      <c r="R1014" s="9"/>
      <c r="S1014" s="4"/>
      <c r="T1014" s="9"/>
      <c r="U1014" s="9"/>
      <c r="V1014" s="9"/>
      <c r="W1014" s="9"/>
      <c r="X1014" s="4"/>
      <c r="Y1014" s="6"/>
      <c r="Z1014" s="4"/>
      <c r="AA1014" s="23"/>
      <c r="AB1014" s="24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10"/>
      <c r="AU1014" s="9"/>
    </row>
    <row r="1015" spans="1:47">
      <c r="A1015" s="4"/>
      <c r="B1015" s="4"/>
      <c r="C1015" s="5"/>
      <c r="D1015" s="5"/>
      <c r="E1015" s="6"/>
      <c r="F1015" s="4"/>
      <c r="G1015" s="6"/>
      <c r="H1015" s="7"/>
      <c r="I1015" s="2"/>
      <c r="J1015" s="2"/>
      <c r="K1015" s="2"/>
      <c r="L1015" s="2"/>
      <c r="M1015" s="2"/>
      <c r="N1015" s="2"/>
      <c r="O1015" s="2"/>
      <c r="P1015" s="2"/>
      <c r="Q1015" s="2"/>
      <c r="R1015" s="9"/>
      <c r="S1015" s="4"/>
      <c r="T1015" s="9"/>
      <c r="U1015" s="9"/>
      <c r="V1015" s="9"/>
      <c r="W1015" s="9"/>
      <c r="X1015" s="4"/>
      <c r="Y1015" s="6"/>
      <c r="Z1015" s="4"/>
      <c r="AA1015" s="23"/>
      <c r="AB1015" s="24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10"/>
      <c r="AU1015" s="9"/>
    </row>
    <row r="1016" spans="1:47">
      <c r="A1016" s="4"/>
      <c r="B1016" s="4"/>
      <c r="C1016" s="5"/>
      <c r="D1016" s="5"/>
      <c r="E1016" s="6"/>
      <c r="F1016" s="4"/>
      <c r="G1016" s="6"/>
      <c r="H1016" s="7"/>
      <c r="I1016" s="7"/>
      <c r="J1016" s="7"/>
      <c r="K1016" s="7"/>
      <c r="L1016" s="7"/>
      <c r="M1016" s="2"/>
      <c r="N1016" s="2"/>
      <c r="O1016" s="2"/>
      <c r="P1016" s="2"/>
      <c r="Q1016" s="2"/>
      <c r="R1016" s="9"/>
      <c r="S1016" s="4"/>
      <c r="T1016" s="9"/>
      <c r="U1016" s="9"/>
      <c r="V1016" s="9"/>
      <c r="W1016" s="9"/>
      <c r="X1016" s="4"/>
      <c r="Y1016" s="6"/>
      <c r="Z1016" s="4"/>
      <c r="AA1016" s="23"/>
      <c r="AB1016" s="24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10"/>
      <c r="AU1016" s="9"/>
    </row>
    <row r="1017" spans="1:47">
      <c r="A1017" s="4"/>
      <c r="B1017" s="4"/>
      <c r="C1017" s="5"/>
      <c r="D1017" s="5"/>
      <c r="E1017" s="6"/>
      <c r="F1017" s="4"/>
      <c r="G1017" s="6"/>
      <c r="H1017" s="7"/>
      <c r="I1017" s="2"/>
      <c r="J1017" s="2"/>
      <c r="K1017" s="2"/>
      <c r="L1017" s="2"/>
      <c r="M1017" s="2"/>
      <c r="N1017" s="2"/>
      <c r="O1017" s="2"/>
      <c r="P1017" s="2"/>
      <c r="Q1017" s="2"/>
      <c r="R1017" s="9"/>
      <c r="S1017" s="4"/>
      <c r="T1017" s="9"/>
      <c r="U1017" s="9"/>
      <c r="V1017" s="9"/>
      <c r="W1017" s="9"/>
      <c r="X1017" s="4"/>
      <c r="Y1017" s="6"/>
      <c r="Z1017" s="4"/>
      <c r="AA1017" s="23"/>
      <c r="AB1017" s="24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10"/>
      <c r="AU1017" s="9"/>
    </row>
    <row r="1018" spans="1:47">
      <c r="A1018" s="4"/>
      <c r="B1018" s="4"/>
      <c r="C1018" s="5"/>
      <c r="D1018" s="5"/>
      <c r="E1018" s="6"/>
      <c r="F1018" s="4"/>
      <c r="G1018" s="6"/>
      <c r="H1018" s="7"/>
      <c r="I1018" s="2"/>
      <c r="J1018" s="2"/>
      <c r="K1018" s="2"/>
      <c r="L1018" s="2"/>
      <c r="M1018" s="2"/>
      <c r="N1018" s="2"/>
      <c r="O1018" s="2"/>
      <c r="P1018" s="2"/>
      <c r="Q1018" s="2"/>
      <c r="R1018" s="9"/>
      <c r="S1018" s="4"/>
      <c r="T1018" s="9"/>
      <c r="U1018" s="9"/>
      <c r="V1018" s="9"/>
      <c r="W1018" s="9"/>
      <c r="X1018" s="4"/>
      <c r="Y1018" s="6"/>
      <c r="Z1018" s="4"/>
      <c r="AA1018" s="23"/>
      <c r="AB1018" s="24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10"/>
      <c r="AU1018" s="9"/>
    </row>
    <row r="1019" spans="1:47">
      <c r="A1019" s="4"/>
      <c r="B1019" s="4"/>
      <c r="C1019" s="5"/>
      <c r="D1019" s="5"/>
      <c r="E1019" s="6"/>
      <c r="F1019" s="4"/>
      <c r="G1019" s="6"/>
      <c r="H1019" s="7"/>
      <c r="I1019" s="2"/>
      <c r="J1019" s="2"/>
      <c r="K1019" s="2"/>
      <c r="L1019" s="2"/>
      <c r="M1019" s="2"/>
      <c r="N1019" s="2"/>
      <c r="O1019" s="2"/>
      <c r="P1019" s="2"/>
      <c r="Q1019" s="2"/>
      <c r="R1019" s="9"/>
      <c r="S1019" s="4"/>
      <c r="T1019" s="9"/>
      <c r="U1019" s="9"/>
      <c r="V1019" s="9"/>
      <c r="W1019" s="9"/>
      <c r="X1019" s="4"/>
      <c r="Y1019" s="6"/>
      <c r="Z1019" s="4"/>
      <c r="AA1019" s="23"/>
      <c r="AB1019" s="24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10"/>
      <c r="AU1019" s="9"/>
    </row>
    <row r="1020" spans="1:47">
      <c r="A1020" s="4"/>
      <c r="B1020" s="4"/>
      <c r="C1020" s="5"/>
      <c r="D1020" s="5"/>
      <c r="E1020" s="6"/>
      <c r="F1020" s="4"/>
      <c r="G1020" s="6"/>
      <c r="H1020" s="7"/>
      <c r="I1020" s="2"/>
      <c r="J1020" s="2"/>
      <c r="K1020" s="2"/>
      <c r="L1020" s="2"/>
      <c r="M1020" s="2"/>
      <c r="N1020" s="2"/>
      <c r="O1020" s="2"/>
      <c r="P1020" s="2"/>
      <c r="Q1020" s="2"/>
      <c r="R1020" s="9"/>
      <c r="S1020" s="4"/>
      <c r="T1020" s="9"/>
      <c r="U1020" s="9"/>
      <c r="V1020" s="9"/>
      <c r="W1020" s="9"/>
      <c r="X1020" s="4"/>
      <c r="Y1020" s="6"/>
      <c r="Z1020" s="4"/>
      <c r="AA1020" s="23"/>
      <c r="AB1020" s="24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10"/>
      <c r="AU1020" s="9"/>
    </row>
    <row r="1021" spans="1:47">
      <c r="A1021" s="4"/>
      <c r="B1021" s="4"/>
      <c r="C1021" s="5"/>
      <c r="D1021" s="5"/>
      <c r="E1021" s="6"/>
      <c r="F1021" s="4"/>
      <c r="G1021" s="6"/>
      <c r="H1021" s="7"/>
      <c r="I1021" s="2"/>
      <c r="J1021" s="2"/>
      <c r="K1021" s="2"/>
      <c r="L1021" s="2"/>
      <c r="M1021" s="2"/>
      <c r="N1021" s="2"/>
      <c r="O1021" s="2"/>
      <c r="P1021" s="2"/>
      <c r="Q1021" s="2"/>
      <c r="R1021" s="9"/>
      <c r="S1021" s="4"/>
      <c r="T1021" s="9"/>
      <c r="U1021" s="9"/>
      <c r="V1021" s="9"/>
      <c r="W1021" s="9"/>
      <c r="X1021" s="4"/>
      <c r="Y1021" s="6"/>
      <c r="Z1021" s="4"/>
      <c r="AA1021" s="23"/>
      <c r="AB1021" s="24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10"/>
      <c r="AU1021" s="9"/>
    </row>
    <row r="1022" spans="1:47">
      <c r="A1022" s="4"/>
      <c r="B1022" s="4"/>
      <c r="C1022" s="5"/>
      <c r="D1022" s="5"/>
      <c r="E1022" s="6"/>
      <c r="F1022" s="4"/>
      <c r="G1022" s="6"/>
      <c r="H1022" s="7"/>
      <c r="I1022" s="2"/>
      <c r="J1022" s="2"/>
      <c r="K1022" s="2"/>
      <c r="L1022" s="2"/>
      <c r="M1022" s="2"/>
      <c r="N1022" s="2"/>
      <c r="O1022" s="2"/>
      <c r="P1022" s="2"/>
      <c r="Q1022" s="2"/>
      <c r="R1022" s="9"/>
      <c r="S1022" s="4"/>
      <c r="T1022" s="9"/>
      <c r="U1022" s="9"/>
      <c r="V1022" s="9"/>
      <c r="W1022" s="9"/>
      <c r="X1022" s="4"/>
      <c r="Y1022" s="6"/>
      <c r="Z1022" s="4"/>
      <c r="AA1022" s="23"/>
      <c r="AB1022" s="24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10"/>
      <c r="AU1022" s="9"/>
    </row>
    <row r="1023" spans="1:47">
      <c r="A1023" s="4"/>
      <c r="B1023" s="4"/>
      <c r="C1023" s="5"/>
      <c r="D1023" s="5"/>
      <c r="E1023" s="6"/>
      <c r="F1023" s="4"/>
      <c r="G1023" s="6"/>
      <c r="H1023" s="7"/>
      <c r="I1023" s="2"/>
      <c r="J1023" s="2"/>
      <c r="K1023" s="2"/>
      <c r="L1023" s="2"/>
      <c r="M1023" s="2"/>
      <c r="N1023" s="2"/>
      <c r="O1023" s="2"/>
      <c r="P1023" s="2"/>
      <c r="Q1023" s="2"/>
      <c r="R1023" s="9"/>
      <c r="S1023" s="4"/>
      <c r="T1023" s="9"/>
      <c r="U1023" s="9"/>
      <c r="V1023" s="9"/>
      <c r="W1023" s="9"/>
      <c r="X1023" s="4"/>
      <c r="Y1023" s="6"/>
      <c r="Z1023" s="4"/>
      <c r="AA1023" s="23"/>
      <c r="AB1023" s="24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10"/>
      <c r="AU1023" s="9"/>
    </row>
    <row r="1024" spans="1:47">
      <c r="A1024" s="4"/>
      <c r="B1024" s="4"/>
      <c r="C1024" s="5"/>
      <c r="D1024" s="5"/>
      <c r="E1024" s="6"/>
      <c r="F1024" s="4"/>
      <c r="G1024" s="6"/>
      <c r="H1024" s="7"/>
      <c r="I1024" s="7"/>
      <c r="J1024" s="7"/>
      <c r="K1024" s="7"/>
      <c r="L1024" s="7"/>
      <c r="M1024" s="2"/>
      <c r="N1024" s="2"/>
      <c r="O1024" s="2"/>
      <c r="P1024" s="2"/>
      <c r="Q1024" s="2"/>
      <c r="R1024" s="9"/>
      <c r="S1024" s="4"/>
      <c r="T1024" s="9"/>
      <c r="U1024" s="9"/>
      <c r="V1024" s="9"/>
      <c r="W1024" s="9"/>
      <c r="X1024" s="4"/>
      <c r="Y1024" s="6"/>
      <c r="Z1024" s="4"/>
      <c r="AA1024" s="23"/>
      <c r="AB1024" s="24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10"/>
      <c r="AU1024" s="9"/>
    </row>
    <row r="1025" spans="1:47">
      <c r="A1025" s="4"/>
      <c r="B1025" s="4"/>
      <c r="C1025" s="5"/>
      <c r="D1025" s="5"/>
      <c r="E1025" s="6"/>
      <c r="F1025" s="4"/>
      <c r="G1025" s="6"/>
      <c r="H1025" s="7"/>
      <c r="I1025" s="2"/>
      <c r="J1025" s="2"/>
      <c r="K1025" s="2"/>
      <c r="L1025" s="2"/>
      <c r="M1025" s="2"/>
      <c r="N1025" s="2"/>
      <c r="O1025" s="2"/>
      <c r="P1025" s="2"/>
      <c r="Q1025" s="2"/>
      <c r="R1025" s="9"/>
      <c r="S1025" s="4"/>
      <c r="T1025" s="9"/>
      <c r="U1025" s="9"/>
      <c r="V1025" s="9"/>
      <c r="W1025" s="9"/>
      <c r="X1025" s="4"/>
      <c r="Y1025" s="6"/>
      <c r="Z1025" s="4"/>
      <c r="AA1025" s="23"/>
      <c r="AB1025" s="24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10"/>
      <c r="AU1025" s="9"/>
    </row>
    <row r="1026" spans="1:47">
      <c r="A1026" s="4"/>
      <c r="B1026" s="4"/>
      <c r="C1026" s="5"/>
      <c r="D1026" s="5"/>
      <c r="E1026" s="6"/>
      <c r="F1026" s="4"/>
      <c r="G1026" s="6"/>
      <c r="H1026" s="7"/>
      <c r="I1026" s="7"/>
      <c r="J1026" s="7"/>
      <c r="K1026" s="7"/>
      <c r="L1026" s="7"/>
      <c r="M1026" s="2"/>
      <c r="N1026" s="2"/>
      <c r="O1026" s="2"/>
      <c r="P1026" s="2"/>
      <c r="Q1026" s="2"/>
      <c r="R1026" s="9"/>
      <c r="S1026" s="4"/>
      <c r="T1026" s="9"/>
      <c r="U1026" s="9"/>
      <c r="V1026" s="9"/>
      <c r="W1026" s="9"/>
      <c r="X1026" s="4"/>
      <c r="Y1026" s="6"/>
      <c r="Z1026" s="4"/>
      <c r="AA1026" s="23"/>
      <c r="AB1026" s="24"/>
      <c r="AC1026" s="25"/>
      <c r="AD1026" s="24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10"/>
      <c r="AU1026" s="9"/>
    </row>
    <row r="1027" spans="1:47">
      <c r="A1027" s="4"/>
      <c r="B1027" s="4"/>
      <c r="C1027" s="5"/>
      <c r="D1027" s="5"/>
      <c r="E1027" s="6"/>
      <c r="F1027" s="4"/>
      <c r="G1027" s="6"/>
      <c r="H1027" s="7"/>
      <c r="I1027" s="2"/>
      <c r="J1027" s="2"/>
      <c r="K1027" s="2"/>
      <c r="L1027" s="2"/>
      <c r="M1027" s="2"/>
      <c r="N1027" s="2"/>
      <c r="O1027" s="2"/>
      <c r="P1027" s="2"/>
      <c r="Q1027" s="2"/>
      <c r="R1027" s="9"/>
      <c r="S1027" s="4"/>
      <c r="T1027" s="9"/>
      <c r="U1027" s="9"/>
      <c r="V1027" s="9"/>
      <c r="W1027" s="9"/>
      <c r="X1027" s="4"/>
      <c r="Y1027" s="6"/>
      <c r="Z1027" s="4"/>
      <c r="AA1027" s="23"/>
      <c r="AB1027" s="24"/>
      <c r="AC1027" s="25"/>
      <c r="AD1027" s="24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10"/>
      <c r="AU1027" s="9"/>
    </row>
    <row r="1028" spans="1:47">
      <c r="A1028" s="4"/>
      <c r="B1028" s="4"/>
      <c r="C1028" s="5"/>
      <c r="D1028" s="5"/>
      <c r="E1028" s="6"/>
      <c r="F1028" s="4"/>
      <c r="G1028" s="6"/>
      <c r="H1028" s="7"/>
      <c r="I1028" s="2"/>
      <c r="J1028" s="2"/>
      <c r="K1028" s="2"/>
      <c r="L1028" s="2"/>
      <c r="M1028" s="2"/>
      <c r="N1028" s="2"/>
      <c r="O1028" s="2"/>
      <c r="P1028" s="2"/>
      <c r="Q1028" s="2"/>
      <c r="R1028" s="9"/>
      <c r="S1028" s="4"/>
      <c r="T1028" s="9"/>
      <c r="U1028" s="9"/>
      <c r="V1028" s="9"/>
      <c r="W1028" s="9"/>
      <c r="X1028" s="4"/>
      <c r="Y1028" s="6"/>
      <c r="Z1028" s="4"/>
      <c r="AA1028" s="4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10"/>
      <c r="AU1028" s="9"/>
    </row>
    <row r="1029" spans="1:47">
      <c r="A1029" s="4"/>
      <c r="B1029" s="4"/>
      <c r="C1029" s="5"/>
      <c r="D1029" s="5"/>
      <c r="E1029" s="6"/>
      <c r="F1029" s="4"/>
      <c r="G1029" s="6"/>
      <c r="H1029" s="7"/>
      <c r="I1029" s="2"/>
      <c r="J1029" s="2"/>
      <c r="K1029" s="2"/>
      <c r="L1029" s="2"/>
      <c r="M1029" s="2"/>
      <c r="N1029" s="2"/>
      <c r="O1029" s="2"/>
      <c r="P1029" s="2"/>
      <c r="Q1029" s="2"/>
      <c r="R1029" s="9"/>
      <c r="S1029" s="4"/>
      <c r="T1029" s="9"/>
      <c r="U1029" s="9"/>
      <c r="V1029" s="9"/>
      <c r="W1029" s="9"/>
      <c r="X1029" s="4"/>
      <c r="Y1029" s="6"/>
      <c r="Z1029" s="4"/>
      <c r="AA1029" s="23"/>
      <c r="AB1029" s="24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10"/>
      <c r="AU1029" s="9"/>
    </row>
    <row r="1030" spans="1:47">
      <c r="A1030" s="4"/>
      <c r="B1030" s="4"/>
      <c r="C1030" s="5"/>
      <c r="D1030" s="5"/>
      <c r="E1030" s="6"/>
      <c r="F1030" s="4"/>
      <c r="G1030" s="6"/>
      <c r="H1030" s="7"/>
      <c r="I1030" s="2"/>
      <c r="J1030" s="2"/>
      <c r="K1030" s="2"/>
      <c r="L1030" s="2"/>
      <c r="M1030" s="2"/>
      <c r="N1030" s="2"/>
      <c r="O1030" s="2"/>
      <c r="P1030" s="2"/>
      <c r="Q1030" s="2"/>
      <c r="R1030" s="9"/>
      <c r="S1030" s="4"/>
      <c r="T1030" s="9"/>
      <c r="U1030" s="9"/>
      <c r="V1030" s="9"/>
      <c r="W1030" s="9"/>
      <c r="X1030" s="4"/>
      <c r="Y1030" s="6"/>
      <c r="Z1030" s="4"/>
      <c r="AA1030" s="23"/>
      <c r="AB1030" s="24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10"/>
      <c r="AU1030" s="9"/>
    </row>
    <row r="1031" spans="1:47">
      <c r="A1031" s="4"/>
      <c r="B1031" s="4"/>
      <c r="C1031" s="5"/>
      <c r="D1031" s="5"/>
      <c r="E1031" s="6"/>
      <c r="F1031" s="4"/>
      <c r="G1031" s="6"/>
      <c r="H1031" s="7"/>
      <c r="I1031" s="7"/>
      <c r="J1031" s="7"/>
      <c r="K1031" s="7"/>
      <c r="L1031" s="2"/>
      <c r="M1031" s="2"/>
      <c r="N1031" s="2"/>
      <c r="O1031" s="2"/>
      <c r="P1031" s="2"/>
      <c r="Q1031" s="2"/>
      <c r="R1031" s="9"/>
      <c r="S1031" s="4"/>
      <c r="T1031" s="9"/>
      <c r="U1031" s="9"/>
      <c r="V1031" s="9"/>
      <c r="W1031" s="9"/>
      <c r="X1031" s="4"/>
      <c r="Y1031" s="6"/>
      <c r="Z1031" s="4"/>
      <c r="AA1031" s="23"/>
      <c r="AB1031" s="24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10"/>
      <c r="AU1031" s="9"/>
    </row>
    <row r="1032" spans="1:47">
      <c r="A1032" s="4"/>
      <c r="B1032" s="4"/>
      <c r="C1032" s="5"/>
      <c r="D1032" s="5"/>
      <c r="E1032" s="6"/>
      <c r="F1032" s="4"/>
      <c r="G1032" s="6"/>
      <c r="H1032" s="7"/>
      <c r="I1032" s="2"/>
      <c r="J1032" s="2"/>
      <c r="K1032" s="2"/>
      <c r="L1032" s="2"/>
      <c r="M1032" s="2"/>
      <c r="N1032" s="2"/>
      <c r="O1032" s="2"/>
      <c r="P1032" s="2"/>
      <c r="Q1032" s="2"/>
      <c r="R1032" s="9"/>
      <c r="S1032" s="4"/>
      <c r="T1032" s="9"/>
      <c r="U1032" s="9"/>
      <c r="V1032" s="9"/>
      <c r="W1032" s="9"/>
      <c r="X1032" s="4"/>
      <c r="Y1032" s="6"/>
      <c r="Z1032" s="4"/>
      <c r="AA1032" s="23"/>
      <c r="AB1032" s="24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10"/>
      <c r="AU1032" s="9"/>
    </row>
    <row r="1033" spans="1:47">
      <c r="A1033" s="4"/>
      <c r="B1033" s="4"/>
      <c r="C1033" s="5"/>
      <c r="D1033" s="5"/>
      <c r="E1033" s="6"/>
      <c r="F1033" s="4"/>
      <c r="G1033" s="6"/>
      <c r="H1033" s="7"/>
      <c r="I1033" s="2"/>
      <c r="J1033" s="2"/>
      <c r="K1033" s="2"/>
      <c r="L1033" s="2"/>
      <c r="M1033" s="2"/>
      <c r="N1033" s="2"/>
      <c r="O1033" s="2"/>
      <c r="P1033" s="2"/>
      <c r="Q1033" s="2"/>
      <c r="R1033" s="9"/>
      <c r="S1033" s="4"/>
      <c r="T1033" s="9"/>
      <c r="U1033" s="9"/>
      <c r="V1033" s="9"/>
      <c r="W1033" s="9"/>
      <c r="X1033" s="4"/>
      <c r="Y1033" s="6"/>
      <c r="Z1033" s="4"/>
      <c r="AA1033" s="23"/>
      <c r="AB1033" s="24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10"/>
      <c r="AU1033" s="9"/>
    </row>
    <row r="1034" spans="1:47">
      <c r="A1034" s="4"/>
      <c r="B1034" s="4"/>
      <c r="C1034" s="5"/>
      <c r="D1034" s="5"/>
      <c r="E1034" s="6"/>
      <c r="F1034" s="4"/>
      <c r="G1034" s="6"/>
      <c r="H1034" s="7"/>
      <c r="I1034" s="2"/>
      <c r="J1034" s="2"/>
      <c r="K1034" s="2"/>
      <c r="L1034" s="2"/>
      <c r="M1034" s="2"/>
      <c r="N1034" s="2"/>
      <c r="O1034" s="2"/>
      <c r="P1034" s="2"/>
      <c r="Q1034" s="2"/>
      <c r="R1034" s="9"/>
      <c r="S1034" s="4"/>
      <c r="T1034" s="9"/>
      <c r="U1034" s="9"/>
      <c r="V1034" s="9"/>
      <c r="W1034" s="9"/>
      <c r="X1034" s="4"/>
      <c r="Y1034" s="6"/>
      <c r="Z1034" s="4"/>
      <c r="AA1034" s="23"/>
      <c r="AB1034" s="24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10"/>
      <c r="AU1034" s="9"/>
    </row>
    <row r="1035" spans="1:47">
      <c r="A1035" s="4"/>
      <c r="B1035" s="4"/>
      <c r="C1035" s="5"/>
      <c r="D1035" s="5"/>
      <c r="E1035" s="6"/>
      <c r="F1035" s="4"/>
      <c r="G1035" s="6"/>
      <c r="H1035" s="7"/>
      <c r="I1035" s="2"/>
      <c r="J1035" s="2"/>
      <c r="K1035" s="2"/>
      <c r="L1035" s="2"/>
      <c r="M1035" s="2"/>
      <c r="N1035" s="2"/>
      <c r="O1035" s="2"/>
      <c r="P1035" s="2"/>
      <c r="Q1035" s="2"/>
      <c r="R1035" s="9"/>
      <c r="S1035" s="4"/>
      <c r="T1035" s="9"/>
      <c r="U1035" s="9"/>
      <c r="V1035" s="9"/>
      <c r="W1035" s="9"/>
      <c r="X1035" s="4"/>
      <c r="Y1035" s="6"/>
      <c r="Z1035" s="4"/>
      <c r="AA1035" s="23"/>
      <c r="AB1035" s="24"/>
      <c r="AC1035" s="2"/>
      <c r="AD1035" s="2"/>
      <c r="AE1035" s="25"/>
      <c r="AF1035" s="24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10"/>
      <c r="AU1035" s="9"/>
    </row>
    <row r="1036" spans="1:47">
      <c r="A1036" s="4"/>
      <c r="B1036" s="4"/>
      <c r="C1036" s="5"/>
      <c r="D1036" s="5"/>
      <c r="E1036" s="6"/>
      <c r="F1036" s="4"/>
      <c r="G1036" s="6"/>
      <c r="H1036" s="7"/>
      <c r="I1036" s="2"/>
      <c r="J1036" s="2"/>
      <c r="K1036" s="2"/>
      <c r="L1036" s="2"/>
      <c r="M1036" s="2"/>
      <c r="N1036" s="2"/>
      <c r="O1036" s="2"/>
      <c r="P1036" s="2"/>
      <c r="Q1036" s="2"/>
      <c r="R1036" s="9"/>
      <c r="S1036" s="4"/>
      <c r="T1036" s="9"/>
      <c r="U1036" s="9"/>
      <c r="V1036" s="9"/>
      <c r="W1036" s="9"/>
      <c r="X1036" s="4"/>
      <c r="Y1036" s="6"/>
      <c r="Z1036" s="4"/>
      <c r="AA1036" s="23"/>
      <c r="AB1036" s="24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10"/>
      <c r="AU1036" s="9"/>
    </row>
    <row r="1037" spans="1:47">
      <c r="A1037" s="4"/>
      <c r="B1037" s="4"/>
      <c r="C1037" s="5"/>
      <c r="D1037" s="5"/>
      <c r="E1037" s="6"/>
      <c r="F1037" s="4"/>
      <c r="G1037" s="6"/>
      <c r="H1037" s="7"/>
      <c r="I1037" s="2"/>
      <c r="J1037" s="2"/>
      <c r="K1037" s="2"/>
      <c r="L1037" s="2"/>
      <c r="M1037" s="2"/>
      <c r="N1037" s="2"/>
      <c r="O1037" s="2"/>
      <c r="P1037" s="2"/>
      <c r="Q1037" s="2"/>
      <c r="R1037" s="9"/>
      <c r="S1037" s="4"/>
      <c r="T1037" s="9"/>
      <c r="U1037" s="9"/>
      <c r="V1037" s="9"/>
      <c r="W1037" s="9"/>
      <c r="X1037" s="4"/>
      <c r="Y1037" s="6"/>
      <c r="Z1037" s="4"/>
      <c r="AA1037" s="23"/>
      <c r="AB1037" s="24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10"/>
      <c r="AU1037" s="9"/>
    </row>
    <row r="1038" spans="1:47">
      <c r="A1038" s="4"/>
      <c r="B1038" s="4"/>
      <c r="C1038" s="5"/>
      <c r="D1038" s="5"/>
      <c r="E1038" s="6"/>
      <c r="F1038" s="4"/>
      <c r="G1038" s="6"/>
      <c r="H1038" s="7"/>
      <c r="I1038" s="2"/>
      <c r="J1038" s="2"/>
      <c r="K1038" s="2"/>
      <c r="L1038" s="2"/>
      <c r="M1038" s="2"/>
      <c r="N1038" s="2"/>
      <c r="O1038" s="2"/>
      <c r="P1038" s="2"/>
      <c r="Q1038" s="2"/>
      <c r="R1038" s="9"/>
      <c r="S1038" s="4"/>
      <c r="T1038" s="9"/>
      <c r="U1038" s="9"/>
      <c r="V1038" s="9"/>
      <c r="W1038" s="9"/>
      <c r="X1038" s="4"/>
      <c r="Y1038" s="6"/>
      <c r="Z1038" s="4"/>
      <c r="AA1038" s="23"/>
      <c r="AB1038" s="24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10"/>
      <c r="AU1038" s="9"/>
    </row>
    <row r="1039" spans="1:47">
      <c r="A1039" s="4"/>
      <c r="B1039" s="4"/>
      <c r="C1039" s="5"/>
      <c r="D1039" s="5"/>
      <c r="E1039" s="6"/>
      <c r="F1039" s="4"/>
      <c r="G1039" s="6"/>
      <c r="H1039" s="7"/>
      <c r="I1039" s="2"/>
      <c r="J1039" s="2"/>
      <c r="K1039" s="2"/>
      <c r="L1039" s="2"/>
      <c r="M1039" s="2"/>
      <c r="N1039" s="2"/>
      <c r="O1039" s="2"/>
      <c r="P1039" s="2"/>
      <c r="Q1039" s="2"/>
      <c r="R1039" s="9"/>
      <c r="S1039" s="4"/>
      <c r="T1039" s="9"/>
      <c r="U1039" s="9"/>
      <c r="V1039" s="9"/>
      <c r="W1039" s="9"/>
      <c r="X1039" s="4"/>
      <c r="Y1039" s="6"/>
      <c r="Z1039" s="4"/>
      <c r="AA1039" s="23"/>
      <c r="AB1039" s="24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10"/>
      <c r="AU1039" s="9"/>
    </row>
    <row r="1040" spans="1:47">
      <c r="A1040" s="4"/>
      <c r="B1040" s="4"/>
      <c r="C1040" s="5"/>
      <c r="D1040" s="5"/>
      <c r="E1040" s="6"/>
      <c r="F1040" s="4"/>
      <c r="G1040" s="6"/>
      <c r="H1040" s="7"/>
      <c r="I1040" s="2"/>
      <c r="J1040" s="2"/>
      <c r="K1040" s="2"/>
      <c r="L1040" s="2"/>
      <c r="M1040" s="2"/>
      <c r="N1040" s="2"/>
      <c r="O1040" s="2"/>
      <c r="P1040" s="2"/>
      <c r="Q1040" s="2"/>
      <c r="R1040" s="9"/>
      <c r="S1040" s="4"/>
      <c r="T1040" s="9"/>
      <c r="U1040" s="9"/>
      <c r="V1040" s="9"/>
      <c r="W1040" s="9"/>
      <c r="X1040" s="4"/>
      <c r="Y1040" s="6"/>
      <c r="Z1040" s="4"/>
      <c r="AA1040" s="23"/>
      <c r="AB1040" s="24"/>
      <c r="AC1040" s="2"/>
      <c r="AD1040" s="2"/>
      <c r="AE1040" s="25"/>
      <c r="AF1040" s="24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10"/>
      <c r="AU1040" s="9"/>
    </row>
    <row r="1041" spans="1:47">
      <c r="A1041" s="4"/>
      <c r="B1041" s="4"/>
      <c r="C1041" s="5"/>
      <c r="D1041" s="5"/>
      <c r="E1041" s="6"/>
      <c r="F1041" s="4"/>
      <c r="G1041" s="6"/>
      <c r="H1041" s="7"/>
      <c r="I1041" s="7"/>
      <c r="J1041" s="7"/>
      <c r="K1041" s="7"/>
      <c r="L1041" s="2"/>
      <c r="M1041" s="2"/>
      <c r="N1041" s="2"/>
      <c r="O1041" s="2"/>
      <c r="P1041" s="2"/>
      <c r="Q1041" s="2"/>
      <c r="R1041" s="9"/>
      <c r="S1041" s="4"/>
      <c r="T1041" s="9"/>
      <c r="U1041" s="9"/>
      <c r="V1041" s="9"/>
      <c r="W1041" s="9"/>
      <c r="X1041" s="4"/>
      <c r="Y1041" s="6"/>
      <c r="Z1041" s="4"/>
      <c r="AA1041" s="23"/>
      <c r="AB1041" s="24"/>
      <c r="AC1041" s="2"/>
      <c r="AD1041" s="2"/>
      <c r="AE1041" s="25"/>
      <c r="AF1041" s="24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10"/>
      <c r="AU1041" s="9"/>
    </row>
    <row r="1042" spans="1:47">
      <c r="A1042" s="4"/>
      <c r="B1042" s="4"/>
      <c r="C1042" s="5"/>
      <c r="D1042" s="5"/>
      <c r="E1042" s="6"/>
      <c r="F1042" s="4"/>
      <c r="G1042" s="6"/>
      <c r="H1042" s="7"/>
      <c r="I1042" s="2"/>
      <c r="J1042" s="2"/>
      <c r="K1042" s="2"/>
      <c r="L1042" s="2"/>
      <c r="M1042" s="2"/>
      <c r="N1042" s="2"/>
      <c r="O1042" s="2"/>
      <c r="P1042" s="2"/>
      <c r="Q1042" s="2"/>
      <c r="R1042" s="9"/>
      <c r="S1042" s="4"/>
      <c r="T1042" s="9"/>
      <c r="U1042" s="9"/>
      <c r="V1042" s="9"/>
      <c r="W1042" s="9"/>
      <c r="X1042" s="4"/>
      <c r="Y1042" s="6"/>
      <c r="Z1042" s="4"/>
      <c r="AA1042" s="23"/>
      <c r="AB1042" s="24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10"/>
      <c r="AU1042" s="9"/>
    </row>
    <row r="1043" spans="1:47">
      <c r="A1043" s="4"/>
      <c r="B1043" s="4"/>
      <c r="C1043" s="5"/>
      <c r="D1043" s="5"/>
      <c r="E1043" s="6"/>
      <c r="F1043" s="4"/>
      <c r="G1043" s="6"/>
      <c r="H1043" s="7"/>
      <c r="I1043" s="2"/>
      <c r="J1043" s="2"/>
      <c r="K1043" s="2"/>
      <c r="L1043" s="2"/>
      <c r="M1043" s="2"/>
      <c r="N1043" s="2"/>
      <c r="O1043" s="2"/>
      <c r="P1043" s="2"/>
      <c r="Q1043" s="2"/>
      <c r="R1043" s="9"/>
      <c r="S1043" s="4"/>
      <c r="T1043" s="9"/>
      <c r="U1043" s="9"/>
      <c r="V1043" s="9"/>
      <c r="W1043" s="9"/>
      <c r="X1043" s="4"/>
      <c r="Y1043" s="6"/>
      <c r="Z1043" s="4"/>
      <c r="AA1043" s="23"/>
      <c r="AB1043" s="24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10"/>
      <c r="AU1043" s="9"/>
    </row>
    <row r="1044" spans="1:47">
      <c r="A1044" s="4"/>
      <c r="B1044" s="4"/>
      <c r="C1044" s="5"/>
      <c r="D1044" s="5"/>
      <c r="E1044" s="6"/>
      <c r="F1044" s="4"/>
      <c r="G1044" s="6"/>
      <c r="H1044" s="7"/>
      <c r="I1044" s="2"/>
      <c r="J1044" s="2"/>
      <c r="K1044" s="2"/>
      <c r="L1044" s="2"/>
      <c r="M1044" s="2"/>
      <c r="N1044" s="2"/>
      <c r="O1044" s="2"/>
      <c r="P1044" s="2"/>
      <c r="Q1044" s="2"/>
      <c r="R1044" s="9"/>
      <c r="S1044" s="4"/>
      <c r="T1044" s="9"/>
      <c r="U1044" s="9"/>
      <c r="V1044" s="9"/>
      <c r="W1044" s="9"/>
      <c r="X1044" s="4"/>
      <c r="Y1044" s="6"/>
      <c r="Z1044" s="4"/>
      <c r="AA1044" s="23"/>
      <c r="AB1044" s="24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10"/>
      <c r="AU1044" s="9"/>
    </row>
    <row r="1045" spans="1:47">
      <c r="A1045" s="4"/>
      <c r="B1045" s="4"/>
      <c r="C1045" s="5"/>
      <c r="D1045" s="5"/>
      <c r="E1045" s="6"/>
      <c r="F1045" s="4"/>
      <c r="G1045" s="6"/>
      <c r="H1045" s="7"/>
      <c r="I1045" s="2"/>
      <c r="J1045" s="2"/>
      <c r="K1045" s="2"/>
      <c r="L1045" s="2"/>
      <c r="M1045" s="2"/>
      <c r="N1045" s="2"/>
      <c r="O1045" s="2"/>
      <c r="P1045" s="2"/>
      <c r="Q1045" s="2"/>
      <c r="R1045" s="9"/>
      <c r="S1045" s="4"/>
      <c r="T1045" s="9"/>
      <c r="U1045" s="9"/>
      <c r="V1045" s="9"/>
      <c r="W1045" s="9"/>
      <c r="X1045" s="4"/>
      <c r="Y1045" s="6"/>
      <c r="Z1045" s="4"/>
      <c r="AA1045" s="23"/>
      <c r="AB1045" s="24"/>
      <c r="AC1045" s="2"/>
      <c r="AD1045" s="2"/>
      <c r="AE1045" s="25"/>
      <c r="AF1045" s="24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10"/>
      <c r="AU1045" s="9"/>
    </row>
    <row r="1046" spans="1:47">
      <c r="A1046" s="4"/>
      <c r="B1046" s="4"/>
      <c r="C1046" s="5"/>
      <c r="D1046" s="5"/>
      <c r="E1046" s="6"/>
      <c r="F1046" s="4"/>
      <c r="G1046" s="6"/>
      <c r="H1046" s="7"/>
      <c r="I1046" s="2"/>
      <c r="J1046" s="2"/>
      <c r="K1046" s="2"/>
      <c r="L1046" s="2"/>
      <c r="M1046" s="2"/>
      <c r="N1046" s="2"/>
      <c r="O1046" s="2"/>
      <c r="P1046" s="2"/>
      <c r="Q1046" s="2"/>
      <c r="R1046" s="9"/>
      <c r="S1046" s="4"/>
      <c r="T1046" s="9"/>
      <c r="U1046" s="9"/>
      <c r="V1046" s="9"/>
      <c r="W1046" s="9"/>
      <c r="X1046" s="4"/>
      <c r="Y1046" s="6"/>
      <c r="Z1046" s="4"/>
      <c r="AA1046" s="23"/>
      <c r="AB1046" s="24"/>
      <c r="AC1046" s="25"/>
      <c r="AD1046" s="24"/>
      <c r="AE1046" s="25"/>
      <c r="AF1046" s="24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10"/>
      <c r="AU1046" s="9"/>
    </row>
    <row r="1047" spans="1:47">
      <c r="A1047" s="4"/>
      <c r="B1047" s="4"/>
      <c r="C1047" s="5"/>
      <c r="D1047" s="5"/>
      <c r="E1047" s="6"/>
      <c r="F1047" s="4"/>
      <c r="G1047" s="6"/>
      <c r="H1047" s="7"/>
      <c r="I1047" s="2"/>
      <c r="J1047" s="2"/>
      <c r="K1047" s="2"/>
      <c r="L1047" s="2"/>
      <c r="M1047" s="2"/>
      <c r="N1047" s="2"/>
      <c r="O1047" s="2"/>
      <c r="P1047" s="2"/>
      <c r="Q1047" s="2"/>
      <c r="R1047" s="9"/>
      <c r="S1047" s="4"/>
      <c r="T1047" s="9"/>
      <c r="U1047" s="9"/>
      <c r="V1047" s="9"/>
      <c r="W1047" s="9"/>
      <c r="X1047" s="4"/>
      <c r="Y1047" s="6"/>
      <c r="Z1047" s="4"/>
      <c r="AA1047" s="23"/>
      <c r="AB1047" s="24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10"/>
      <c r="AU1047" s="9"/>
    </row>
    <row r="1048" spans="1:47">
      <c r="A1048" s="4"/>
      <c r="B1048" s="4"/>
      <c r="C1048" s="5"/>
      <c r="D1048" s="5"/>
      <c r="E1048" s="6"/>
      <c r="F1048" s="4"/>
      <c r="G1048" s="6"/>
      <c r="H1048" s="7"/>
      <c r="I1048" s="2"/>
      <c r="J1048" s="2"/>
      <c r="K1048" s="2"/>
      <c r="L1048" s="2"/>
      <c r="M1048" s="2"/>
      <c r="N1048" s="2"/>
      <c r="O1048" s="2"/>
      <c r="P1048" s="2"/>
      <c r="Q1048" s="2"/>
      <c r="R1048" s="9"/>
      <c r="S1048" s="4"/>
      <c r="T1048" s="9"/>
      <c r="U1048" s="9"/>
      <c r="V1048" s="9"/>
      <c r="W1048" s="9"/>
      <c r="X1048" s="4"/>
      <c r="Y1048" s="6"/>
      <c r="Z1048" s="4"/>
      <c r="AA1048" s="23"/>
      <c r="AB1048" s="24"/>
      <c r="AC1048" s="2"/>
      <c r="AD1048" s="2"/>
      <c r="AE1048" s="25"/>
      <c r="AF1048" s="24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10"/>
      <c r="AU1048" s="9"/>
    </row>
    <row r="1049" spans="1:47">
      <c r="A1049" s="4"/>
      <c r="B1049" s="4"/>
      <c r="C1049" s="5"/>
      <c r="D1049" s="5"/>
      <c r="E1049" s="6"/>
      <c r="F1049" s="4"/>
      <c r="G1049" s="6"/>
      <c r="H1049" s="7"/>
      <c r="I1049" s="2"/>
      <c r="J1049" s="2"/>
      <c r="K1049" s="2"/>
      <c r="L1049" s="2"/>
      <c r="M1049" s="2"/>
      <c r="N1049" s="2"/>
      <c r="O1049" s="2"/>
      <c r="P1049" s="2"/>
      <c r="Q1049" s="2"/>
      <c r="R1049" s="9"/>
      <c r="S1049" s="4"/>
      <c r="T1049" s="9"/>
      <c r="U1049" s="9"/>
      <c r="V1049" s="9"/>
      <c r="W1049" s="9"/>
      <c r="X1049" s="4"/>
      <c r="Y1049" s="6"/>
      <c r="Z1049" s="4"/>
      <c r="AA1049" s="23"/>
      <c r="AB1049" s="24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10"/>
      <c r="AU1049" s="9"/>
    </row>
    <row r="1050" spans="1:47">
      <c r="A1050" s="4"/>
      <c r="B1050" s="4"/>
      <c r="C1050" s="5"/>
      <c r="D1050" s="5"/>
      <c r="E1050" s="6"/>
      <c r="F1050" s="4"/>
      <c r="G1050" s="6"/>
      <c r="H1050" s="7"/>
      <c r="I1050" s="2"/>
      <c r="J1050" s="2"/>
      <c r="K1050" s="2"/>
      <c r="L1050" s="2"/>
      <c r="M1050" s="2"/>
      <c r="N1050" s="2"/>
      <c r="O1050" s="2"/>
      <c r="P1050" s="2"/>
      <c r="Q1050" s="2"/>
      <c r="R1050" s="9"/>
      <c r="S1050" s="4"/>
      <c r="T1050" s="9"/>
      <c r="U1050" s="9"/>
      <c r="V1050" s="9"/>
      <c r="W1050" s="9"/>
      <c r="X1050" s="4"/>
      <c r="Y1050" s="6"/>
      <c r="Z1050" s="4"/>
      <c r="AA1050" s="23"/>
      <c r="AB1050" s="24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10"/>
      <c r="AU1050" s="9"/>
    </row>
    <row r="1051" spans="1:47">
      <c r="A1051" s="4"/>
      <c r="B1051" s="4"/>
      <c r="C1051" s="5"/>
      <c r="D1051" s="5"/>
      <c r="E1051" s="6"/>
      <c r="F1051" s="4"/>
      <c r="G1051" s="6"/>
      <c r="H1051" s="7"/>
      <c r="I1051" s="7"/>
      <c r="J1051" s="7"/>
      <c r="K1051" s="7"/>
      <c r="L1051" s="2"/>
      <c r="M1051" s="2"/>
      <c r="N1051" s="2"/>
      <c r="O1051" s="2"/>
      <c r="P1051" s="2"/>
      <c r="Q1051" s="2"/>
      <c r="R1051" s="9"/>
      <c r="S1051" s="4"/>
      <c r="T1051" s="9"/>
      <c r="U1051" s="9"/>
      <c r="V1051" s="9"/>
      <c r="W1051" s="9"/>
      <c r="X1051" s="4"/>
      <c r="Y1051" s="6"/>
      <c r="Z1051" s="4"/>
      <c r="AA1051" s="23"/>
      <c r="AB1051" s="24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10"/>
      <c r="AU1051" s="9"/>
    </row>
    <row r="1052" spans="1:47">
      <c r="A1052" s="4"/>
      <c r="B1052" s="4"/>
      <c r="C1052" s="5"/>
      <c r="D1052" s="5"/>
      <c r="E1052" s="6"/>
      <c r="F1052" s="4"/>
      <c r="G1052" s="6"/>
      <c r="H1052" s="7"/>
      <c r="I1052" s="2"/>
      <c r="J1052" s="2"/>
      <c r="K1052" s="2"/>
      <c r="L1052" s="2"/>
      <c r="M1052" s="2"/>
      <c r="N1052" s="2"/>
      <c r="O1052" s="2"/>
      <c r="P1052" s="2"/>
      <c r="Q1052" s="2"/>
      <c r="R1052" s="9"/>
      <c r="S1052" s="4"/>
      <c r="T1052" s="9"/>
      <c r="U1052" s="9"/>
      <c r="V1052" s="9"/>
      <c r="W1052" s="9"/>
      <c r="X1052" s="4"/>
      <c r="Y1052" s="6"/>
      <c r="Z1052" s="4"/>
      <c r="AA1052" s="23"/>
      <c r="AB1052" s="24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10"/>
      <c r="AU1052" s="9"/>
    </row>
    <row r="1053" spans="1:47">
      <c r="A1053" s="4"/>
      <c r="B1053" s="4"/>
      <c r="C1053" s="5"/>
      <c r="D1053" s="5"/>
      <c r="E1053" s="6"/>
      <c r="F1053" s="4"/>
      <c r="G1053" s="6"/>
      <c r="H1053" s="7"/>
      <c r="I1053" s="2"/>
      <c r="J1053" s="2"/>
      <c r="K1053" s="2"/>
      <c r="L1053" s="2"/>
      <c r="M1053" s="2"/>
      <c r="N1053" s="2"/>
      <c r="O1053" s="2"/>
      <c r="P1053" s="2"/>
      <c r="Q1053" s="2"/>
      <c r="R1053" s="9"/>
      <c r="S1053" s="4"/>
      <c r="T1053" s="9"/>
      <c r="U1053" s="9"/>
      <c r="V1053" s="9"/>
      <c r="W1053" s="9"/>
      <c r="X1053" s="4"/>
      <c r="Y1053" s="6"/>
      <c r="Z1053" s="4"/>
      <c r="AA1053" s="23"/>
      <c r="AB1053" s="24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10"/>
      <c r="AU1053" s="9"/>
    </row>
    <row r="1054" spans="1:47">
      <c r="A1054" s="4"/>
      <c r="B1054" s="4"/>
      <c r="C1054" s="5"/>
      <c r="D1054" s="5"/>
      <c r="E1054" s="6"/>
      <c r="F1054" s="4"/>
      <c r="G1054" s="6"/>
      <c r="H1054" s="7"/>
      <c r="I1054" s="2"/>
      <c r="J1054" s="2"/>
      <c r="K1054" s="2"/>
      <c r="L1054" s="2"/>
      <c r="M1054" s="2"/>
      <c r="N1054" s="2"/>
      <c r="O1054" s="2"/>
      <c r="P1054" s="2"/>
      <c r="Q1054" s="2"/>
      <c r="R1054" s="9"/>
      <c r="S1054" s="4"/>
      <c r="T1054" s="9"/>
      <c r="U1054" s="9"/>
      <c r="V1054" s="9"/>
      <c r="W1054" s="9"/>
      <c r="X1054" s="4"/>
      <c r="Y1054" s="6"/>
      <c r="Z1054" s="4"/>
      <c r="AA1054" s="23"/>
      <c r="AB1054" s="24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10"/>
      <c r="AU1054" s="9"/>
    </row>
    <row r="1055" spans="1:47">
      <c r="A1055" s="4"/>
      <c r="B1055" s="4"/>
      <c r="C1055" s="5"/>
      <c r="D1055" s="5"/>
      <c r="E1055" s="6"/>
      <c r="F1055" s="4"/>
      <c r="G1055" s="6"/>
      <c r="H1055" s="7"/>
      <c r="I1055" s="2"/>
      <c r="J1055" s="2"/>
      <c r="K1055" s="2"/>
      <c r="L1055" s="2"/>
      <c r="M1055" s="2"/>
      <c r="N1055" s="2"/>
      <c r="O1055" s="2"/>
      <c r="P1055" s="2"/>
      <c r="Q1055" s="2"/>
      <c r="R1055" s="9"/>
      <c r="S1055" s="4"/>
      <c r="T1055" s="9"/>
      <c r="U1055" s="9"/>
      <c r="V1055" s="9"/>
      <c r="W1055" s="9"/>
      <c r="X1055" s="4"/>
      <c r="Y1055" s="6"/>
      <c r="Z1055" s="4"/>
      <c r="AA1055" s="23"/>
      <c r="AB1055" s="24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10"/>
      <c r="AU1055" s="9"/>
    </row>
    <row r="1056" spans="1:47">
      <c r="A1056" s="4"/>
      <c r="B1056" s="4"/>
      <c r="C1056" s="5"/>
      <c r="D1056" s="5"/>
      <c r="E1056" s="6"/>
      <c r="F1056" s="4"/>
      <c r="G1056" s="6"/>
      <c r="H1056" s="7"/>
      <c r="I1056" s="2"/>
      <c r="J1056" s="2"/>
      <c r="K1056" s="2"/>
      <c r="L1056" s="2"/>
      <c r="M1056" s="2"/>
      <c r="N1056" s="2"/>
      <c r="O1056" s="2"/>
      <c r="P1056" s="2"/>
      <c r="Q1056" s="2"/>
      <c r="R1056" s="9"/>
      <c r="S1056" s="4"/>
      <c r="T1056" s="9"/>
      <c r="U1056" s="9"/>
      <c r="V1056" s="9"/>
      <c r="W1056" s="9"/>
      <c r="X1056" s="4"/>
      <c r="Y1056" s="6"/>
      <c r="Z1056" s="4"/>
      <c r="AA1056" s="23"/>
      <c r="AB1056" s="24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10"/>
      <c r="AU1056" s="9"/>
    </row>
    <row r="1057" spans="1:47">
      <c r="A1057" s="4"/>
      <c r="B1057" s="4"/>
      <c r="C1057" s="5"/>
      <c r="D1057" s="5"/>
      <c r="E1057" s="6"/>
      <c r="F1057" s="4"/>
      <c r="G1057" s="6"/>
      <c r="H1057" s="7"/>
      <c r="I1057" s="2"/>
      <c r="J1057" s="2"/>
      <c r="K1057" s="2"/>
      <c r="L1057" s="2"/>
      <c r="M1057" s="2"/>
      <c r="N1057" s="2"/>
      <c r="O1057" s="2"/>
      <c r="P1057" s="2"/>
      <c r="Q1057" s="2"/>
      <c r="R1057" s="9"/>
      <c r="S1057" s="4"/>
      <c r="T1057" s="9"/>
      <c r="U1057" s="9"/>
      <c r="V1057" s="9"/>
      <c r="W1057" s="9"/>
      <c r="X1057" s="4"/>
      <c r="Y1057" s="6"/>
      <c r="Z1057" s="4"/>
      <c r="AA1057" s="23"/>
      <c r="AB1057" s="24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10"/>
      <c r="AU1057" s="9"/>
    </row>
    <row r="1058" spans="1:47">
      <c r="A1058" s="4"/>
      <c r="B1058" s="4"/>
      <c r="C1058" s="5"/>
      <c r="D1058" s="5"/>
      <c r="E1058" s="6"/>
      <c r="F1058" s="4"/>
      <c r="G1058" s="6"/>
      <c r="H1058" s="7"/>
      <c r="I1058" s="2"/>
      <c r="J1058" s="2"/>
      <c r="K1058" s="2"/>
      <c r="L1058" s="2"/>
      <c r="M1058" s="2"/>
      <c r="N1058" s="2"/>
      <c r="O1058" s="2"/>
      <c r="P1058" s="2"/>
      <c r="Q1058" s="2"/>
      <c r="R1058" s="9"/>
      <c r="S1058" s="4"/>
      <c r="T1058" s="9"/>
      <c r="U1058" s="9"/>
      <c r="V1058" s="9"/>
      <c r="W1058" s="9"/>
      <c r="X1058" s="4"/>
      <c r="Y1058" s="6"/>
      <c r="Z1058" s="4"/>
      <c r="AA1058" s="23"/>
      <c r="AB1058" s="24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10"/>
      <c r="AU1058" s="9"/>
    </row>
    <row r="1059" spans="1:47">
      <c r="A1059" s="4"/>
      <c r="B1059" s="4"/>
      <c r="C1059" s="5"/>
      <c r="D1059" s="5"/>
      <c r="E1059" s="6"/>
      <c r="F1059" s="4"/>
      <c r="G1059" s="6"/>
      <c r="H1059" s="7"/>
      <c r="I1059" s="2"/>
      <c r="J1059" s="2"/>
      <c r="K1059" s="2"/>
      <c r="L1059" s="2"/>
      <c r="M1059" s="2"/>
      <c r="N1059" s="2"/>
      <c r="O1059" s="2"/>
      <c r="P1059" s="2"/>
      <c r="Q1059" s="2"/>
      <c r="R1059" s="9"/>
      <c r="S1059" s="4"/>
      <c r="T1059" s="9"/>
      <c r="U1059" s="9"/>
      <c r="V1059" s="9"/>
      <c r="W1059" s="9"/>
      <c r="X1059" s="4"/>
      <c r="Y1059" s="6"/>
      <c r="Z1059" s="4"/>
      <c r="AA1059" s="23"/>
      <c r="AB1059" s="24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10"/>
      <c r="AU1059" s="9"/>
    </row>
    <row r="1060" spans="1:47">
      <c r="A1060" s="4"/>
      <c r="B1060" s="4"/>
      <c r="C1060" s="5"/>
      <c r="D1060" s="5"/>
      <c r="E1060" s="6"/>
      <c r="F1060" s="4"/>
      <c r="G1060" s="6"/>
      <c r="H1060" s="7"/>
      <c r="I1060" s="2"/>
      <c r="J1060" s="2"/>
      <c r="K1060" s="2"/>
      <c r="L1060" s="2"/>
      <c r="M1060" s="2"/>
      <c r="N1060" s="2"/>
      <c r="O1060" s="2"/>
      <c r="P1060" s="2"/>
      <c r="Q1060" s="2"/>
      <c r="R1060" s="9"/>
      <c r="S1060" s="4"/>
      <c r="T1060" s="9"/>
      <c r="U1060" s="9"/>
      <c r="V1060" s="9"/>
      <c r="W1060" s="9"/>
      <c r="X1060" s="4"/>
      <c r="Y1060" s="6"/>
      <c r="Z1060" s="4"/>
      <c r="AA1060" s="23"/>
      <c r="AB1060" s="24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10"/>
      <c r="AU1060" s="9"/>
    </row>
    <row r="1061" spans="1:47">
      <c r="A1061" s="4"/>
      <c r="B1061" s="4"/>
      <c r="C1061" s="5"/>
      <c r="D1061" s="5"/>
      <c r="E1061" s="6"/>
      <c r="F1061" s="4"/>
      <c r="G1061" s="6"/>
      <c r="H1061" s="7"/>
      <c r="I1061" s="2"/>
      <c r="J1061" s="2"/>
      <c r="K1061" s="2"/>
      <c r="L1061" s="2"/>
      <c r="M1061" s="2"/>
      <c r="N1061" s="2"/>
      <c r="O1061" s="2"/>
      <c r="P1061" s="2"/>
      <c r="Q1061" s="2"/>
      <c r="R1061" s="9"/>
      <c r="S1061" s="4"/>
      <c r="T1061" s="9"/>
      <c r="U1061" s="9"/>
      <c r="V1061" s="9"/>
      <c r="W1061" s="9"/>
      <c r="X1061" s="4"/>
      <c r="Y1061" s="6"/>
      <c r="Z1061" s="4"/>
      <c r="AA1061" s="23"/>
      <c r="AB1061" s="24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10"/>
      <c r="AU1061" s="9"/>
    </row>
    <row r="1062" spans="1:47">
      <c r="A1062" s="4"/>
      <c r="B1062" s="4"/>
      <c r="C1062" s="5"/>
      <c r="D1062" s="5"/>
      <c r="E1062" s="6"/>
      <c r="F1062" s="4"/>
      <c r="G1062" s="6"/>
      <c r="H1062" s="7"/>
      <c r="I1062" s="2"/>
      <c r="J1062" s="2"/>
      <c r="K1062" s="2"/>
      <c r="L1062" s="2"/>
      <c r="M1062" s="2"/>
      <c r="N1062" s="2"/>
      <c r="O1062" s="2"/>
      <c r="P1062" s="2"/>
      <c r="Q1062" s="2"/>
      <c r="R1062" s="9"/>
      <c r="S1062" s="4"/>
      <c r="T1062" s="9"/>
      <c r="U1062" s="9"/>
      <c r="V1062" s="9"/>
      <c r="W1062" s="9"/>
      <c r="X1062" s="4"/>
      <c r="Y1062" s="6"/>
      <c r="Z1062" s="4"/>
      <c r="AA1062" s="23"/>
      <c r="AB1062" s="24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10"/>
      <c r="AU1062" s="9"/>
    </row>
    <row r="1063" spans="1:47">
      <c r="A1063" s="4"/>
      <c r="B1063" s="4"/>
      <c r="C1063" s="5"/>
      <c r="D1063" s="5"/>
      <c r="E1063" s="6"/>
      <c r="F1063" s="4"/>
      <c r="G1063" s="6"/>
      <c r="H1063" s="7"/>
      <c r="I1063" s="2"/>
      <c r="J1063" s="2"/>
      <c r="K1063" s="2"/>
      <c r="L1063" s="2"/>
      <c r="M1063" s="2"/>
      <c r="N1063" s="2"/>
      <c r="O1063" s="2"/>
      <c r="P1063" s="2"/>
      <c r="Q1063" s="2"/>
      <c r="R1063" s="9"/>
      <c r="S1063" s="4"/>
      <c r="T1063" s="9"/>
      <c r="U1063" s="9"/>
      <c r="V1063" s="9"/>
      <c r="W1063" s="9"/>
      <c r="X1063" s="4"/>
      <c r="Y1063" s="6"/>
      <c r="Z1063" s="4"/>
      <c r="AA1063" s="23"/>
      <c r="AB1063" s="24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10"/>
      <c r="AU1063" s="9"/>
    </row>
    <row r="1064" spans="1:47">
      <c r="A1064" s="4"/>
      <c r="B1064" s="4"/>
      <c r="C1064" s="5"/>
      <c r="D1064" s="5"/>
      <c r="E1064" s="6"/>
      <c r="F1064" s="4"/>
      <c r="G1064" s="6"/>
      <c r="H1064" s="7"/>
      <c r="I1064" s="2"/>
      <c r="J1064" s="2"/>
      <c r="K1064" s="2"/>
      <c r="L1064" s="2"/>
      <c r="M1064" s="2"/>
      <c r="N1064" s="2"/>
      <c r="O1064" s="2"/>
      <c r="P1064" s="2"/>
      <c r="Q1064" s="2"/>
      <c r="R1064" s="9"/>
      <c r="S1064" s="4"/>
      <c r="T1064" s="9"/>
      <c r="U1064" s="9"/>
      <c r="V1064" s="9"/>
      <c r="W1064" s="9"/>
      <c r="X1064" s="4"/>
      <c r="Y1064" s="6"/>
      <c r="Z1064" s="4"/>
      <c r="AA1064" s="23"/>
      <c r="AB1064" s="24"/>
      <c r="AC1064" s="2"/>
      <c r="AD1064" s="2"/>
      <c r="AE1064" s="25"/>
      <c r="AF1064" s="24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10"/>
      <c r="AU1064" s="9"/>
    </row>
    <row r="1065" spans="1:47">
      <c r="A1065" s="4"/>
      <c r="B1065" s="4"/>
      <c r="C1065" s="5"/>
      <c r="D1065" s="5"/>
      <c r="E1065" s="6"/>
      <c r="F1065" s="4"/>
      <c r="G1065" s="6"/>
      <c r="H1065" s="7"/>
      <c r="I1065" s="2"/>
      <c r="J1065" s="2"/>
      <c r="K1065" s="2"/>
      <c r="L1065" s="2"/>
      <c r="M1065" s="2"/>
      <c r="N1065" s="2"/>
      <c r="O1065" s="2"/>
      <c r="P1065" s="2"/>
      <c r="Q1065" s="2"/>
      <c r="R1065" s="9"/>
      <c r="S1065" s="4"/>
      <c r="T1065" s="9"/>
      <c r="U1065" s="9"/>
      <c r="V1065" s="9"/>
      <c r="W1065" s="9"/>
      <c r="X1065" s="4"/>
      <c r="Y1065" s="6"/>
      <c r="Z1065" s="4"/>
      <c r="AA1065" s="23"/>
      <c r="AB1065" s="24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10"/>
      <c r="AU1065" s="9"/>
    </row>
    <row r="1066" spans="1:47">
      <c r="A1066" s="4"/>
      <c r="B1066" s="4"/>
      <c r="C1066" s="5"/>
      <c r="D1066" s="5"/>
      <c r="E1066" s="6"/>
      <c r="F1066" s="4"/>
      <c r="G1066" s="6"/>
      <c r="H1066" s="7"/>
      <c r="I1066" s="2"/>
      <c r="J1066" s="2"/>
      <c r="K1066" s="2"/>
      <c r="L1066" s="2"/>
      <c r="M1066" s="2"/>
      <c r="N1066" s="2"/>
      <c r="O1066" s="2"/>
      <c r="P1066" s="2"/>
      <c r="Q1066" s="2"/>
      <c r="R1066" s="9"/>
      <c r="S1066" s="4"/>
      <c r="T1066" s="9"/>
      <c r="U1066" s="9"/>
      <c r="V1066" s="9"/>
      <c r="W1066" s="9"/>
      <c r="X1066" s="4"/>
      <c r="Y1066" s="6"/>
      <c r="Z1066" s="4"/>
      <c r="AA1066" s="23"/>
      <c r="AB1066" s="24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10"/>
      <c r="AU1066" s="9"/>
    </row>
    <row r="1067" spans="1:47">
      <c r="A1067" s="4"/>
      <c r="B1067" s="4"/>
      <c r="C1067" s="5"/>
      <c r="D1067" s="5"/>
      <c r="E1067" s="6"/>
      <c r="F1067" s="4"/>
      <c r="G1067" s="6"/>
      <c r="H1067" s="7"/>
      <c r="I1067" s="2"/>
      <c r="J1067" s="2"/>
      <c r="K1067" s="2"/>
      <c r="L1067" s="2"/>
      <c r="M1067" s="2"/>
      <c r="N1067" s="2"/>
      <c r="O1067" s="2"/>
      <c r="P1067" s="2"/>
      <c r="Q1067" s="2"/>
      <c r="R1067" s="9"/>
      <c r="S1067" s="4"/>
      <c r="T1067" s="9"/>
      <c r="U1067" s="9"/>
      <c r="V1067" s="9"/>
      <c r="W1067" s="9"/>
      <c r="X1067" s="4"/>
      <c r="Y1067" s="6"/>
      <c r="Z1067" s="4"/>
      <c r="AA1067" s="23"/>
      <c r="AB1067" s="24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10"/>
      <c r="AU1067" s="9"/>
    </row>
    <row r="1068" spans="1:47">
      <c r="A1068" s="4"/>
      <c r="B1068" s="4"/>
      <c r="C1068" s="5"/>
      <c r="D1068" s="5"/>
      <c r="E1068" s="6"/>
      <c r="F1068" s="4"/>
      <c r="G1068" s="6"/>
      <c r="H1068" s="7"/>
      <c r="I1068" s="2"/>
      <c r="J1068" s="2"/>
      <c r="K1068" s="2"/>
      <c r="L1068" s="2"/>
      <c r="M1068" s="2"/>
      <c r="N1068" s="2"/>
      <c r="O1068" s="2"/>
      <c r="P1068" s="2"/>
      <c r="Q1068" s="2"/>
      <c r="R1068" s="9"/>
      <c r="S1068" s="4"/>
      <c r="T1068" s="9"/>
      <c r="U1068" s="9"/>
      <c r="V1068" s="9"/>
      <c r="W1068" s="9"/>
      <c r="X1068" s="4"/>
      <c r="Y1068" s="6"/>
      <c r="Z1068" s="4"/>
      <c r="AA1068" s="23"/>
      <c r="AB1068" s="24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10"/>
      <c r="AU1068" s="9"/>
    </row>
    <row r="1069" spans="1:47">
      <c r="A1069" s="4"/>
      <c r="B1069" s="4"/>
      <c r="C1069" s="5"/>
      <c r="D1069" s="5"/>
      <c r="E1069" s="6"/>
      <c r="F1069" s="4"/>
      <c r="G1069" s="6"/>
      <c r="H1069" s="7"/>
      <c r="I1069" s="2"/>
      <c r="J1069" s="2"/>
      <c r="K1069" s="2"/>
      <c r="L1069" s="2"/>
      <c r="M1069" s="2"/>
      <c r="N1069" s="2"/>
      <c r="O1069" s="2"/>
      <c r="P1069" s="2"/>
      <c r="Q1069" s="2"/>
      <c r="R1069" s="9"/>
      <c r="S1069" s="4"/>
      <c r="T1069" s="9"/>
      <c r="U1069" s="9"/>
      <c r="V1069" s="9"/>
      <c r="W1069" s="9"/>
      <c r="X1069" s="4"/>
      <c r="Y1069" s="6"/>
      <c r="Z1069" s="4"/>
      <c r="AA1069" s="23"/>
      <c r="AB1069" s="24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10"/>
      <c r="AU1069" s="9"/>
    </row>
    <row r="1070" spans="1:47">
      <c r="A1070" s="4"/>
      <c r="B1070" s="4"/>
      <c r="C1070" s="5"/>
      <c r="D1070" s="5"/>
      <c r="E1070" s="6"/>
      <c r="F1070" s="4"/>
      <c r="G1070" s="6"/>
      <c r="H1070" s="7"/>
      <c r="I1070" s="2"/>
      <c r="J1070" s="2"/>
      <c r="K1070" s="2"/>
      <c r="L1070" s="2"/>
      <c r="M1070" s="2"/>
      <c r="N1070" s="2"/>
      <c r="O1070" s="2"/>
      <c r="P1070" s="2"/>
      <c r="Q1070" s="2"/>
      <c r="R1070" s="9"/>
      <c r="S1070" s="4"/>
      <c r="T1070" s="9"/>
      <c r="U1070" s="9"/>
      <c r="V1070" s="9"/>
      <c r="W1070" s="9"/>
      <c r="X1070" s="4"/>
      <c r="Y1070" s="6"/>
      <c r="Z1070" s="4"/>
      <c r="AA1070" s="23"/>
      <c r="AB1070" s="24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10"/>
      <c r="AU1070" s="9"/>
    </row>
    <row r="1071" spans="1:47">
      <c r="A1071" s="4"/>
      <c r="B1071" s="4"/>
      <c r="C1071" s="5"/>
      <c r="D1071" s="5"/>
      <c r="E1071" s="6"/>
      <c r="F1071" s="4"/>
      <c r="G1071" s="6"/>
      <c r="H1071" s="7"/>
      <c r="I1071" s="2"/>
      <c r="J1071" s="2"/>
      <c r="K1071" s="2"/>
      <c r="L1071" s="2"/>
      <c r="M1071" s="2"/>
      <c r="N1071" s="2"/>
      <c r="O1071" s="2"/>
      <c r="P1071" s="2"/>
      <c r="Q1071" s="2"/>
      <c r="R1071" s="9"/>
      <c r="S1071" s="4"/>
      <c r="T1071" s="9"/>
      <c r="U1071" s="9"/>
      <c r="V1071" s="9"/>
      <c r="W1071" s="9"/>
      <c r="X1071" s="4"/>
      <c r="Y1071" s="6"/>
      <c r="Z1071" s="4"/>
      <c r="AA1071" s="23"/>
      <c r="AB1071" s="24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10"/>
      <c r="AU1071" s="9"/>
    </row>
    <row r="1072" spans="1:47">
      <c r="A1072" s="4"/>
      <c r="B1072" s="4"/>
      <c r="C1072" s="5"/>
      <c r="D1072" s="5"/>
      <c r="E1072" s="6"/>
      <c r="F1072" s="4"/>
      <c r="G1072" s="6"/>
      <c r="H1072" s="7"/>
      <c r="I1072" s="2"/>
      <c r="J1072" s="2"/>
      <c r="K1072" s="2"/>
      <c r="L1072" s="2"/>
      <c r="M1072" s="2"/>
      <c r="N1072" s="2"/>
      <c r="O1072" s="2"/>
      <c r="P1072" s="2"/>
      <c r="Q1072" s="2"/>
      <c r="R1072" s="9"/>
      <c r="S1072" s="4"/>
      <c r="T1072" s="9"/>
      <c r="U1072" s="9"/>
      <c r="V1072" s="9"/>
      <c r="W1072" s="9"/>
      <c r="X1072" s="4"/>
      <c r="Y1072" s="6"/>
      <c r="Z1072" s="4"/>
      <c r="AA1072" s="23"/>
      <c r="AB1072" s="24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10"/>
      <c r="AU1072" s="9"/>
    </row>
    <row r="1073" spans="1:47">
      <c r="A1073" s="4"/>
      <c r="B1073" s="4"/>
      <c r="C1073" s="5"/>
      <c r="D1073" s="5"/>
      <c r="E1073" s="6"/>
      <c r="F1073" s="4"/>
      <c r="G1073" s="6"/>
      <c r="H1073" s="7"/>
      <c r="I1073" s="2"/>
      <c r="J1073" s="2"/>
      <c r="K1073" s="2"/>
      <c r="L1073" s="2"/>
      <c r="M1073" s="2"/>
      <c r="N1073" s="2"/>
      <c r="O1073" s="2"/>
      <c r="P1073" s="2"/>
      <c r="Q1073" s="2"/>
      <c r="R1073" s="9"/>
      <c r="S1073" s="4"/>
      <c r="T1073" s="9"/>
      <c r="U1073" s="9"/>
      <c r="V1073" s="9"/>
      <c r="W1073" s="9"/>
      <c r="X1073" s="4"/>
      <c r="Y1073" s="6"/>
      <c r="Z1073" s="4"/>
      <c r="AA1073" s="23"/>
      <c r="AB1073" s="24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10"/>
      <c r="AU1073" s="9"/>
    </row>
    <row r="1074" spans="1:47">
      <c r="A1074" s="4"/>
      <c r="B1074" s="4"/>
      <c r="C1074" s="5"/>
      <c r="D1074" s="5"/>
      <c r="E1074" s="6"/>
      <c r="F1074" s="4"/>
      <c r="G1074" s="6"/>
      <c r="H1074" s="7"/>
      <c r="I1074" s="2"/>
      <c r="J1074" s="2"/>
      <c r="K1074" s="2"/>
      <c r="L1074" s="2"/>
      <c r="M1074" s="2"/>
      <c r="N1074" s="2"/>
      <c r="O1074" s="2"/>
      <c r="P1074" s="2"/>
      <c r="Q1074" s="2"/>
      <c r="R1074" s="9"/>
      <c r="S1074" s="4"/>
      <c r="T1074" s="9"/>
      <c r="U1074" s="9"/>
      <c r="V1074" s="9"/>
      <c r="W1074" s="9"/>
      <c r="X1074" s="4"/>
      <c r="Y1074" s="6"/>
      <c r="Z1074" s="4"/>
      <c r="AA1074" s="23"/>
      <c r="AB1074" s="24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10"/>
      <c r="AU1074" s="9"/>
    </row>
    <row r="1075" spans="1:47">
      <c r="A1075" s="4"/>
      <c r="B1075" s="4"/>
      <c r="C1075" s="5"/>
      <c r="D1075" s="5"/>
      <c r="E1075" s="6"/>
      <c r="F1075" s="4"/>
      <c r="G1075" s="6"/>
      <c r="H1075" s="7"/>
      <c r="I1075" s="2"/>
      <c r="J1075" s="2"/>
      <c r="K1075" s="2"/>
      <c r="L1075" s="2"/>
      <c r="M1075" s="2"/>
      <c r="N1075" s="2"/>
      <c r="O1075" s="2"/>
      <c r="P1075" s="2"/>
      <c r="Q1075" s="2"/>
      <c r="R1075" s="9"/>
      <c r="S1075" s="4"/>
      <c r="T1075" s="9"/>
      <c r="U1075" s="9"/>
      <c r="V1075" s="9"/>
      <c r="W1075" s="9"/>
      <c r="X1075" s="4"/>
      <c r="Y1075" s="6"/>
      <c r="Z1075" s="4"/>
      <c r="AA1075" s="23"/>
      <c r="AB1075" s="24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10"/>
      <c r="AU1075" s="9"/>
    </row>
    <row r="1076" spans="1:47">
      <c r="A1076" s="4"/>
      <c r="B1076" s="4"/>
      <c r="C1076" s="5"/>
      <c r="D1076" s="5"/>
      <c r="E1076" s="6"/>
      <c r="F1076" s="4"/>
      <c r="G1076" s="6"/>
      <c r="H1076" s="7"/>
      <c r="I1076" s="2"/>
      <c r="J1076" s="2"/>
      <c r="K1076" s="2"/>
      <c r="L1076" s="2"/>
      <c r="M1076" s="2"/>
      <c r="N1076" s="2"/>
      <c r="O1076" s="2"/>
      <c r="P1076" s="2"/>
      <c r="Q1076" s="2"/>
      <c r="R1076" s="9"/>
      <c r="S1076" s="4"/>
      <c r="T1076" s="9"/>
      <c r="U1076" s="9"/>
      <c r="V1076" s="9"/>
      <c r="W1076" s="9"/>
      <c r="X1076" s="4"/>
      <c r="Y1076" s="6"/>
      <c r="Z1076" s="4"/>
      <c r="AA1076" s="23"/>
      <c r="AB1076" s="24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10"/>
      <c r="AU1076" s="9"/>
    </row>
    <row r="1077" spans="1:47">
      <c r="A1077" s="4"/>
      <c r="B1077" s="4"/>
      <c r="C1077" s="5"/>
      <c r="D1077" s="5"/>
      <c r="E1077" s="6"/>
      <c r="F1077" s="4"/>
      <c r="G1077" s="6"/>
      <c r="H1077" s="7"/>
      <c r="I1077" s="2"/>
      <c r="J1077" s="2"/>
      <c r="K1077" s="2"/>
      <c r="L1077" s="2"/>
      <c r="M1077" s="2"/>
      <c r="N1077" s="2"/>
      <c r="O1077" s="2"/>
      <c r="P1077" s="2"/>
      <c r="Q1077" s="2"/>
      <c r="R1077" s="9"/>
      <c r="S1077" s="4"/>
      <c r="T1077" s="9"/>
      <c r="U1077" s="9"/>
      <c r="V1077" s="9"/>
      <c r="W1077" s="9"/>
      <c r="X1077" s="4"/>
      <c r="Y1077" s="6"/>
      <c r="Z1077" s="4"/>
      <c r="AA1077" s="23"/>
      <c r="AB1077" s="24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10"/>
      <c r="AU1077" s="9"/>
    </row>
    <row r="1078" spans="1:47">
      <c r="A1078" s="4"/>
      <c r="B1078" s="4"/>
      <c r="C1078" s="5"/>
      <c r="D1078" s="5"/>
      <c r="E1078" s="6"/>
      <c r="F1078" s="4"/>
      <c r="G1078" s="6"/>
      <c r="H1078" s="7"/>
      <c r="I1078" s="2"/>
      <c r="J1078" s="2"/>
      <c r="K1078" s="2"/>
      <c r="L1078" s="2"/>
      <c r="M1078" s="2"/>
      <c r="N1078" s="2"/>
      <c r="O1078" s="2"/>
      <c r="P1078" s="2"/>
      <c r="Q1078" s="2"/>
      <c r="R1078" s="9"/>
      <c r="S1078" s="4"/>
      <c r="T1078" s="9"/>
      <c r="U1078" s="9"/>
      <c r="V1078" s="9"/>
      <c r="W1078" s="9"/>
      <c r="X1078" s="4"/>
      <c r="Y1078" s="6"/>
      <c r="Z1078" s="4"/>
      <c r="AA1078" s="23"/>
      <c r="AB1078" s="24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10"/>
      <c r="AU1078" s="9"/>
    </row>
    <row r="1079" spans="1:47">
      <c r="A1079" s="4"/>
      <c r="B1079" s="4"/>
      <c r="C1079" s="5"/>
      <c r="D1079" s="5"/>
      <c r="E1079" s="6"/>
      <c r="F1079" s="4"/>
      <c r="G1079" s="6"/>
      <c r="H1079" s="7"/>
      <c r="I1079" s="2"/>
      <c r="J1079" s="2"/>
      <c r="K1079" s="2"/>
      <c r="L1079" s="2"/>
      <c r="M1079" s="2"/>
      <c r="N1079" s="2"/>
      <c r="O1079" s="2"/>
      <c r="P1079" s="2"/>
      <c r="Q1079" s="2"/>
      <c r="R1079" s="9"/>
      <c r="S1079" s="4"/>
      <c r="T1079" s="9"/>
      <c r="U1079" s="9"/>
      <c r="V1079" s="9"/>
      <c r="W1079" s="9"/>
      <c r="X1079" s="4"/>
      <c r="Y1079" s="6"/>
      <c r="Z1079" s="4"/>
      <c r="AA1079" s="23"/>
      <c r="AB1079" s="24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10"/>
      <c r="AU1079" s="9"/>
    </row>
    <row r="1080" spans="1:47">
      <c r="A1080" s="4"/>
      <c r="B1080" s="4"/>
      <c r="C1080" s="5"/>
      <c r="D1080" s="5"/>
      <c r="E1080" s="6"/>
      <c r="F1080" s="4"/>
      <c r="G1080" s="6"/>
      <c r="H1080" s="7"/>
      <c r="I1080" s="2"/>
      <c r="J1080" s="2"/>
      <c r="K1080" s="2"/>
      <c r="L1080" s="2"/>
      <c r="M1080" s="2"/>
      <c r="N1080" s="2"/>
      <c r="O1080" s="2"/>
      <c r="P1080" s="2"/>
      <c r="Q1080" s="2"/>
      <c r="R1080" s="9"/>
      <c r="S1080" s="4"/>
      <c r="T1080" s="9"/>
      <c r="U1080" s="9"/>
      <c r="V1080" s="9"/>
      <c r="W1080" s="9"/>
      <c r="X1080" s="4"/>
      <c r="Y1080" s="6"/>
      <c r="Z1080" s="4"/>
      <c r="AA1080" s="23"/>
      <c r="AB1080" s="24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10"/>
      <c r="AU1080" s="9"/>
    </row>
    <row r="1081" spans="1:47">
      <c r="A1081" s="4"/>
      <c r="B1081" s="4"/>
      <c r="C1081" s="5"/>
      <c r="D1081" s="5"/>
      <c r="E1081" s="6"/>
      <c r="F1081" s="4"/>
      <c r="G1081" s="6"/>
      <c r="H1081" s="7"/>
      <c r="I1081" s="2"/>
      <c r="J1081" s="2"/>
      <c r="K1081" s="2"/>
      <c r="L1081" s="2"/>
      <c r="M1081" s="2"/>
      <c r="N1081" s="2"/>
      <c r="O1081" s="2"/>
      <c r="P1081" s="2"/>
      <c r="Q1081" s="2"/>
      <c r="R1081" s="9"/>
      <c r="S1081" s="4"/>
      <c r="T1081" s="9"/>
      <c r="U1081" s="9"/>
      <c r="V1081" s="9"/>
      <c r="W1081" s="9"/>
      <c r="X1081" s="4"/>
      <c r="Y1081" s="6"/>
      <c r="Z1081" s="9"/>
      <c r="AA1081" s="4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10"/>
      <c r="AU1081" s="9"/>
    </row>
    <row r="1082" spans="1:47">
      <c r="A1082" s="4"/>
      <c r="B1082" s="4"/>
      <c r="C1082" s="5"/>
      <c r="D1082" s="5"/>
      <c r="E1082" s="6"/>
      <c r="F1082" s="4"/>
      <c r="G1082" s="6"/>
      <c r="H1082" s="7"/>
      <c r="I1082" s="2"/>
      <c r="J1082" s="2"/>
      <c r="K1082" s="2"/>
      <c r="L1082" s="2"/>
      <c r="M1082" s="2"/>
      <c r="N1082" s="2"/>
      <c r="O1082" s="2"/>
      <c r="P1082" s="2"/>
      <c r="Q1082" s="2"/>
      <c r="R1082" s="9"/>
      <c r="S1082" s="4"/>
      <c r="T1082" s="9"/>
      <c r="U1082" s="9"/>
      <c r="V1082" s="9"/>
      <c r="W1082" s="9"/>
      <c r="X1082" s="4"/>
      <c r="Y1082" s="6"/>
      <c r="Z1082" s="9"/>
      <c r="AA1082" s="4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10"/>
      <c r="AU1082" s="9"/>
    </row>
    <row r="1083" spans="1:47">
      <c r="A1083" s="4"/>
      <c r="B1083" s="4"/>
      <c r="C1083" s="5"/>
      <c r="D1083" s="5"/>
      <c r="E1083" s="6"/>
      <c r="F1083" s="4"/>
      <c r="G1083" s="6"/>
      <c r="H1083" s="7"/>
      <c r="I1083" s="2"/>
      <c r="J1083" s="2"/>
      <c r="K1083" s="2"/>
      <c r="L1083" s="2"/>
      <c r="M1083" s="2"/>
      <c r="N1083" s="2"/>
      <c r="O1083" s="2"/>
      <c r="P1083" s="2"/>
      <c r="Q1083" s="2"/>
      <c r="R1083" s="9"/>
      <c r="S1083" s="4"/>
      <c r="T1083" s="9"/>
      <c r="U1083" s="9"/>
      <c r="V1083" s="9"/>
      <c r="W1083" s="9"/>
      <c r="X1083" s="4"/>
      <c r="Y1083" s="6"/>
      <c r="Z1083" s="9"/>
      <c r="AA1083" s="4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10"/>
      <c r="AU1083" s="9"/>
    </row>
    <row r="1084" spans="1:47">
      <c r="A1084" s="4"/>
      <c r="B1084" s="4"/>
      <c r="C1084" s="5"/>
      <c r="D1084" s="5"/>
      <c r="E1084" s="6"/>
      <c r="F1084" s="4"/>
      <c r="G1084" s="6"/>
      <c r="H1084" s="7"/>
      <c r="I1084" s="2"/>
      <c r="J1084" s="2"/>
      <c r="K1084" s="2"/>
      <c r="L1084" s="2"/>
      <c r="M1084" s="2"/>
      <c r="N1084" s="2"/>
      <c r="O1084" s="2"/>
      <c r="P1084" s="2"/>
      <c r="Q1084" s="2"/>
      <c r="R1084" s="9"/>
      <c r="S1084" s="4"/>
      <c r="T1084" s="9"/>
      <c r="U1084" s="9"/>
      <c r="V1084" s="9"/>
      <c r="W1084" s="9"/>
      <c r="X1084" s="4"/>
      <c r="Y1084" s="6"/>
      <c r="Z1084" s="9"/>
      <c r="AA1084" s="4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10"/>
      <c r="AU1084" s="9"/>
    </row>
    <row r="1085" spans="1:47">
      <c r="A1085" s="4"/>
      <c r="B1085" s="4"/>
      <c r="C1085" s="5"/>
      <c r="D1085" s="5"/>
      <c r="E1085" s="6"/>
      <c r="F1085" s="4"/>
      <c r="G1085" s="6"/>
      <c r="H1085" s="7"/>
      <c r="I1085" s="7"/>
      <c r="J1085" s="7"/>
      <c r="K1085" s="2"/>
      <c r="L1085" s="2"/>
      <c r="M1085" s="2"/>
      <c r="N1085" s="2"/>
      <c r="O1085" s="2"/>
      <c r="P1085" s="2"/>
      <c r="Q1085" s="2"/>
      <c r="R1085" s="9"/>
      <c r="S1085" s="4"/>
      <c r="T1085" s="9"/>
      <c r="U1085" s="9"/>
      <c r="V1085" s="9"/>
      <c r="W1085" s="9"/>
      <c r="X1085" s="4"/>
      <c r="Y1085" s="6"/>
      <c r="Z1085" s="9"/>
      <c r="AA1085" s="4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10"/>
      <c r="AU1085" s="9"/>
    </row>
    <row r="1086" spans="1:47">
      <c r="A1086" s="4"/>
      <c r="B1086" s="4"/>
      <c r="C1086" s="5"/>
      <c r="D1086" s="5"/>
      <c r="E1086" s="6"/>
      <c r="F1086" s="4"/>
      <c r="G1086" s="6"/>
      <c r="H1086" s="7"/>
      <c r="I1086" s="2"/>
      <c r="J1086" s="2"/>
      <c r="K1086" s="2"/>
      <c r="L1086" s="2"/>
      <c r="M1086" s="2"/>
      <c r="N1086" s="2"/>
      <c r="O1086" s="2"/>
      <c r="P1086" s="2"/>
      <c r="Q1086" s="2"/>
      <c r="R1086" s="9"/>
      <c r="S1086" s="4"/>
      <c r="T1086" s="9"/>
      <c r="U1086" s="9"/>
      <c r="V1086" s="9"/>
      <c r="W1086" s="9"/>
      <c r="X1086" s="4"/>
      <c r="Y1086" s="6"/>
      <c r="Z1086" s="4"/>
      <c r="AA1086" s="23"/>
      <c r="AB1086" s="24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10"/>
      <c r="AU1086" s="9"/>
    </row>
    <row r="1087" spans="1:47">
      <c r="A1087" s="4"/>
      <c r="B1087" s="4"/>
      <c r="C1087" s="5"/>
      <c r="D1087" s="5"/>
      <c r="E1087" s="6"/>
      <c r="F1087" s="4"/>
      <c r="G1087" s="6"/>
      <c r="H1087" s="7"/>
      <c r="I1087" s="2"/>
      <c r="J1087" s="2"/>
      <c r="K1087" s="2"/>
      <c r="L1087" s="2"/>
      <c r="M1087" s="2"/>
      <c r="N1087" s="2"/>
      <c r="O1087" s="2"/>
      <c r="P1087" s="2"/>
      <c r="Q1087" s="2"/>
      <c r="R1087" s="9"/>
      <c r="S1087" s="4"/>
      <c r="T1087" s="9"/>
      <c r="U1087" s="9"/>
      <c r="V1087" s="9"/>
      <c r="W1087" s="9"/>
      <c r="X1087" s="4"/>
      <c r="Y1087" s="6"/>
      <c r="Z1087" s="4"/>
      <c r="AA1087" s="23"/>
      <c r="AB1087" s="24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10"/>
      <c r="AU1087" s="9"/>
    </row>
    <row r="1088" spans="1:47">
      <c r="A1088" s="4"/>
      <c r="B1088" s="4"/>
      <c r="C1088" s="5"/>
      <c r="D1088" s="5"/>
      <c r="E1088" s="6"/>
      <c r="F1088" s="4"/>
      <c r="G1088" s="6"/>
      <c r="H1088" s="7"/>
      <c r="I1088" s="7"/>
      <c r="J1088" s="7"/>
      <c r="K1088" s="2"/>
      <c r="L1088" s="2"/>
      <c r="M1088" s="2"/>
      <c r="N1088" s="2"/>
      <c r="O1088" s="2"/>
      <c r="P1088" s="2"/>
      <c r="Q1088" s="2"/>
      <c r="R1088" s="9"/>
      <c r="S1088" s="4"/>
      <c r="T1088" s="9"/>
      <c r="U1088" s="9"/>
      <c r="V1088" s="9"/>
      <c r="W1088" s="9"/>
      <c r="X1088" s="4"/>
      <c r="Y1088" s="6"/>
      <c r="Z1088" s="9"/>
      <c r="AA1088" s="4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10"/>
      <c r="AU1088" s="9"/>
    </row>
    <row r="1089" spans="1:47">
      <c r="A1089" s="4"/>
      <c r="B1089" s="4"/>
      <c r="C1089" s="5"/>
      <c r="D1089" s="5"/>
      <c r="E1089" s="6"/>
      <c r="F1089" s="4"/>
      <c r="G1089" s="6"/>
      <c r="H1089" s="7"/>
      <c r="I1089" s="7"/>
      <c r="J1089" s="7"/>
      <c r="K1089" s="2"/>
      <c r="L1089" s="2"/>
      <c r="M1089" s="2"/>
      <c r="N1089" s="2"/>
      <c r="O1089" s="2"/>
      <c r="P1089" s="2"/>
      <c r="Q1089" s="2"/>
      <c r="R1089" s="9"/>
      <c r="S1089" s="4"/>
      <c r="T1089" s="9"/>
      <c r="U1089" s="9"/>
      <c r="V1089" s="9"/>
      <c r="W1089" s="9"/>
      <c r="X1089" s="4"/>
      <c r="Y1089" s="6"/>
      <c r="Z1089" s="9"/>
      <c r="AA1089" s="4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10"/>
      <c r="AU1089" s="9"/>
    </row>
    <row r="1090" spans="1:47">
      <c r="A1090" s="4"/>
      <c r="B1090" s="4"/>
      <c r="C1090" s="5"/>
      <c r="D1090" s="5"/>
      <c r="E1090" s="6"/>
      <c r="F1090" s="4"/>
      <c r="G1090" s="6"/>
      <c r="H1090" s="7"/>
      <c r="I1090" s="7"/>
      <c r="J1090" s="7"/>
      <c r="K1090" s="7"/>
      <c r="L1090" s="2"/>
      <c r="M1090" s="2"/>
      <c r="N1090" s="2"/>
      <c r="O1090" s="2"/>
      <c r="P1090" s="2"/>
      <c r="Q1090" s="2"/>
      <c r="R1090" s="9"/>
      <c r="S1090" s="4"/>
      <c r="T1090" s="9"/>
      <c r="U1090" s="9"/>
      <c r="V1090" s="9"/>
      <c r="W1090" s="9"/>
      <c r="X1090" s="4"/>
      <c r="Y1090" s="6"/>
      <c r="Z1090" s="9"/>
      <c r="AA1090" s="4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10"/>
      <c r="AU1090" s="9"/>
    </row>
    <row r="1091" spans="1:47">
      <c r="A1091" s="4"/>
      <c r="B1091" s="4"/>
      <c r="C1091" s="5"/>
      <c r="D1091" s="5"/>
      <c r="E1091" s="6"/>
      <c r="F1091" s="4"/>
      <c r="G1091" s="6"/>
      <c r="H1091" s="7"/>
      <c r="I1091" s="2"/>
      <c r="J1091" s="2"/>
      <c r="K1091" s="2"/>
      <c r="L1091" s="2"/>
      <c r="M1091" s="2"/>
      <c r="N1091" s="2"/>
      <c r="O1091" s="2"/>
      <c r="P1091" s="2"/>
      <c r="Q1091" s="2"/>
      <c r="R1091" s="9"/>
      <c r="S1091" s="4"/>
      <c r="T1091" s="9"/>
      <c r="U1091" s="9"/>
      <c r="V1091" s="9"/>
      <c r="W1091" s="9"/>
      <c r="X1091" s="4"/>
      <c r="Y1091" s="6"/>
      <c r="Z1091" s="4"/>
      <c r="AA1091" s="23"/>
      <c r="AB1091" s="24"/>
      <c r="AC1091" s="25"/>
      <c r="AD1091" s="24"/>
      <c r="AE1091" s="2"/>
      <c r="AF1091" s="2"/>
      <c r="AG1091" s="2"/>
      <c r="AH1091" s="2"/>
      <c r="AI1091" s="2"/>
      <c r="AJ1091" s="2"/>
      <c r="AK1091" s="2"/>
      <c r="AL1091" s="25"/>
      <c r="AM1091" s="24"/>
      <c r="AN1091" s="2"/>
      <c r="AO1091" s="2"/>
      <c r="AP1091" s="2"/>
      <c r="AQ1091" s="2"/>
      <c r="AR1091" s="2"/>
      <c r="AS1091" s="2"/>
      <c r="AT1091" s="10"/>
      <c r="AU1091" s="9"/>
    </row>
    <row r="1092" spans="1:47">
      <c r="A1092" s="4"/>
      <c r="B1092" s="4"/>
      <c r="C1092" s="5"/>
      <c r="D1092" s="5"/>
      <c r="E1092" s="6"/>
      <c r="F1092" s="4"/>
      <c r="G1092" s="6"/>
      <c r="H1092" s="7"/>
      <c r="I1092" s="2"/>
      <c r="J1092" s="2"/>
      <c r="K1092" s="2"/>
      <c r="L1092" s="2"/>
      <c r="M1092" s="2"/>
      <c r="N1092" s="2"/>
      <c r="O1092" s="2"/>
      <c r="P1092" s="2"/>
      <c r="Q1092" s="2"/>
      <c r="R1092" s="9"/>
      <c r="S1092" s="4"/>
      <c r="T1092" s="9"/>
      <c r="U1092" s="9"/>
      <c r="V1092" s="9"/>
      <c r="W1092" s="9"/>
      <c r="X1092" s="4"/>
      <c r="Y1092" s="6"/>
      <c r="Z1092" s="4"/>
      <c r="AA1092" s="23"/>
      <c r="AB1092" s="24"/>
      <c r="AC1092" s="25"/>
      <c r="AD1092" s="24"/>
      <c r="AE1092" s="2"/>
      <c r="AF1092" s="2"/>
      <c r="AG1092" s="2"/>
      <c r="AH1092" s="2"/>
      <c r="AI1092" s="2"/>
      <c r="AJ1092" s="2"/>
      <c r="AK1092" s="2"/>
      <c r="AL1092" s="25"/>
      <c r="AM1092" s="24"/>
      <c r="AN1092" s="2"/>
      <c r="AO1092" s="2"/>
      <c r="AP1092" s="2"/>
      <c r="AQ1092" s="2"/>
      <c r="AR1092" s="2"/>
      <c r="AS1092" s="2"/>
      <c r="AT1092" s="10"/>
      <c r="AU1092" s="9"/>
    </row>
    <row r="1093" spans="1:47">
      <c r="A1093" s="4"/>
      <c r="B1093" s="4"/>
      <c r="C1093" s="5"/>
      <c r="D1093" s="5"/>
      <c r="E1093" s="6"/>
      <c r="F1093" s="4"/>
      <c r="G1093" s="6"/>
      <c r="H1093" s="7"/>
      <c r="I1093" s="2"/>
      <c r="J1093" s="2"/>
      <c r="K1093" s="2"/>
      <c r="L1093" s="2"/>
      <c r="M1093" s="2"/>
      <c r="N1093" s="2"/>
      <c r="O1093" s="2"/>
      <c r="P1093" s="2"/>
      <c r="Q1093" s="2"/>
      <c r="R1093" s="9"/>
      <c r="S1093" s="4"/>
      <c r="T1093" s="9"/>
      <c r="U1093" s="9"/>
      <c r="V1093" s="9"/>
      <c r="W1093" s="9"/>
      <c r="X1093" s="4"/>
      <c r="Y1093" s="6"/>
      <c r="Z1093" s="4"/>
      <c r="AA1093" s="23"/>
      <c r="AB1093" s="24"/>
      <c r="AC1093" s="25"/>
      <c r="AD1093" s="24"/>
      <c r="AE1093" s="2"/>
      <c r="AF1093" s="2"/>
      <c r="AG1093" s="2"/>
      <c r="AH1093" s="2"/>
      <c r="AI1093" s="2"/>
      <c r="AJ1093" s="2"/>
      <c r="AK1093" s="2"/>
      <c r="AL1093" s="25"/>
      <c r="AM1093" s="24"/>
      <c r="AN1093" s="2"/>
      <c r="AO1093" s="2"/>
      <c r="AP1093" s="2"/>
      <c r="AQ1093" s="2"/>
      <c r="AR1093" s="2"/>
      <c r="AS1093" s="2"/>
      <c r="AT1093" s="10"/>
      <c r="AU1093" s="9"/>
    </row>
    <row r="1094" spans="1:47">
      <c r="A1094" s="4"/>
      <c r="B1094" s="4"/>
      <c r="C1094" s="5"/>
      <c r="D1094" s="5"/>
      <c r="E1094" s="6"/>
      <c r="F1094" s="4"/>
      <c r="G1094" s="6"/>
      <c r="H1094" s="7"/>
      <c r="I1094" s="2"/>
      <c r="J1094" s="2"/>
      <c r="K1094" s="2"/>
      <c r="L1094" s="2"/>
      <c r="M1094" s="2"/>
      <c r="N1094" s="2"/>
      <c r="O1094" s="2"/>
      <c r="P1094" s="2"/>
      <c r="Q1094" s="2"/>
      <c r="R1094" s="9"/>
      <c r="S1094" s="4"/>
      <c r="T1094" s="9"/>
      <c r="U1094" s="9"/>
      <c r="V1094" s="9"/>
      <c r="W1094" s="9"/>
      <c r="X1094" s="4"/>
      <c r="Y1094" s="6"/>
      <c r="Z1094" s="4"/>
      <c r="AA1094" s="23"/>
      <c r="AB1094" s="24"/>
      <c r="AC1094" s="25"/>
      <c r="AD1094" s="24"/>
      <c r="AE1094" s="2"/>
      <c r="AF1094" s="2"/>
      <c r="AG1094" s="2"/>
      <c r="AH1094" s="2"/>
      <c r="AI1094" s="2"/>
      <c r="AJ1094" s="2"/>
      <c r="AK1094" s="2"/>
      <c r="AL1094" s="25"/>
      <c r="AM1094" s="24"/>
      <c r="AN1094" s="2"/>
      <c r="AO1094" s="2"/>
      <c r="AP1094" s="2"/>
      <c r="AQ1094" s="2"/>
      <c r="AR1094" s="2"/>
      <c r="AS1094" s="2"/>
      <c r="AT1094" s="10"/>
      <c r="AU1094" s="9"/>
    </row>
    <row r="1095" spans="1:47">
      <c r="A1095" s="4"/>
      <c r="B1095" s="4"/>
      <c r="C1095" s="5"/>
      <c r="D1095" s="5"/>
      <c r="E1095" s="6"/>
      <c r="F1095" s="4"/>
      <c r="G1095" s="6"/>
      <c r="H1095" s="7"/>
      <c r="I1095" s="2"/>
      <c r="J1095" s="2"/>
      <c r="K1095" s="2"/>
      <c r="L1095" s="2"/>
      <c r="M1095" s="2"/>
      <c r="N1095" s="2"/>
      <c r="O1095" s="2"/>
      <c r="P1095" s="2"/>
      <c r="Q1095" s="2"/>
      <c r="R1095" s="9"/>
      <c r="S1095" s="4"/>
      <c r="T1095" s="9"/>
      <c r="U1095" s="9"/>
      <c r="V1095" s="9"/>
      <c r="W1095" s="9"/>
      <c r="X1095" s="4"/>
      <c r="Y1095" s="6"/>
      <c r="Z1095" s="4"/>
      <c r="AA1095" s="23"/>
      <c r="AB1095" s="24"/>
      <c r="AC1095" s="25"/>
      <c r="AD1095" s="24"/>
      <c r="AE1095" s="2"/>
      <c r="AF1095" s="2"/>
      <c r="AG1095" s="2"/>
      <c r="AH1095" s="2"/>
      <c r="AI1095" s="2"/>
      <c r="AJ1095" s="2"/>
      <c r="AK1095" s="2"/>
      <c r="AL1095" s="25"/>
      <c r="AM1095" s="24"/>
      <c r="AN1095" s="2"/>
      <c r="AO1095" s="2"/>
      <c r="AP1095" s="2"/>
      <c r="AQ1095" s="2"/>
      <c r="AR1095" s="2"/>
      <c r="AS1095" s="2"/>
      <c r="AT1095" s="10"/>
      <c r="AU1095" s="9"/>
    </row>
    <row r="1096" spans="1:47">
      <c r="A1096" s="4"/>
      <c r="B1096" s="4"/>
      <c r="C1096" s="5"/>
      <c r="D1096" s="5"/>
      <c r="E1096" s="6"/>
      <c r="F1096" s="4"/>
      <c r="G1096" s="6"/>
      <c r="H1096" s="7"/>
      <c r="I1096" s="2"/>
      <c r="J1096" s="2"/>
      <c r="K1096" s="2"/>
      <c r="L1096" s="2"/>
      <c r="M1096" s="2"/>
      <c r="N1096" s="2"/>
      <c r="O1096" s="2"/>
      <c r="P1096" s="2"/>
      <c r="Q1096" s="2"/>
      <c r="R1096" s="9"/>
      <c r="S1096" s="4"/>
      <c r="T1096" s="9"/>
      <c r="U1096" s="9"/>
      <c r="V1096" s="9"/>
      <c r="W1096" s="9"/>
      <c r="X1096" s="4"/>
      <c r="Y1096" s="6"/>
      <c r="Z1096" s="4"/>
      <c r="AA1096" s="23"/>
      <c r="AB1096" s="24"/>
      <c r="AC1096" s="25"/>
      <c r="AD1096" s="24"/>
      <c r="AE1096" s="2"/>
      <c r="AF1096" s="2"/>
      <c r="AG1096" s="2"/>
      <c r="AH1096" s="2"/>
      <c r="AI1096" s="2"/>
      <c r="AJ1096" s="2"/>
      <c r="AK1096" s="2"/>
      <c r="AL1096" s="25"/>
      <c r="AM1096" s="24"/>
      <c r="AN1096" s="2"/>
      <c r="AO1096" s="2"/>
      <c r="AP1096" s="2"/>
      <c r="AQ1096" s="2"/>
      <c r="AR1096" s="2"/>
      <c r="AS1096" s="2"/>
      <c r="AT1096" s="10"/>
      <c r="AU1096" s="9"/>
    </row>
    <row r="1097" spans="1:47">
      <c r="A1097" s="4"/>
      <c r="B1097" s="4"/>
      <c r="C1097" s="5"/>
      <c r="D1097" s="5"/>
      <c r="E1097" s="6"/>
      <c r="F1097" s="4"/>
      <c r="G1097" s="6"/>
      <c r="H1097" s="7"/>
      <c r="I1097" s="2"/>
      <c r="J1097" s="2"/>
      <c r="K1097" s="2"/>
      <c r="L1097" s="2"/>
      <c r="M1097" s="2"/>
      <c r="N1097" s="2"/>
      <c r="O1097" s="2"/>
      <c r="P1097" s="2"/>
      <c r="Q1097" s="2"/>
      <c r="R1097" s="9"/>
      <c r="S1097" s="4"/>
      <c r="T1097" s="9"/>
      <c r="U1097" s="9"/>
      <c r="V1097" s="9"/>
      <c r="W1097" s="9"/>
      <c r="X1097" s="4"/>
      <c r="Y1097" s="6"/>
      <c r="Z1097" s="4"/>
      <c r="AA1097" s="23"/>
      <c r="AB1097" s="24"/>
      <c r="AC1097" s="25"/>
      <c r="AD1097" s="24"/>
      <c r="AE1097" s="2"/>
      <c r="AF1097" s="2"/>
      <c r="AG1097" s="2"/>
      <c r="AH1097" s="2"/>
      <c r="AI1097" s="2"/>
      <c r="AJ1097" s="2"/>
      <c r="AK1097" s="2"/>
      <c r="AL1097" s="25"/>
      <c r="AM1097" s="24"/>
      <c r="AN1097" s="2"/>
      <c r="AO1097" s="2"/>
      <c r="AP1097" s="2"/>
      <c r="AQ1097" s="2"/>
      <c r="AR1097" s="2"/>
      <c r="AS1097" s="2"/>
      <c r="AT1097" s="10"/>
      <c r="AU1097" s="9"/>
    </row>
    <row r="1098" spans="1:47">
      <c r="A1098" s="4"/>
      <c r="B1098" s="4"/>
      <c r="C1098" s="5"/>
      <c r="D1098" s="5"/>
      <c r="E1098" s="6"/>
      <c r="F1098" s="4"/>
      <c r="G1098" s="6"/>
      <c r="H1098" s="7"/>
      <c r="I1098" s="2"/>
      <c r="J1098" s="2"/>
      <c r="K1098" s="2"/>
      <c r="L1098" s="2"/>
      <c r="M1098" s="2"/>
      <c r="N1098" s="2"/>
      <c r="O1098" s="2"/>
      <c r="P1098" s="2"/>
      <c r="Q1098" s="2"/>
      <c r="R1098" s="9"/>
      <c r="S1098" s="4"/>
      <c r="T1098" s="9"/>
      <c r="U1098" s="9"/>
      <c r="V1098" s="9"/>
      <c r="W1098" s="9"/>
      <c r="X1098" s="4"/>
      <c r="Y1098" s="6"/>
      <c r="Z1098" s="4"/>
      <c r="AA1098" s="23"/>
      <c r="AB1098" s="24"/>
      <c r="AC1098" s="25"/>
      <c r="AD1098" s="24"/>
      <c r="AE1098" s="2"/>
      <c r="AF1098" s="2"/>
      <c r="AG1098" s="2"/>
      <c r="AH1098" s="2"/>
      <c r="AI1098" s="2"/>
      <c r="AJ1098" s="2"/>
      <c r="AK1098" s="2"/>
      <c r="AL1098" s="25"/>
      <c r="AM1098" s="24"/>
      <c r="AN1098" s="2"/>
      <c r="AO1098" s="2"/>
      <c r="AP1098" s="2"/>
      <c r="AQ1098" s="2"/>
      <c r="AR1098" s="2"/>
      <c r="AS1098" s="2"/>
      <c r="AT1098" s="10"/>
      <c r="AU1098" s="9"/>
    </row>
    <row r="1099" spans="1:47">
      <c r="A1099" s="4"/>
      <c r="B1099" s="4"/>
      <c r="C1099" s="5"/>
      <c r="D1099" s="5"/>
      <c r="E1099" s="6"/>
      <c r="F1099" s="4"/>
      <c r="G1099" s="6"/>
      <c r="H1099" s="7"/>
      <c r="I1099" s="7"/>
      <c r="J1099" s="7"/>
      <c r="K1099" s="7"/>
      <c r="L1099" s="7"/>
      <c r="M1099" s="2"/>
      <c r="N1099" s="2"/>
      <c r="O1099" s="2"/>
      <c r="P1099" s="2"/>
      <c r="Q1099" s="2"/>
      <c r="R1099" s="9"/>
      <c r="S1099" s="4"/>
      <c r="T1099" s="9"/>
      <c r="U1099" s="9"/>
      <c r="V1099" s="9"/>
      <c r="W1099" s="9"/>
      <c r="X1099" s="4"/>
      <c r="Y1099" s="6"/>
      <c r="Z1099" s="4"/>
      <c r="AA1099" s="23"/>
      <c r="AB1099" s="24"/>
      <c r="AC1099" s="25"/>
      <c r="AD1099" s="24"/>
      <c r="AE1099" s="2"/>
      <c r="AF1099" s="2"/>
      <c r="AG1099" s="2"/>
      <c r="AH1099" s="2"/>
      <c r="AI1099" s="2"/>
      <c r="AJ1099" s="2"/>
      <c r="AK1099" s="2"/>
      <c r="AL1099" s="25"/>
      <c r="AM1099" s="24"/>
      <c r="AN1099" s="2"/>
      <c r="AO1099" s="2"/>
      <c r="AP1099" s="2"/>
      <c r="AQ1099" s="2"/>
      <c r="AR1099" s="2"/>
      <c r="AS1099" s="2"/>
      <c r="AT1099" s="10"/>
      <c r="AU1099" s="9"/>
    </row>
    <row r="1100" spans="1:47">
      <c r="A1100" s="4"/>
      <c r="B1100" s="4"/>
      <c r="C1100" s="5"/>
      <c r="D1100" s="5"/>
      <c r="E1100" s="6"/>
      <c r="F1100" s="4"/>
      <c r="G1100" s="6"/>
      <c r="H1100" s="7"/>
      <c r="I1100" s="2"/>
      <c r="J1100" s="2"/>
      <c r="K1100" s="2"/>
      <c r="L1100" s="2"/>
      <c r="M1100" s="2"/>
      <c r="N1100" s="2"/>
      <c r="O1100" s="2"/>
      <c r="P1100" s="2"/>
      <c r="Q1100" s="2"/>
      <c r="R1100" s="9"/>
      <c r="S1100" s="4"/>
      <c r="T1100" s="9"/>
      <c r="U1100" s="9"/>
      <c r="V1100" s="9"/>
      <c r="W1100" s="9"/>
      <c r="X1100" s="4"/>
      <c r="Y1100" s="6"/>
      <c r="Z1100" s="4"/>
      <c r="AA1100" s="23"/>
      <c r="AB1100" s="24"/>
      <c r="AC1100" s="25"/>
      <c r="AD1100" s="24"/>
      <c r="AE1100" s="2"/>
      <c r="AF1100" s="2"/>
      <c r="AG1100" s="2"/>
      <c r="AH1100" s="2"/>
      <c r="AI1100" s="2"/>
      <c r="AJ1100" s="2"/>
      <c r="AK1100" s="2"/>
      <c r="AL1100" s="25"/>
      <c r="AM1100" s="24"/>
      <c r="AN1100" s="2"/>
      <c r="AO1100" s="2"/>
      <c r="AP1100" s="2"/>
      <c r="AQ1100" s="2"/>
      <c r="AR1100" s="2"/>
      <c r="AS1100" s="2"/>
      <c r="AT1100" s="10"/>
      <c r="AU1100" s="9"/>
    </row>
    <row r="1101" spans="1:47">
      <c r="A1101" s="4"/>
      <c r="B1101" s="4"/>
      <c r="C1101" s="5"/>
      <c r="D1101" s="5"/>
      <c r="E1101" s="6"/>
      <c r="F1101" s="4"/>
      <c r="G1101" s="6"/>
      <c r="H1101" s="7"/>
      <c r="I1101" s="2"/>
      <c r="J1101" s="2"/>
      <c r="K1101" s="2"/>
      <c r="L1101" s="2"/>
      <c r="M1101" s="2"/>
      <c r="N1101" s="2"/>
      <c r="O1101" s="2"/>
      <c r="P1101" s="2"/>
      <c r="Q1101" s="2"/>
      <c r="R1101" s="9"/>
      <c r="S1101" s="4"/>
      <c r="T1101" s="9"/>
      <c r="U1101" s="9"/>
      <c r="V1101" s="9"/>
      <c r="W1101" s="9"/>
      <c r="X1101" s="4"/>
      <c r="Y1101" s="6"/>
      <c r="Z1101" s="4"/>
      <c r="AA1101" s="23"/>
      <c r="AB1101" s="24"/>
      <c r="AC1101" s="25"/>
      <c r="AD1101" s="24"/>
      <c r="AE1101" s="2"/>
      <c r="AF1101" s="2"/>
      <c r="AG1101" s="2"/>
      <c r="AH1101" s="2"/>
      <c r="AI1101" s="2"/>
      <c r="AJ1101" s="2"/>
      <c r="AK1101" s="2"/>
      <c r="AL1101" s="25"/>
      <c r="AM1101" s="24"/>
      <c r="AN1101" s="2"/>
      <c r="AO1101" s="2"/>
      <c r="AP1101" s="2"/>
      <c r="AQ1101" s="2"/>
      <c r="AR1101" s="2"/>
      <c r="AS1101" s="2"/>
      <c r="AT1101" s="10"/>
      <c r="AU1101" s="9"/>
    </row>
    <row r="1102" spans="1:47">
      <c r="A1102" s="4"/>
      <c r="B1102" s="4"/>
      <c r="C1102" s="5"/>
      <c r="D1102" s="5"/>
      <c r="E1102" s="6"/>
      <c r="F1102" s="4"/>
      <c r="G1102" s="6"/>
      <c r="H1102" s="7"/>
      <c r="I1102" s="2"/>
      <c r="J1102" s="2"/>
      <c r="K1102" s="2"/>
      <c r="L1102" s="2"/>
      <c r="M1102" s="2"/>
      <c r="N1102" s="2"/>
      <c r="O1102" s="2"/>
      <c r="P1102" s="2"/>
      <c r="Q1102" s="2"/>
      <c r="R1102" s="9"/>
      <c r="S1102" s="4"/>
      <c r="T1102" s="9"/>
      <c r="U1102" s="9"/>
      <c r="V1102" s="9"/>
      <c r="W1102" s="9"/>
      <c r="X1102" s="4"/>
      <c r="Y1102" s="6"/>
      <c r="Z1102" s="4"/>
      <c r="AA1102" s="23"/>
      <c r="AB1102" s="24"/>
      <c r="AC1102" s="2"/>
      <c r="AD1102" s="2"/>
      <c r="AE1102" s="25"/>
      <c r="AF1102" s="24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10"/>
      <c r="AU1102" s="9"/>
    </row>
    <row r="1103" spans="1:47">
      <c r="A1103" s="4"/>
      <c r="B1103" s="4"/>
      <c r="C1103" s="5"/>
      <c r="D1103" s="5"/>
      <c r="E1103" s="6"/>
      <c r="F1103" s="4"/>
      <c r="G1103" s="6"/>
      <c r="H1103" s="7"/>
      <c r="I1103" s="2"/>
      <c r="J1103" s="2"/>
      <c r="K1103" s="2"/>
      <c r="L1103" s="2"/>
      <c r="M1103" s="2"/>
      <c r="N1103" s="2"/>
      <c r="O1103" s="2"/>
      <c r="P1103" s="2"/>
      <c r="Q1103" s="2"/>
      <c r="R1103" s="9"/>
      <c r="S1103" s="4"/>
      <c r="T1103" s="9"/>
      <c r="U1103" s="9"/>
      <c r="V1103" s="9"/>
      <c r="W1103" s="9"/>
      <c r="X1103" s="4"/>
      <c r="Y1103" s="6"/>
      <c r="Z1103" s="4"/>
      <c r="AA1103" s="23"/>
      <c r="AB1103" s="24"/>
      <c r="AC1103" s="2"/>
      <c r="AD1103" s="2"/>
      <c r="AE1103" s="25"/>
      <c r="AF1103" s="24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10"/>
      <c r="AU1103" s="9"/>
    </row>
    <row r="1104" spans="1:47">
      <c r="A1104" s="4"/>
      <c r="B1104" s="4"/>
      <c r="C1104" s="5"/>
      <c r="D1104" s="5"/>
      <c r="E1104" s="6"/>
      <c r="F1104" s="4"/>
      <c r="G1104" s="6"/>
      <c r="H1104" s="7"/>
      <c r="I1104" s="2"/>
      <c r="J1104" s="2"/>
      <c r="K1104" s="2"/>
      <c r="L1104" s="2"/>
      <c r="M1104" s="2"/>
      <c r="N1104" s="2"/>
      <c r="O1104" s="2"/>
      <c r="P1104" s="2"/>
      <c r="Q1104" s="2"/>
      <c r="R1104" s="9"/>
      <c r="S1104" s="4"/>
      <c r="T1104" s="9"/>
      <c r="U1104" s="9"/>
      <c r="V1104" s="9"/>
      <c r="W1104" s="9"/>
      <c r="X1104" s="4"/>
      <c r="Y1104" s="6"/>
      <c r="Z1104" s="4"/>
      <c r="AA1104" s="23"/>
      <c r="AB1104" s="24"/>
      <c r="AC1104" s="2"/>
      <c r="AD1104" s="2"/>
      <c r="AE1104" s="25"/>
      <c r="AF1104" s="24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10"/>
      <c r="AU1104" s="9"/>
    </row>
    <row r="1105" spans="1:47">
      <c r="A1105" s="4"/>
      <c r="B1105" s="4"/>
      <c r="C1105" s="5"/>
      <c r="D1105" s="5"/>
      <c r="E1105" s="6"/>
      <c r="F1105" s="4"/>
      <c r="G1105" s="6"/>
      <c r="H1105" s="7"/>
      <c r="I1105" s="2"/>
      <c r="J1105" s="2"/>
      <c r="K1105" s="2"/>
      <c r="L1105" s="2"/>
      <c r="M1105" s="2"/>
      <c r="N1105" s="2"/>
      <c r="O1105" s="2"/>
      <c r="P1105" s="2"/>
      <c r="Q1105" s="2"/>
      <c r="R1105" s="9"/>
      <c r="S1105" s="4"/>
      <c r="T1105" s="9"/>
      <c r="U1105" s="9"/>
      <c r="V1105" s="9"/>
      <c r="W1105" s="9"/>
      <c r="X1105" s="4"/>
      <c r="Y1105" s="6"/>
      <c r="Z1105" s="4"/>
      <c r="AA1105" s="23"/>
      <c r="AB1105" s="24"/>
      <c r="AC1105" s="2"/>
      <c r="AD1105" s="2"/>
      <c r="AE1105" s="25"/>
      <c r="AF1105" s="24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10"/>
      <c r="AU1105" s="9"/>
    </row>
    <row r="1106" spans="1:47">
      <c r="A1106" s="4"/>
      <c r="B1106" s="4"/>
      <c r="C1106" s="5"/>
      <c r="D1106" s="5"/>
      <c r="E1106" s="6"/>
      <c r="F1106" s="4"/>
      <c r="G1106" s="6"/>
      <c r="H1106" s="7"/>
      <c r="I1106" s="2"/>
      <c r="J1106" s="2"/>
      <c r="K1106" s="2"/>
      <c r="L1106" s="2"/>
      <c r="M1106" s="2"/>
      <c r="N1106" s="2"/>
      <c r="O1106" s="2"/>
      <c r="P1106" s="2"/>
      <c r="Q1106" s="2"/>
      <c r="R1106" s="9"/>
      <c r="S1106" s="4"/>
      <c r="T1106" s="9"/>
      <c r="U1106" s="9"/>
      <c r="V1106" s="9"/>
      <c r="W1106" s="9"/>
      <c r="X1106" s="4"/>
      <c r="Y1106" s="6"/>
      <c r="Z1106" s="4"/>
      <c r="AA1106" s="23"/>
      <c r="AB1106" s="24"/>
      <c r="AC1106" s="25"/>
      <c r="AD1106" s="24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10"/>
      <c r="AU1106" s="9"/>
    </row>
    <row r="1107" spans="1:47">
      <c r="A1107" s="4"/>
      <c r="B1107" s="4"/>
      <c r="C1107" s="5"/>
      <c r="D1107" s="5"/>
      <c r="E1107" s="6"/>
      <c r="F1107" s="4"/>
      <c r="G1107" s="6"/>
      <c r="H1107" s="7"/>
      <c r="I1107" s="2"/>
      <c r="J1107" s="2"/>
      <c r="K1107" s="2"/>
      <c r="L1107" s="2"/>
      <c r="M1107" s="2"/>
      <c r="N1107" s="2"/>
      <c r="O1107" s="2"/>
      <c r="P1107" s="2"/>
      <c r="Q1107" s="2"/>
      <c r="R1107" s="9"/>
      <c r="S1107" s="4"/>
      <c r="T1107" s="9"/>
      <c r="U1107" s="9"/>
      <c r="V1107" s="9"/>
      <c r="W1107" s="9"/>
      <c r="X1107" s="4"/>
      <c r="Y1107" s="6"/>
      <c r="Z1107" s="4"/>
      <c r="AA1107" s="23"/>
      <c r="AB1107" s="24"/>
      <c r="AC1107" s="2"/>
      <c r="AD1107" s="2"/>
      <c r="AE1107" s="25"/>
      <c r="AF1107" s="24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10"/>
      <c r="AU1107" s="9"/>
    </row>
    <row r="1108" spans="1:47">
      <c r="A1108" s="4"/>
      <c r="B1108" s="4"/>
      <c r="C1108" s="5"/>
      <c r="D1108" s="5"/>
      <c r="E1108" s="6"/>
      <c r="F1108" s="4"/>
      <c r="G1108" s="6"/>
      <c r="H1108" s="7"/>
      <c r="I1108" s="2"/>
      <c r="J1108" s="2"/>
      <c r="K1108" s="2"/>
      <c r="L1108" s="2"/>
      <c r="M1108" s="2"/>
      <c r="N1108" s="2"/>
      <c r="O1108" s="2"/>
      <c r="P1108" s="2"/>
      <c r="Q1108" s="2"/>
      <c r="R1108" s="9"/>
      <c r="S1108" s="4"/>
      <c r="T1108" s="9"/>
      <c r="U1108" s="9"/>
      <c r="V1108" s="9"/>
      <c r="W1108" s="9"/>
      <c r="X1108" s="4"/>
      <c r="Y1108" s="6"/>
      <c r="Z1108" s="4"/>
      <c r="AA1108" s="23"/>
      <c r="AB1108" s="24"/>
      <c r="AC1108" s="25"/>
      <c r="AD1108" s="24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10"/>
      <c r="AU1108" s="9"/>
    </row>
    <row r="1109" spans="1:47">
      <c r="A1109" s="4"/>
      <c r="B1109" s="4"/>
      <c r="C1109" s="5"/>
      <c r="D1109" s="5"/>
      <c r="E1109" s="6"/>
      <c r="F1109" s="4"/>
      <c r="G1109" s="6"/>
      <c r="H1109" s="7"/>
      <c r="I1109" s="2"/>
      <c r="J1109" s="2"/>
      <c r="K1109" s="2"/>
      <c r="L1109" s="2"/>
      <c r="M1109" s="2"/>
      <c r="N1109" s="2"/>
      <c r="O1109" s="2"/>
      <c r="P1109" s="2"/>
      <c r="Q1109" s="2"/>
      <c r="R1109" s="9"/>
      <c r="S1109" s="4"/>
      <c r="T1109" s="9"/>
      <c r="U1109" s="9"/>
      <c r="V1109" s="9"/>
      <c r="W1109" s="9"/>
      <c r="X1109" s="4"/>
      <c r="Y1109" s="6"/>
      <c r="Z1109" s="4"/>
      <c r="AA1109" s="23"/>
      <c r="AB1109" s="24"/>
      <c r="AC1109" s="25"/>
      <c r="AD1109" s="24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10"/>
      <c r="AU1109" s="9"/>
    </row>
    <row r="1110" spans="1:47">
      <c r="A1110" s="4"/>
      <c r="B1110" s="4"/>
      <c r="C1110" s="5"/>
      <c r="D1110" s="5"/>
      <c r="E1110" s="6"/>
      <c r="F1110" s="4"/>
      <c r="G1110" s="6"/>
      <c r="H1110" s="7"/>
      <c r="I1110" s="2"/>
      <c r="J1110" s="2"/>
      <c r="K1110" s="2"/>
      <c r="L1110" s="2"/>
      <c r="M1110" s="2"/>
      <c r="N1110" s="2"/>
      <c r="O1110" s="2"/>
      <c r="P1110" s="2"/>
      <c r="Q1110" s="2"/>
      <c r="R1110" s="9"/>
      <c r="S1110" s="4"/>
      <c r="T1110" s="9"/>
      <c r="U1110" s="9"/>
      <c r="V1110" s="9"/>
      <c r="W1110" s="9"/>
      <c r="X1110" s="4"/>
      <c r="Y1110" s="6"/>
      <c r="Z1110" s="4"/>
      <c r="AA1110" s="23"/>
      <c r="AB1110" s="24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10"/>
      <c r="AU1110" s="9"/>
    </row>
    <row r="1111" spans="1:47">
      <c r="A1111" s="4"/>
      <c r="B1111" s="4"/>
      <c r="C1111" s="5"/>
      <c r="D1111" s="5"/>
      <c r="E1111" s="6"/>
      <c r="F1111" s="4"/>
      <c r="G1111" s="6"/>
      <c r="H1111" s="7"/>
      <c r="I1111" s="2"/>
      <c r="J1111" s="2"/>
      <c r="K1111" s="2"/>
      <c r="L1111" s="2"/>
      <c r="M1111" s="2"/>
      <c r="N1111" s="2"/>
      <c r="O1111" s="2"/>
      <c r="P1111" s="2"/>
      <c r="Q1111" s="2"/>
      <c r="R1111" s="9"/>
      <c r="S1111" s="4"/>
      <c r="T1111" s="9"/>
      <c r="U1111" s="9"/>
      <c r="V1111" s="9"/>
      <c r="W1111" s="9"/>
      <c r="X1111" s="4"/>
      <c r="Y1111" s="6"/>
      <c r="Z1111" s="4"/>
      <c r="AA1111" s="23"/>
      <c r="AB1111" s="24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10"/>
      <c r="AU1111" s="9"/>
    </row>
    <row r="1112" spans="1:47">
      <c r="A1112" s="4"/>
      <c r="B1112" s="4"/>
      <c r="C1112" s="5"/>
      <c r="D1112" s="5"/>
      <c r="E1112" s="6"/>
      <c r="F1112" s="4"/>
      <c r="G1112" s="6"/>
      <c r="H1112" s="7"/>
      <c r="I1112" s="2"/>
      <c r="J1112" s="2"/>
      <c r="K1112" s="2"/>
      <c r="L1112" s="2"/>
      <c r="M1112" s="2"/>
      <c r="N1112" s="2"/>
      <c r="O1112" s="2"/>
      <c r="P1112" s="2"/>
      <c r="Q1112" s="2"/>
      <c r="R1112" s="9"/>
      <c r="S1112" s="4"/>
      <c r="T1112" s="9"/>
      <c r="U1112" s="9"/>
      <c r="V1112" s="9"/>
      <c r="W1112" s="9"/>
      <c r="X1112" s="4"/>
      <c r="Y1112" s="6"/>
      <c r="Z1112" s="4"/>
      <c r="AA1112" s="23"/>
      <c r="AB1112" s="24"/>
      <c r="AC1112" s="25"/>
      <c r="AD1112" s="24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10"/>
      <c r="AU1112" s="9"/>
    </row>
    <row r="1113" spans="1:47">
      <c r="A1113" s="4"/>
      <c r="B1113" s="4"/>
      <c r="C1113" s="5"/>
      <c r="D1113" s="5"/>
      <c r="E1113" s="6"/>
      <c r="F1113" s="4"/>
      <c r="G1113" s="6"/>
      <c r="H1113" s="7"/>
      <c r="I1113" s="2"/>
      <c r="J1113" s="2"/>
      <c r="K1113" s="2"/>
      <c r="L1113" s="2"/>
      <c r="M1113" s="2"/>
      <c r="N1113" s="2"/>
      <c r="O1113" s="2"/>
      <c r="P1113" s="2"/>
      <c r="Q1113" s="2"/>
      <c r="R1113" s="9"/>
      <c r="S1113" s="4"/>
      <c r="T1113" s="9"/>
      <c r="U1113" s="9"/>
      <c r="V1113" s="9"/>
      <c r="W1113" s="9"/>
      <c r="X1113" s="4"/>
      <c r="Y1113" s="6"/>
      <c r="Z1113" s="4"/>
      <c r="AA1113" s="23"/>
      <c r="AB1113" s="24"/>
      <c r="AC1113" s="25"/>
      <c r="AD1113" s="24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10"/>
      <c r="AU1113" s="9"/>
    </row>
    <row r="1114" spans="1:47">
      <c r="A1114" s="4"/>
      <c r="B1114" s="4"/>
      <c r="C1114" s="5"/>
      <c r="D1114" s="5"/>
      <c r="E1114" s="6"/>
      <c r="F1114" s="4"/>
      <c r="G1114" s="6"/>
      <c r="H1114" s="7"/>
      <c r="I1114" s="7"/>
      <c r="J1114" s="7"/>
      <c r="K1114" s="7"/>
      <c r="L1114" s="7"/>
      <c r="M1114" s="2"/>
      <c r="N1114" s="2"/>
      <c r="O1114" s="2"/>
      <c r="P1114" s="2"/>
      <c r="Q1114" s="2"/>
      <c r="R1114" s="9"/>
      <c r="S1114" s="4"/>
      <c r="T1114" s="9"/>
      <c r="U1114" s="9"/>
      <c r="V1114" s="9"/>
      <c r="W1114" s="9"/>
      <c r="X1114" s="4"/>
      <c r="Y1114" s="6"/>
      <c r="Z1114" s="9"/>
      <c r="AA1114" s="4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10"/>
      <c r="AU1114" s="9"/>
    </row>
    <row r="1115" spans="1:47">
      <c r="A1115" s="4"/>
      <c r="B1115" s="4"/>
      <c r="C1115" s="5"/>
      <c r="D1115" s="5"/>
      <c r="E1115" s="6"/>
      <c r="F1115" s="4"/>
      <c r="G1115" s="6"/>
      <c r="H1115" s="7"/>
      <c r="I1115" s="7"/>
      <c r="J1115" s="7"/>
      <c r="K1115" s="7"/>
      <c r="L1115" s="7"/>
      <c r="M1115" s="2"/>
      <c r="N1115" s="2"/>
      <c r="O1115" s="2"/>
      <c r="P1115" s="2"/>
      <c r="Q1115" s="2"/>
      <c r="R1115" s="9"/>
      <c r="S1115" s="4"/>
      <c r="T1115" s="9"/>
      <c r="U1115" s="9"/>
      <c r="V1115" s="9"/>
      <c r="W1115" s="9"/>
      <c r="X1115" s="4"/>
      <c r="Y1115" s="6"/>
      <c r="Z1115" s="9"/>
      <c r="AA1115" s="4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10"/>
      <c r="AU1115" s="9"/>
    </row>
    <row r="1116" spans="1:47">
      <c r="A1116" s="4"/>
      <c r="B1116" s="4"/>
      <c r="C1116" s="5"/>
      <c r="D1116" s="5"/>
      <c r="E1116" s="6"/>
      <c r="F1116" s="4"/>
      <c r="G1116" s="6"/>
      <c r="H1116" s="7"/>
      <c r="I1116" s="7"/>
      <c r="J1116" s="7"/>
      <c r="K1116" s="7"/>
      <c r="L1116" s="7"/>
      <c r="M1116" s="2"/>
      <c r="N1116" s="2"/>
      <c r="O1116" s="2"/>
      <c r="P1116" s="2"/>
      <c r="Q1116" s="2"/>
      <c r="R1116" s="9"/>
      <c r="S1116" s="4"/>
      <c r="T1116" s="9"/>
      <c r="U1116" s="9"/>
      <c r="V1116" s="9"/>
      <c r="W1116" s="9"/>
      <c r="X1116" s="4"/>
      <c r="Y1116" s="6"/>
      <c r="Z1116" s="9"/>
      <c r="AA1116" s="4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10"/>
      <c r="AU1116" s="9"/>
    </row>
    <row r="1117" spans="1:47">
      <c r="A1117" s="4"/>
      <c r="B1117" s="4"/>
      <c r="C1117" s="5"/>
      <c r="D1117" s="5"/>
      <c r="E1117" s="6"/>
      <c r="F1117" s="4"/>
      <c r="G1117" s="6"/>
      <c r="H1117" s="7"/>
      <c r="I1117" s="7"/>
      <c r="J1117" s="2"/>
      <c r="K1117" s="2"/>
      <c r="L1117" s="2"/>
      <c r="M1117" s="2"/>
      <c r="N1117" s="2"/>
      <c r="O1117" s="2"/>
      <c r="P1117" s="2"/>
      <c r="Q1117" s="2"/>
      <c r="R1117" s="9"/>
      <c r="S1117" s="4"/>
      <c r="T1117" s="9"/>
      <c r="U1117" s="9"/>
      <c r="V1117" s="9"/>
      <c r="W1117" s="9"/>
      <c r="X1117" s="4"/>
      <c r="Y1117" s="6"/>
      <c r="Z1117" s="9"/>
      <c r="AA1117" s="4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10"/>
      <c r="AU1117" s="9"/>
    </row>
    <row r="1118" spans="1:47">
      <c r="A1118" s="4"/>
      <c r="B1118" s="4"/>
      <c r="C1118" s="5"/>
      <c r="D1118" s="5"/>
      <c r="E1118" s="6"/>
      <c r="F1118" s="4"/>
      <c r="G1118" s="6"/>
      <c r="H1118" s="7"/>
      <c r="I1118" s="7"/>
      <c r="J1118" s="2"/>
      <c r="K1118" s="2"/>
      <c r="L1118" s="2"/>
      <c r="M1118" s="2"/>
      <c r="N1118" s="2"/>
      <c r="O1118" s="2"/>
      <c r="P1118" s="2"/>
      <c r="Q1118" s="2"/>
      <c r="R1118" s="9"/>
      <c r="S1118" s="4"/>
      <c r="T1118" s="9"/>
      <c r="U1118" s="9"/>
      <c r="V1118" s="9"/>
      <c r="W1118" s="9"/>
      <c r="X1118" s="4"/>
      <c r="Y1118" s="6"/>
      <c r="Z1118" s="9"/>
      <c r="AA1118" s="4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10"/>
      <c r="AU1118" s="9"/>
    </row>
    <row r="1119" spans="1:47">
      <c r="A1119" s="4"/>
      <c r="B1119" s="4"/>
      <c r="C1119" s="5"/>
      <c r="D1119" s="5"/>
      <c r="E1119" s="6"/>
      <c r="F1119" s="4"/>
      <c r="G1119" s="6"/>
      <c r="H1119" s="7"/>
      <c r="I1119" s="7"/>
      <c r="J1119" s="7"/>
      <c r="K1119" s="7"/>
      <c r="L1119" s="2"/>
      <c r="M1119" s="2"/>
      <c r="N1119" s="2"/>
      <c r="O1119" s="2"/>
      <c r="P1119" s="2"/>
      <c r="Q1119" s="2"/>
      <c r="R1119" s="9"/>
      <c r="S1119" s="4"/>
      <c r="T1119" s="9"/>
      <c r="U1119" s="9"/>
      <c r="V1119" s="9"/>
      <c r="W1119" s="9"/>
      <c r="X1119" s="4"/>
      <c r="Y1119" s="6"/>
      <c r="Z1119" s="9"/>
      <c r="AA1119" s="4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10"/>
      <c r="AU1119" s="9"/>
    </row>
    <row r="1120" spans="1:47">
      <c r="A1120" s="4"/>
      <c r="B1120" s="4"/>
      <c r="C1120" s="5"/>
      <c r="D1120" s="5"/>
      <c r="E1120" s="6"/>
      <c r="F1120" s="4"/>
      <c r="G1120" s="6"/>
      <c r="H1120" s="7"/>
      <c r="I1120" s="2"/>
      <c r="J1120" s="2"/>
      <c r="K1120" s="2"/>
      <c r="L1120" s="2"/>
      <c r="M1120" s="2"/>
      <c r="N1120" s="2"/>
      <c r="O1120" s="2"/>
      <c r="P1120" s="2"/>
      <c r="Q1120" s="2"/>
      <c r="R1120" s="9"/>
      <c r="S1120" s="4"/>
      <c r="T1120" s="9"/>
      <c r="U1120" s="9"/>
      <c r="V1120" s="9"/>
      <c r="W1120" s="9"/>
      <c r="X1120" s="4"/>
      <c r="Y1120" s="6"/>
      <c r="Z1120" s="4"/>
      <c r="AA1120" s="23"/>
      <c r="AB1120" s="24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10"/>
      <c r="AU1120" s="9"/>
    </row>
    <row r="1121" spans="1:47">
      <c r="A1121" s="4"/>
      <c r="B1121" s="4"/>
      <c r="C1121" s="5"/>
      <c r="D1121" s="5"/>
      <c r="E1121" s="6"/>
      <c r="F1121" s="4"/>
      <c r="G1121" s="6"/>
      <c r="H1121" s="7"/>
      <c r="I1121" s="2"/>
      <c r="J1121" s="2"/>
      <c r="K1121" s="2"/>
      <c r="L1121" s="2"/>
      <c r="M1121" s="2"/>
      <c r="N1121" s="2"/>
      <c r="O1121" s="2"/>
      <c r="P1121" s="2"/>
      <c r="Q1121" s="2"/>
      <c r="R1121" s="9"/>
      <c r="S1121" s="4"/>
      <c r="T1121" s="9"/>
      <c r="U1121" s="9"/>
      <c r="V1121" s="9"/>
      <c r="W1121" s="9"/>
      <c r="X1121" s="4"/>
      <c r="Y1121" s="6"/>
      <c r="Z1121" s="4"/>
      <c r="AA1121" s="23"/>
      <c r="AB1121" s="24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10"/>
      <c r="AU1121" s="9"/>
    </row>
    <row r="1122" spans="1:47">
      <c r="A1122" s="4"/>
      <c r="B1122" s="4"/>
      <c r="C1122" s="5"/>
      <c r="D1122" s="5"/>
      <c r="E1122" s="6"/>
      <c r="F1122" s="4"/>
      <c r="G1122" s="6"/>
      <c r="H1122" s="7"/>
      <c r="I1122" s="2"/>
      <c r="J1122" s="2"/>
      <c r="K1122" s="2"/>
      <c r="L1122" s="2"/>
      <c r="M1122" s="2"/>
      <c r="N1122" s="2"/>
      <c r="O1122" s="2"/>
      <c r="P1122" s="2"/>
      <c r="Q1122" s="2"/>
      <c r="R1122" s="9"/>
      <c r="S1122" s="4"/>
      <c r="T1122" s="9"/>
      <c r="U1122" s="9"/>
      <c r="V1122" s="9"/>
      <c r="W1122" s="9"/>
      <c r="X1122" s="4"/>
      <c r="Y1122" s="6"/>
      <c r="Z1122" s="4"/>
      <c r="AA1122" s="23"/>
      <c r="AB1122" s="24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10"/>
      <c r="AU1122" s="9"/>
    </row>
    <row r="1123" spans="1:47">
      <c r="A1123" s="4"/>
      <c r="B1123" s="4"/>
      <c r="C1123" s="5"/>
      <c r="D1123" s="5"/>
      <c r="E1123" s="6"/>
      <c r="F1123" s="4"/>
      <c r="G1123" s="6"/>
      <c r="H1123" s="7"/>
      <c r="I1123" s="2"/>
      <c r="J1123" s="2"/>
      <c r="K1123" s="2"/>
      <c r="L1123" s="2"/>
      <c r="M1123" s="2"/>
      <c r="N1123" s="2"/>
      <c r="O1123" s="2"/>
      <c r="P1123" s="2"/>
      <c r="Q1123" s="2"/>
      <c r="R1123" s="9"/>
      <c r="S1123" s="4"/>
      <c r="T1123" s="9"/>
      <c r="U1123" s="9"/>
      <c r="V1123" s="9"/>
      <c r="W1123" s="9"/>
      <c r="X1123" s="4"/>
      <c r="Y1123" s="6"/>
      <c r="Z1123" s="4"/>
      <c r="AA1123" s="23"/>
      <c r="AB1123" s="24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10"/>
      <c r="AU1123" s="9"/>
    </row>
    <row r="1124" spans="1:47">
      <c r="A1124" s="4"/>
      <c r="B1124" s="4"/>
      <c r="C1124" s="5"/>
      <c r="D1124" s="5"/>
      <c r="E1124" s="6"/>
      <c r="F1124" s="4"/>
      <c r="G1124" s="6"/>
      <c r="H1124" s="7"/>
      <c r="I1124" s="7"/>
      <c r="J1124" s="7"/>
      <c r="K1124" s="7"/>
      <c r="L1124" s="7"/>
      <c r="M1124" s="2"/>
      <c r="N1124" s="2"/>
      <c r="O1124" s="2"/>
      <c r="P1124" s="2"/>
      <c r="Q1124" s="2"/>
      <c r="R1124" s="9"/>
      <c r="S1124" s="4"/>
      <c r="T1124" s="9"/>
      <c r="U1124" s="9"/>
      <c r="V1124" s="9"/>
      <c r="W1124" s="9"/>
      <c r="X1124" s="4"/>
      <c r="Y1124" s="6"/>
      <c r="Z1124" s="4"/>
      <c r="AA1124" s="23"/>
      <c r="AB1124" s="24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10"/>
      <c r="AU1124" s="9"/>
    </row>
    <row r="1125" spans="1:47">
      <c r="A1125" s="4"/>
      <c r="B1125" s="4"/>
      <c r="C1125" s="5"/>
      <c r="D1125" s="5"/>
      <c r="E1125" s="6"/>
      <c r="F1125" s="4"/>
      <c r="G1125" s="6"/>
      <c r="H1125" s="7"/>
      <c r="I1125" s="2"/>
      <c r="J1125" s="2"/>
      <c r="K1125" s="2"/>
      <c r="L1125" s="2"/>
      <c r="M1125" s="2"/>
      <c r="N1125" s="2"/>
      <c r="O1125" s="2"/>
      <c r="P1125" s="2"/>
      <c r="Q1125" s="2"/>
      <c r="R1125" s="9"/>
      <c r="S1125" s="4"/>
      <c r="T1125" s="9"/>
      <c r="U1125" s="9"/>
      <c r="V1125" s="9"/>
      <c r="W1125" s="9"/>
      <c r="X1125" s="4"/>
      <c r="Y1125" s="6"/>
      <c r="Z1125" s="4"/>
      <c r="AA1125" s="23"/>
      <c r="AB1125" s="24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10"/>
      <c r="AU1125" s="9"/>
    </row>
    <row r="1126" spans="1:47">
      <c r="A1126" s="4"/>
      <c r="B1126" s="4"/>
      <c r="C1126" s="5"/>
      <c r="D1126" s="5"/>
      <c r="E1126" s="6"/>
      <c r="F1126" s="4"/>
      <c r="G1126" s="6"/>
      <c r="H1126" s="7"/>
      <c r="I1126" s="2"/>
      <c r="J1126" s="2"/>
      <c r="K1126" s="2"/>
      <c r="L1126" s="2"/>
      <c r="M1126" s="2"/>
      <c r="N1126" s="2"/>
      <c r="O1126" s="2"/>
      <c r="P1126" s="2"/>
      <c r="Q1126" s="2"/>
      <c r="R1126" s="9"/>
      <c r="S1126" s="4"/>
      <c r="T1126" s="9"/>
      <c r="U1126" s="9"/>
      <c r="V1126" s="9"/>
      <c r="W1126" s="9"/>
      <c r="X1126" s="4"/>
      <c r="Y1126" s="6"/>
      <c r="Z1126" s="4"/>
      <c r="AA1126" s="23"/>
      <c r="AB1126" s="24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10"/>
      <c r="AU1126" s="9"/>
    </row>
    <row r="1127" spans="1:47">
      <c r="A1127" s="4"/>
      <c r="B1127" s="4"/>
      <c r="C1127" s="5"/>
      <c r="D1127" s="5"/>
      <c r="E1127" s="6"/>
      <c r="F1127" s="4"/>
      <c r="G1127" s="6"/>
      <c r="H1127" s="7"/>
      <c r="I1127" s="2"/>
      <c r="J1127" s="2"/>
      <c r="K1127" s="2"/>
      <c r="L1127" s="2"/>
      <c r="M1127" s="2"/>
      <c r="N1127" s="2"/>
      <c r="O1127" s="2"/>
      <c r="P1127" s="2"/>
      <c r="Q1127" s="2"/>
      <c r="R1127" s="9"/>
      <c r="S1127" s="4"/>
      <c r="T1127" s="9"/>
      <c r="U1127" s="9"/>
      <c r="V1127" s="9"/>
      <c r="W1127" s="9"/>
      <c r="X1127" s="4"/>
      <c r="Y1127" s="6"/>
      <c r="Z1127" s="4"/>
      <c r="AA1127" s="23"/>
      <c r="AB1127" s="24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10"/>
      <c r="AU1127" s="9"/>
    </row>
    <row r="1128" spans="1:47">
      <c r="A1128" s="4"/>
      <c r="B1128" s="4"/>
      <c r="C1128" s="5"/>
      <c r="D1128" s="5"/>
      <c r="E1128" s="6"/>
      <c r="F1128" s="4"/>
      <c r="G1128" s="6"/>
      <c r="H1128" s="7"/>
      <c r="I1128" s="2"/>
      <c r="J1128" s="2"/>
      <c r="K1128" s="2"/>
      <c r="L1128" s="2"/>
      <c r="M1128" s="2"/>
      <c r="N1128" s="2"/>
      <c r="O1128" s="2"/>
      <c r="P1128" s="2"/>
      <c r="Q1128" s="2"/>
      <c r="R1128" s="9"/>
      <c r="S1128" s="4"/>
      <c r="T1128" s="9"/>
      <c r="U1128" s="9"/>
      <c r="V1128" s="9"/>
      <c r="W1128" s="9"/>
      <c r="X1128" s="4"/>
      <c r="Y1128" s="6"/>
      <c r="Z1128" s="4"/>
      <c r="AA1128" s="23"/>
      <c r="AB1128" s="24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10"/>
      <c r="AU1128" s="9"/>
    </row>
    <row r="1129" spans="1:47">
      <c r="A1129" s="4"/>
      <c r="B1129" s="4"/>
      <c r="C1129" s="5"/>
      <c r="D1129" s="5"/>
      <c r="E1129" s="6"/>
      <c r="F1129" s="4"/>
      <c r="G1129" s="6"/>
      <c r="H1129" s="7"/>
      <c r="I1129" s="2"/>
      <c r="J1129" s="2"/>
      <c r="K1129" s="2"/>
      <c r="L1129" s="2"/>
      <c r="M1129" s="2"/>
      <c r="N1129" s="2"/>
      <c r="O1129" s="2"/>
      <c r="P1129" s="2"/>
      <c r="Q1129" s="2"/>
      <c r="R1129" s="9"/>
      <c r="S1129" s="4"/>
      <c r="T1129" s="9"/>
      <c r="U1129" s="9"/>
      <c r="V1129" s="9"/>
      <c r="W1129" s="9"/>
      <c r="X1129" s="4"/>
      <c r="Y1129" s="6"/>
      <c r="Z1129" s="4"/>
      <c r="AA1129" s="23"/>
      <c r="AB1129" s="24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10"/>
      <c r="AU1129" s="9"/>
    </row>
    <row r="1130" spans="1:47">
      <c r="A1130" s="4"/>
      <c r="B1130" s="4"/>
      <c r="C1130" s="5"/>
      <c r="D1130" s="5"/>
      <c r="E1130" s="6"/>
      <c r="F1130" s="4"/>
      <c r="G1130" s="6"/>
      <c r="H1130" s="7"/>
      <c r="I1130" s="2"/>
      <c r="J1130" s="2"/>
      <c r="K1130" s="2"/>
      <c r="L1130" s="2"/>
      <c r="M1130" s="2"/>
      <c r="N1130" s="2"/>
      <c r="O1130" s="2"/>
      <c r="P1130" s="2"/>
      <c r="Q1130" s="2"/>
      <c r="R1130" s="9"/>
      <c r="S1130" s="4"/>
      <c r="T1130" s="9"/>
      <c r="U1130" s="9"/>
      <c r="V1130" s="9"/>
      <c r="W1130" s="9"/>
      <c r="X1130" s="4"/>
      <c r="Y1130" s="6"/>
      <c r="Z1130" s="4"/>
      <c r="AA1130" s="23"/>
      <c r="AB1130" s="24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10"/>
      <c r="AU1130" s="9"/>
    </row>
    <row r="1131" spans="1:47">
      <c r="A1131" s="4"/>
      <c r="B1131" s="4"/>
      <c r="C1131" s="5"/>
      <c r="D1131" s="5"/>
      <c r="E1131" s="6"/>
      <c r="F1131" s="4"/>
      <c r="G1131" s="6"/>
      <c r="H1131" s="7"/>
      <c r="I1131" s="2"/>
      <c r="J1131" s="2"/>
      <c r="K1131" s="2"/>
      <c r="L1131" s="2"/>
      <c r="M1131" s="2"/>
      <c r="N1131" s="2"/>
      <c r="O1131" s="2"/>
      <c r="P1131" s="2"/>
      <c r="Q1131" s="2"/>
      <c r="R1131" s="9"/>
      <c r="S1131" s="4"/>
      <c r="T1131" s="9"/>
      <c r="U1131" s="9"/>
      <c r="V1131" s="9"/>
      <c r="W1131" s="9"/>
      <c r="X1131" s="4"/>
      <c r="Y1131" s="6"/>
      <c r="Z1131" s="4"/>
      <c r="AA1131" s="23"/>
      <c r="AB1131" s="24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10"/>
      <c r="AU1131" s="9"/>
    </row>
    <row r="1132" spans="1:47">
      <c r="A1132" s="4"/>
      <c r="B1132" s="4"/>
      <c r="C1132" s="5"/>
      <c r="D1132" s="5"/>
      <c r="E1132" s="6"/>
      <c r="F1132" s="4"/>
      <c r="G1132" s="6"/>
      <c r="H1132" s="7"/>
      <c r="I1132" s="2"/>
      <c r="J1132" s="2"/>
      <c r="K1132" s="2"/>
      <c r="L1132" s="2"/>
      <c r="M1132" s="2"/>
      <c r="N1132" s="2"/>
      <c r="O1132" s="2"/>
      <c r="P1132" s="2"/>
      <c r="Q1132" s="2"/>
      <c r="R1132" s="9"/>
      <c r="S1132" s="4"/>
      <c r="T1132" s="9"/>
      <c r="U1132" s="9"/>
      <c r="V1132" s="9"/>
      <c r="W1132" s="9"/>
      <c r="X1132" s="4"/>
      <c r="Y1132" s="6"/>
      <c r="Z1132" s="4"/>
      <c r="AA1132" s="23"/>
      <c r="AB1132" s="24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10"/>
      <c r="AU1132" s="9"/>
    </row>
    <row r="1133" spans="1:47">
      <c r="A1133" s="4"/>
      <c r="B1133" s="4"/>
      <c r="C1133" s="5"/>
      <c r="D1133" s="5"/>
      <c r="E1133" s="6"/>
      <c r="F1133" s="4"/>
      <c r="G1133" s="6"/>
      <c r="H1133" s="7"/>
      <c r="I1133" s="2"/>
      <c r="J1133" s="2"/>
      <c r="K1133" s="2"/>
      <c r="L1133" s="2"/>
      <c r="M1133" s="2"/>
      <c r="N1133" s="2"/>
      <c r="O1133" s="2"/>
      <c r="P1133" s="2"/>
      <c r="Q1133" s="2"/>
      <c r="R1133" s="9"/>
      <c r="S1133" s="4"/>
      <c r="T1133" s="9"/>
      <c r="U1133" s="9"/>
      <c r="V1133" s="9"/>
      <c r="W1133" s="9"/>
      <c r="X1133" s="4"/>
      <c r="Y1133" s="6"/>
      <c r="Z1133" s="4"/>
      <c r="AA1133" s="23"/>
      <c r="AB1133" s="24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10"/>
      <c r="AU1133" s="9"/>
    </row>
    <row r="1134" spans="1:47">
      <c r="A1134" s="4"/>
      <c r="B1134" s="4"/>
      <c r="C1134" s="5"/>
      <c r="D1134" s="5"/>
      <c r="E1134" s="6"/>
      <c r="F1134" s="4"/>
      <c r="G1134" s="6"/>
      <c r="H1134" s="7"/>
      <c r="I1134" s="2"/>
      <c r="J1134" s="2"/>
      <c r="K1134" s="2"/>
      <c r="L1134" s="2"/>
      <c r="M1134" s="2"/>
      <c r="N1134" s="2"/>
      <c r="O1134" s="2"/>
      <c r="P1134" s="2"/>
      <c r="Q1134" s="2"/>
      <c r="R1134" s="9"/>
      <c r="S1134" s="4"/>
      <c r="T1134" s="9"/>
      <c r="U1134" s="9"/>
      <c r="V1134" s="9"/>
      <c r="W1134" s="9"/>
      <c r="X1134" s="4"/>
      <c r="Y1134" s="6"/>
      <c r="Z1134" s="4"/>
      <c r="AA1134" s="23"/>
      <c r="AB1134" s="24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10"/>
      <c r="AU1134" s="9"/>
    </row>
    <row r="1135" spans="1:47">
      <c r="A1135" s="4"/>
      <c r="B1135" s="4"/>
      <c r="C1135" s="5"/>
      <c r="D1135" s="5"/>
      <c r="E1135" s="6"/>
      <c r="F1135" s="4"/>
      <c r="G1135" s="6"/>
      <c r="H1135" s="7"/>
      <c r="I1135" s="2"/>
      <c r="J1135" s="2"/>
      <c r="K1135" s="2"/>
      <c r="L1135" s="2"/>
      <c r="M1135" s="2"/>
      <c r="N1135" s="2"/>
      <c r="O1135" s="2"/>
      <c r="P1135" s="2"/>
      <c r="Q1135" s="2"/>
      <c r="R1135" s="9"/>
      <c r="S1135" s="4"/>
      <c r="T1135" s="9"/>
      <c r="U1135" s="9"/>
      <c r="V1135" s="9"/>
      <c r="W1135" s="9"/>
      <c r="X1135" s="4"/>
      <c r="Y1135" s="6"/>
      <c r="Z1135" s="4"/>
      <c r="AA1135" s="23"/>
      <c r="AB1135" s="24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10"/>
      <c r="AU1135" s="9"/>
    </row>
    <row r="1136" spans="1:47">
      <c r="A1136" s="4"/>
      <c r="B1136" s="4"/>
      <c r="C1136" s="5"/>
      <c r="D1136" s="5"/>
      <c r="E1136" s="6"/>
      <c r="F1136" s="4"/>
      <c r="G1136" s="6"/>
      <c r="H1136" s="7"/>
      <c r="I1136" s="2"/>
      <c r="J1136" s="2"/>
      <c r="K1136" s="2"/>
      <c r="L1136" s="2"/>
      <c r="M1136" s="2"/>
      <c r="N1136" s="2"/>
      <c r="O1136" s="2"/>
      <c r="P1136" s="2"/>
      <c r="Q1136" s="2"/>
      <c r="R1136" s="9"/>
      <c r="S1136" s="4"/>
      <c r="T1136" s="9"/>
      <c r="U1136" s="9"/>
      <c r="V1136" s="9"/>
      <c r="W1136" s="9"/>
      <c r="X1136" s="4"/>
      <c r="Y1136" s="6"/>
      <c r="Z1136" s="4"/>
      <c r="AA1136" s="23"/>
      <c r="AB1136" s="24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10"/>
      <c r="AU1136" s="9"/>
    </row>
    <row r="1137" spans="1:47">
      <c r="A1137" s="4"/>
      <c r="B1137" s="4"/>
      <c r="C1137" s="5"/>
      <c r="D1137" s="5"/>
      <c r="E1137" s="6"/>
      <c r="F1137" s="4"/>
      <c r="G1137" s="6"/>
      <c r="H1137" s="7"/>
      <c r="I1137" s="2"/>
      <c r="J1137" s="2"/>
      <c r="K1137" s="2"/>
      <c r="L1137" s="2"/>
      <c r="M1137" s="2"/>
      <c r="N1137" s="2"/>
      <c r="O1137" s="2"/>
      <c r="P1137" s="2"/>
      <c r="Q1137" s="2"/>
      <c r="R1137" s="9"/>
      <c r="S1137" s="4"/>
      <c r="T1137" s="9"/>
      <c r="U1137" s="9"/>
      <c r="V1137" s="9"/>
      <c r="W1137" s="9"/>
      <c r="X1137" s="4"/>
      <c r="Y1137" s="6"/>
      <c r="Z1137" s="4"/>
      <c r="AA1137" s="23"/>
      <c r="AB1137" s="24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10"/>
      <c r="AU1137" s="9"/>
    </row>
    <row r="1138" spans="1:47">
      <c r="A1138" s="4"/>
      <c r="B1138" s="4"/>
      <c r="C1138" s="5"/>
      <c r="D1138" s="5"/>
      <c r="E1138" s="6"/>
      <c r="F1138" s="4"/>
      <c r="G1138" s="6"/>
      <c r="H1138" s="7"/>
      <c r="I1138" s="2"/>
      <c r="J1138" s="2"/>
      <c r="K1138" s="2"/>
      <c r="L1138" s="2"/>
      <c r="M1138" s="2"/>
      <c r="N1138" s="2"/>
      <c r="O1138" s="2"/>
      <c r="P1138" s="2"/>
      <c r="Q1138" s="2"/>
      <c r="R1138" s="9"/>
      <c r="S1138" s="4"/>
      <c r="T1138" s="9"/>
      <c r="U1138" s="9"/>
      <c r="V1138" s="9"/>
      <c r="W1138" s="9"/>
      <c r="X1138" s="4"/>
      <c r="Y1138" s="6"/>
      <c r="Z1138" s="4"/>
      <c r="AA1138" s="23"/>
      <c r="AB1138" s="24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5"/>
      <c r="AM1138" s="24"/>
      <c r="AN1138" s="2"/>
      <c r="AO1138" s="2"/>
      <c r="AP1138" s="2"/>
      <c r="AQ1138" s="2"/>
      <c r="AR1138" s="2"/>
      <c r="AS1138" s="2"/>
      <c r="AT1138" s="10"/>
      <c r="AU1138" s="9"/>
    </row>
    <row r="1139" spans="1:47">
      <c r="A1139" s="4"/>
      <c r="B1139" s="4"/>
      <c r="C1139" s="5"/>
      <c r="D1139" s="5"/>
      <c r="E1139" s="6"/>
      <c r="F1139" s="4"/>
      <c r="G1139" s="6"/>
      <c r="H1139" s="7"/>
      <c r="I1139" s="2"/>
      <c r="J1139" s="2"/>
      <c r="K1139" s="2"/>
      <c r="L1139" s="2"/>
      <c r="M1139" s="2"/>
      <c r="N1139" s="2"/>
      <c r="O1139" s="2"/>
      <c r="P1139" s="2"/>
      <c r="Q1139" s="2"/>
      <c r="R1139" s="9"/>
      <c r="S1139" s="4"/>
      <c r="T1139" s="9"/>
      <c r="U1139" s="9"/>
      <c r="V1139" s="9"/>
      <c r="W1139" s="9"/>
      <c r="X1139" s="4"/>
      <c r="Y1139" s="6"/>
      <c r="Z1139" s="4"/>
      <c r="AA1139" s="23"/>
      <c r="AB1139" s="24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5"/>
      <c r="AM1139" s="24"/>
      <c r="AN1139" s="2"/>
      <c r="AO1139" s="2"/>
      <c r="AP1139" s="2"/>
      <c r="AQ1139" s="2"/>
      <c r="AR1139" s="2"/>
      <c r="AS1139" s="2"/>
      <c r="AT1139" s="10"/>
      <c r="AU1139" s="9"/>
    </row>
    <row r="1140" spans="1:47">
      <c r="A1140" s="4"/>
      <c r="B1140" s="4"/>
      <c r="C1140" s="5"/>
      <c r="D1140" s="5"/>
      <c r="E1140" s="6"/>
      <c r="F1140" s="4"/>
      <c r="G1140" s="6"/>
      <c r="H1140" s="7"/>
      <c r="I1140" s="2"/>
      <c r="J1140" s="2"/>
      <c r="K1140" s="2"/>
      <c r="L1140" s="2"/>
      <c r="M1140" s="2"/>
      <c r="N1140" s="2"/>
      <c r="O1140" s="2"/>
      <c r="P1140" s="2"/>
      <c r="Q1140" s="2"/>
      <c r="R1140" s="9"/>
      <c r="S1140" s="4"/>
      <c r="T1140" s="9"/>
      <c r="U1140" s="9"/>
      <c r="V1140" s="9"/>
      <c r="W1140" s="9"/>
      <c r="X1140" s="4"/>
      <c r="Y1140" s="6"/>
      <c r="Z1140" s="4"/>
      <c r="AA1140" s="23"/>
      <c r="AB1140" s="24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5"/>
      <c r="AM1140" s="24"/>
      <c r="AN1140" s="2"/>
      <c r="AO1140" s="2"/>
      <c r="AP1140" s="2"/>
      <c r="AQ1140" s="2"/>
      <c r="AR1140" s="2"/>
      <c r="AS1140" s="2"/>
      <c r="AT1140" s="10"/>
      <c r="AU1140" s="9"/>
    </row>
    <row r="1141" spans="1:47">
      <c r="A1141" s="4"/>
      <c r="B1141" s="4"/>
      <c r="C1141" s="5"/>
      <c r="D1141" s="5"/>
      <c r="E1141" s="6"/>
      <c r="F1141" s="4"/>
      <c r="G1141" s="6"/>
      <c r="H1141" s="7"/>
      <c r="I1141" s="7"/>
      <c r="J1141" s="7"/>
      <c r="K1141" s="7"/>
      <c r="L1141" s="2"/>
      <c r="M1141" s="2"/>
      <c r="N1141" s="2"/>
      <c r="O1141" s="2"/>
      <c r="P1141" s="2"/>
      <c r="Q1141" s="2"/>
      <c r="R1141" s="9"/>
      <c r="S1141" s="4"/>
      <c r="T1141" s="9"/>
      <c r="U1141" s="9"/>
      <c r="V1141" s="9"/>
      <c r="W1141" s="9"/>
      <c r="X1141" s="4"/>
      <c r="Y1141" s="6"/>
      <c r="Z1141" s="9"/>
      <c r="AA1141" s="4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10"/>
      <c r="AU1141" s="9"/>
    </row>
    <row r="1142" spans="1:47">
      <c r="A1142" s="4"/>
      <c r="B1142" s="4"/>
      <c r="C1142" s="5"/>
      <c r="D1142" s="5"/>
      <c r="E1142" s="6"/>
      <c r="F1142" s="4"/>
      <c r="G1142" s="6"/>
      <c r="H1142" s="7"/>
      <c r="I1142" s="7"/>
      <c r="J1142" s="7"/>
      <c r="K1142" s="7"/>
      <c r="L1142" s="7"/>
      <c r="M1142" s="2"/>
      <c r="N1142" s="2"/>
      <c r="O1142" s="2"/>
      <c r="P1142" s="2"/>
      <c r="Q1142" s="2"/>
      <c r="R1142" s="9"/>
      <c r="S1142" s="4"/>
      <c r="T1142" s="9"/>
      <c r="U1142" s="9"/>
      <c r="V1142" s="9"/>
      <c r="W1142" s="9"/>
      <c r="X1142" s="4"/>
      <c r="Y1142" s="6"/>
      <c r="Z1142" s="4"/>
      <c r="AA1142" s="23"/>
      <c r="AB1142" s="24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10"/>
      <c r="AU1142" s="9"/>
    </row>
    <row r="1143" spans="1:47">
      <c r="A1143" s="4"/>
      <c r="B1143" s="4"/>
      <c r="C1143" s="5"/>
      <c r="D1143" s="5"/>
      <c r="E1143" s="6"/>
      <c r="F1143" s="4"/>
      <c r="G1143" s="6"/>
      <c r="H1143" s="7"/>
      <c r="I1143" s="2"/>
      <c r="J1143" s="2"/>
      <c r="K1143" s="2"/>
      <c r="L1143" s="2"/>
      <c r="M1143" s="2"/>
      <c r="N1143" s="2"/>
      <c r="O1143" s="2"/>
      <c r="P1143" s="2"/>
      <c r="Q1143" s="2"/>
      <c r="R1143" s="9"/>
      <c r="S1143" s="4"/>
      <c r="T1143" s="9"/>
      <c r="U1143" s="9"/>
      <c r="V1143" s="9"/>
      <c r="W1143" s="9"/>
      <c r="X1143" s="4"/>
      <c r="Y1143" s="6"/>
      <c r="Z1143" s="4"/>
      <c r="AA1143" s="23"/>
      <c r="AB1143" s="24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10"/>
      <c r="AU1143" s="9"/>
    </row>
    <row r="1144" spans="1:47">
      <c r="A1144" s="4"/>
      <c r="B1144" s="4"/>
      <c r="C1144" s="5"/>
      <c r="D1144" s="5"/>
      <c r="E1144" s="6"/>
      <c r="F1144" s="4"/>
      <c r="G1144" s="6"/>
      <c r="H1144" s="7"/>
      <c r="I1144" s="7"/>
      <c r="J1144" s="7"/>
      <c r="K1144" s="7"/>
      <c r="L1144" s="7"/>
      <c r="M1144" s="2"/>
      <c r="N1144" s="2"/>
      <c r="O1144" s="2"/>
      <c r="P1144" s="2"/>
      <c r="Q1144" s="2"/>
      <c r="R1144" s="9"/>
      <c r="S1144" s="4"/>
      <c r="T1144" s="9"/>
      <c r="U1144" s="9"/>
      <c r="V1144" s="9"/>
      <c r="W1144" s="9"/>
      <c r="X1144" s="4"/>
      <c r="Y1144" s="6"/>
      <c r="Z1144" s="4"/>
      <c r="AA1144" s="23"/>
      <c r="AB1144" s="24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10"/>
      <c r="AU1144" s="9"/>
    </row>
    <row r="1145" spans="1:47">
      <c r="A1145" s="4"/>
      <c r="B1145" s="4"/>
      <c r="C1145" s="5"/>
      <c r="D1145" s="5"/>
      <c r="E1145" s="6"/>
      <c r="F1145" s="4"/>
      <c r="G1145" s="6"/>
      <c r="H1145" s="7"/>
      <c r="I1145" s="2"/>
      <c r="J1145" s="2"/>
      <c r="K1145" s="2"/>
      <c r="L1145" s="2"/>
      <c r="M1145" s="2"/>
      <c r="N1145" s="2"/>
      <c r="O1145" s="2"/>
      <c r="P1145" s="2"/>
      <c r="Q1145" s="2"/>
      <c r="R1145" s="9"/>
      <c r="S1145" s="4"/>
      <c r="T1145" s="9"/>
      <c r="U1145" s="9"/>
      <c r="V1145" s="9"/>
      <c r="W1145" s="9"/>
      <c r="X1145" s="4"/>
      <c r="Y1145" s="6"/>
      <c r="Z1145" s="4"/>
      <c r="AA1145" s="23"/>
      <c r="AB1145" s="24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10"/>
      <c r="AU1145" s="9"/>
    </row>
    <row r="1146" spans="1:47">
      <c r="A1146" s="4"/>
      <c r="B1146" s="4"/>
      <c r="C1146" s="5"/>
      <c r="D1146" s="5"/>
      <c r="E1146" s="6"/>
      <c r="F1146" s="4"/>
      <c r="G1146" s="6"/>
      <c r="H1146" s="7"/>
      <c r="I1146" s="7"/>
      <c r="J1146" s="7"/>
      <c r="K1146" s="7"/>
      <c r="L1146" s="7"/>
      <c r="M1146" s="2"/>
      <c r="N1146" s="2"/>
      <c r="O1146" s="2"/>
      <c r="P1146" s="2"/>
      <c r="Q1146" s="2"/>
      <c r="R1146" s="9"/>
      <c r="S1146" s="4"/>
      <c r="T1146" s="9"/>
      <c r="U1146" s="9"/>
      <c r="V1146" s="9"/>
      <c r="W1146" s="9"/>
      <c r="X1146" s="4"/>
      <c r="Y1146" s="6"/>
      <c r="Z1146" s="9"/>
      <c r="AA1146" s="4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10"/>
      <c r="AU1146" s="9"/>
    </row>
    <row r="1147" spans="1:47">
      <c r="A1147" s="4"/>
      <c r="B1147" s="4"/>
      <c r="C1147" s="5"/>
      <c r="D1147" s="5"/>
      <c r="E1147" s="6"/>
      <c r="F1147" s="4"/>
      <c r="G1147" s="6"/>
      <c r="H1147" s="7"/>
      <c r="I1147" s="2"/>
      <c r="J1147" s="2"/>
      <c r="K1147" s="2"/>
      <c r="L1147" s="2"/>
      <c r="M1147" s="2"/>
      <c r="N1147" s="2"/>
      <c r="O1147" s="2"/>
      <c r="P1147" s="2"/>
      <c r="Q1147" s="2"/>
      <c r="R1147" s="9"/>
      <c r="S1147" s="4"/>
      <c r="T1147" s="9"/>
      <c r="U1147" s="9"/>
      <c r="V1147" s="9"/>
      <c r="W1147" s="9"/>
      <c r="X1147" s="4"/>
      <c r="Y1147" s="6"/>
      <c r="Z1147" s="4"/>
      <c r="AA1147" s="23"/>
      <c r="AB1147" s="24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10"/>
      <c r="AU1147" s="9"/>
    </row>
    <row r="1148" spans="1:47">
      <c r="A1148" s="4"/>
      <c r="B1148" s="4"/>
      <c r="C1148" s="5"/>
      <c r="D1148" s="5"/>
      <c r="E1148" s="6"/>
      <c r="F1148" s="4"/>
      <c r="G1148" s="6"/>
      <c r="H1148" s="7"/>
      <c r="I1148" s="2"/>
      <c r="J1148" s="2"/>
      <c r="K1148" s="2"/>
      <c r="L1148" s="2"/>
      <c r="M1148" s="2"/>
      <c r="N1148" s="2"/>
      <c r="O1148" s="2"/>
      <c r="P1148" s="2"/>
      <c r="Q1148" s="2"/>
      <c r="R1148" s="9"/>
      <c r="S1148" s="4"/>
      <c r="T1148" s="9"/>
      <c r="U1148" s="9"/>
      <c r="V1148" s="9"/>
      <c r="W1148" s="9"/>
      <c r="X1148" s="4"/>
      <c r="Y1148" s="6"/>
      <c r="Z1148" s="4"/>
      <c r="AA1148" s="23"/>
      <c r="AB1148" s="24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10"/>
      <c r="AU1148" s="9"/>
    </row>
    <row r="1149" spans="1:47">
      <c r="A1149" s="4"/>
      <c r="B1149" s="4"/>
      <c r="C1149" s="5"/>
      <c r="D1149" s="5"/>
      <c r="E1149" s="6"/>
      <c r="F1149" s="4"/>
      <c r="G1149" s="6"/>
      <c r="H1149" s="7"/>
      <c r="I1149" s="2"/>
      <c r="J1149" s="2"/>
      <c r="K1149" s="2"/>
      <c r="L1149" s="2"/>
      <c r="M1149" s="2"/>
      <c r="N1149" s="2"/>
      <c r="O1149" s="2"/>
      <c r="P1149" s="2"/>
      <c r="Q1149" s="2"/>
      <c r="R1149" s="9"/>
      <c r="S1149" s="4"/>
      <c r="T1149" s="9"/>
      <c r="U1149" s="9"/>
      <c r="V1149" s="9"/>
      <c r="W1149" s="9"/>
      <c r="X1149" s="4"/>
      <c r="Y1149" s="6"/>
      <c r="Z1149" s="4"/>
      <c r="AA1149" s="23"/>
      <c r="AB1149" s="24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10"/>
      <c r="AU1149" s="9"/>
    </row>
    <row r="1150" spans="1:47">
      <c r="A1150" s="4"/>
      <c r="B1150" s="4"/>
      <c r="C1150" s="5"/>
      <c r="D1150" s="5"/>
      <c r="E1150" s="6"/>
      <c r="F1150" s="4"/>
      <c r="G1150" s="6"/>
      <c r="H1150" s="7"/>
      <c r="I1150" s="2"/>
      <c r="J1150" s="2"/>
      <c r="K1150" s="2"/>
      <c r="L1150" s="2"/>
      <c r="M1150" s="2"/>
      <c r="N1150" s="2"/>
      <c r="O1150" s="2"/>
      <c r="P1150" s="2"/>
      <c r="Q1150" s="2"/>
      <c r="R1150" s="9"/>
      <c r="S1150" s="4"/>
      <c r="T1150" s="9"/>
      <c r="U1150" s="9"/>
      <c r="V1150" s="9"/>
      <c r="W1150" s="9"/>
      <c r="X1150" s="4"/>
      <c r="Y1150" s="6"/>
      <c r="Z1150" s="4"/>
      <c r="AA1150" s="23"/>
      <c r="AB1150" s="24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10"/>
      <c r="AU1150" s="9"/>
    </row>
    <row r="1151" spans="1:47">
      <c r="A1151" s="4"/>
      <c r="B1151" s="4"/>
      <c r="C1151" s="5"/>
      <c r="D1151" s="5"/>
      <c r="E1151" s="6"/>
      <c r="F1151" s="4"/>
      <c r="G1151" s="6"/>
      <c r="H1151" s="7"/>
      <c r="I1151" s="2"/>
      <c r="J1151" s="2"/>
      <c r="K1151" s="2"/>
      <c r="L1151" s="2"/>
      <c r="M1151" s="2"/>
      <c r="N1151" s="2"/>
      <c r="O1151" s="2"/>
      <c r="P1151" s="2"/>
      <c r="Q1151" s="2"/>
      <c r="R1151" s="9"/>
      <c r="S1151" s="4"/>
      <c r="T1151" s="9"/>
      <c r="U1151" s="9"/>
      <c r="V1151" s="9"/>
      <c r="W1151" s="9"/>
      <c r="X1151" s="4"/>
      <c r="Y1151" s="6"/>
      <c r="Z1151" s="4"/>
      <c r="AA1151" s="23"/>
      <c r="AB1151" s="24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10"/>
      <c r="AU1151" s="9"/>
    </row>
    <row r="1152" spans="1:47">
      <c r="A1152" s="4"/>
      <c r="B1152" s="4"/>
      <c r="C1152" s="5"/>
      <c r="D1152" s="5"/>
      <c r="E1152" s="6"/>
      <c r="F1152" s="4"/>
      <c r="G1152" s="6"/>
      <c r="H1152" s="7"/>
      <c r="I1152" s="2"/>
      <c r="J1152" s="2"/>
      <c r="K1152" s="2"/>
      <c r="L1152" s="2"/>
      <c r="M1152" s="2"/>
      <c r="N1152" s="2"/>
      <c r="O1152" s="2"/>
      <c r="P1152" s="2"/>
      <c r="Q1152" s="2"/>
      <c r="R1152" s="9"/>
      <c r="S1152" s="4"/>
      <c r="T1152" s="9"/>
      <c r="U1152" s="9"/>
      <c r="V1152" s="9"/>
      <c r="W1152" s="9"/>
      <c r="X1152" s="4"/>
      <c r="Y1152" s="6"/>
      <c r="Z1152" s="4"/>
      <c r="AA1152" s="23"/>
      <c r="AB1152" s="24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10"/>
      <c r="AU1152" s="9"/>
    </row>
    <row r="1153" spans="1:47">
      <c r="A1153" s="4"/>
      <c r="B1153" s="4"/>
      <c r="C1153" s="5"/>
      <c r="D1153" s="5"/>
      <c r="E1153" s="6"/>
      <c r="F1153" s="4"/>
      <c r="G1153" s="6"/>
      <c r="H1153" s="7"/>
      <c r="I1153" s="2"/>
      <c r="J1153" s="2"/>
      <c r="K1153" s="2"/>
      <c r="L1153" s="2"/>
      <c r="M1153" s="2"/>
      <c r="N1153" s="2"/>
      <c r="O1153" s="2"/>
      <c r="P1153" s="2"/>
      <c r="Q1153" s="2"/>
      <c r="R1153" s="9"/>
      <c r="S1153" s="4"/>
      <c r="T1153" s="9"/>
      <c r="U1153" s="9"/>
      <c r="V1153" s="9"/>
      <c r="W1153" s="9"/>
      <c r="X1153" s="4"/>
      <c r="Y1153" s="6"/>
      <c r="Z1153" s="4"/>
      <c r="AA1153" s="23"/>
      <c r="AB1153" s="24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10"/>
      <c r="AU1153" s="9"/>
    </row>
    <row r="1154" spans="1:47">
      <c r="A1154" s="4"/>
      <c r="B1154" s="4"/>
      <c r="C1154" s="5"/>
      <c r="D1154" s="5"/>
      <c r="E1154" s="6"/>
      <c r="F1154" s="4"/>
      <c r="G1154" s="6"/>
      <c r="H1154" s="7"/>
      <c r="I1154" s="2"/>
      <c r="J1154" s="2"/>
      <c r="K1154" s="2"/>
      <c r="L1154" s="2"/>
      <c r="M1154" s="2"/>
      <c r="N1154" s="2"/>
      <c r="O1154" s="2"/>
      <c r="P1154" s="2"/>
      <c r="Q1154" s="2"/>
      <c r="R1154" s="9"/>
      <c r="S1154" s="4"/>
      <c r="T1154" s="9"/>
      <c r="U1154" s="9"/>
      <c r="V1154" s="9"/>
      <c r="W1154" s="9"/>
      <c r="X1154" s="4"/>
      <c r="Y1154" s="6"/>
      <c r="Z1154" s="4"/>
      <c r="AA1154" s="23"/>
      <c r="AB1154" s="24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10"/>
      <c r="AU1154" s="9"/>
    </row>
    <row r="1155" spans="1:47">
      <c r="A1155" s="4"/>
      <c r="B1155" s="4"/>
      <c r="C1155" s="5"/>
      <c r="D1155" s="5"/>
      <c r="E1155" s="6"/>
      <c r="F1155" s="4"/>
      <c r="G1155" s="6"/>
      <c r="H1155" s="7"/>
      <c r="I1155" s="2"/>
      <c r="J1155" s="2"/>
      <c r="K1155" s="2"/>
      <c r="L1155" s="2"/>
      <c r="M1155" s="2"/>
      <c r="N1155" s="2"/>
      <c r="O1155" s="2"/>
      <c r="P1155" s="2"/>
      <c r="Q1155" s="2"/>
      <c r="R1155" s="9"/>
      <c r="S1155" s="4"/>
      <c r="T1155" s="9"/>
      <c r="U1155" s="9"/>
      <c r="V1155" s="9"/>
      <c r="W1155" s="9"/>
      <c r="X1155" s="4"/>
      <c r="Y1155" s="6"/>
      <c r="Z1155" s="4"/>
      <c r="AA1155" s="23"/>
      <c r="AB1155" s="24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10"/>
      <c r="AU1155" s="9"/>
    </row>
    <row r="1156" spans="1:47">
      <c r="A1156" s="4"/>
      <c r="B1156" s="4"/>
      <c r="C1156" s="5"/>
      <c r="D1156" s="5"/>
      <c r="E1156" s="6"/>
      <c r="F1156" s="4"/>
      <c r="G1156" s="6"/>
      <c r="H1156" s="7"/>
      <c r="I1156" s="2"/>
      <c r="J1156" s="2"/>
      <c r="K1156" s="2"/>
      <c r="L1156" s="2"/>
      <c r="M1156" s="2"/>
      <c r="N1156" s="2"/>
      <c r="O1156" s="2"/>
      <c r="P1156" s="2"/>
      <c r="Q1156" s="2"/>
      <c r="R1156" s="9"/>
      <c r="S1156" s="4"/>
      <c r="T1156" s="9"/>
      <c r="U1156" s="9"/>
      <c r="V1156" s="9"/>
      <c r="W1156" s="9"/>
      <c r="X1156" s="4"/>
      <c r="Y1156" s="6"/>
      <c r="Z1156" s="4"/>
      <c r="AA1156" s="23"/>
      <c r="AB1156" s="24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10"/>
      <c r="AU1156" s="9"/>
    </row>
    <row r="1157" spans="1:47">
      <c r="A1157" s="4"/>
      <c r="B1157" s="12"/>
      <c r="C1157" s="5"/>
      <c r="D1157" s="5"/>
      <c r="E1157" s="6"/>
      <c r="F1157" s="4"/>
      <c r="G1157" s="6"/>
      <c r="H1157" s="7"/>
      <c r="I1157" s="7"/>
      <c r="J1157" s="7"/>
      <c r="K1157" s="7"/>
      <c r="L1157" s="2"/>
      <c r="M1157" s="2"/>
      <c r="N1157" s="2"/>
      <c r="O1157" s="2"/>
      <c r="P1157" s="2"/>
      <c r="Q1157" s="2"/>
      <c r="R1157" s="9"/>
      <c r="S1157" s="4"/>
      <c r="T1157" s="9"/>
      <c r="U1157" s="9"/>
      <c r="V1157" s="9"/>
      <c r="W1157" s="9"/>
      <c r="X1157" s="4"/>
      <c r="Y1157" s="6"/>
      <c r="Z1157" s="9"/>
      <c r="AA1157" s="4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10"/>
      <c r="AU1157" s="9"/>
    </row>
    <row r="1158" spans="1:47">
      <c r="A1158" s="4"/>
      <c r="B1158" s="12"/>
      <c r="C1158" s="5"/>
      <c r="D1158" s="5"/>
      <c r="E1158" s="6"/>
      <c r="F1158" s="4"/>
      <c r="G1158" s="6"/>
      <c r="H1158" s="7"/>
      <c r="I1158" s="7"/>
      <c r="J1158" s="7"/>
      <c r="K1158" s="7"/>
      <c r="L1158" s="2"/>
      <c r="M1158" s="2"/>
      <c r="N1158" s="2"/>
      <c r="O1158" s="2"/>
      <c r="P1158" s="2"/>
      <c r="Q1158" s="2"/>
      <c r="R1158" s="9"/>
      <c r="S1158" s="4"/>
      <c r="T1158" s="9"/>
      <c r="U1158" s="9"/>
      <c r="V1158" s="9"/>
      <c r="W1158" s="9"/>
      <c r="X1158" s="4"/>
      <c r="Y1158" s="6"/>
      <c r="Z1158" s="9"/>
      <c r="AA1158" s="4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10"/>
      <c r="AU1158" s="9"/>
    </row>
    <row r="1159" spans="1:47" ht="15.6">
      <c r="A1159" s="15"/>
      <c r="B1159" s="15"/>
      <c r="C1159" s="15"/>
      <c r="D1159" s="15"/>
      <c r="E1159" s="15"/>
      <c r="F1159" s="15"/>
      <c r="G1159" s="15"/>
      <c r="H1159" s="16"/>
      <c r="I1159" s="16"/>
      <c r="J1159" s="16"/>
      <c r="K1159" s="16"/>
      <c r="L1159" s="16"/>
      <c r="M1159" s="13"/>
      <c r="N1159" s="13"/>
      <c r="O1159" s="13"/>
      <c r="P1159" s="13"/>
      <c r="Q1159" s="13"/>
      <c r="R1159" s="17"/>
      <c r="S1159" s="15"/>
      <c r="T1159" s="18"/>
      <c r="U1159" s="9"/>
      <c r="V1159" s="17"/>
      <c r="W1159" s="9"/>
      <c r="X1159" s="15"/>
      <c r="Y1159" s="19"/>
      <c r="Z1159" s="9"/>
      <c r="AA1159" s="15"/>
      <c r="AB1159" s="16"/>
      <c r="AC1159" s="16"/>
      <c r="AD1159" s="16"/>
      <c r="AE1159" s="16"/>
      <c r="AF1159" s="17"/>
      <c r="AG1159" s="16"/>
      <c r="AH1159" s="16"/>
      <c r="AI1159" s="16"/>
      <c r="AJ1159" s="16"/>
      <c r="AK1159" s="16"/>
      <c r="AL1159" s="16"/>
      <c r="AM1159" s="16"/>
      <c r="AN1159" s="16"/>
      <c r="AO1159" s="16"/>
      <c r="AP1159" s="16"/>
      <c r="AQ1159" s="16"/>
      <c r="AR1159" s="16"/>
      <c r="AS1159" s="16"/>
      <c r="AT1159" s="10"/>
      <c r="AU1159" s="9"/>
    </row>
    <row r="1160" spans="1:47" ht="15.6">
      <c r="A1160" s="15"/>
      <c r="B1160" s="15"/>
      <c r="C1160" s="15"/>
      <c r="D1160" s="15"/>
      <c r="E1160" s="15"/>
      <c r="F1160" s="15"/>
      <c r="G1160" s="15"/>
      <c r="H1160" s="16"/>
      <c r="I1160" s="16"/>
      <c r="J1160" s="16"/>
      <c r="K1160" s="16"/>
      <c r="L1160" s="16"/>
      <c r="M1160" s="13"/>
      <c r="N1160" s="13"/>
      <c r="O1160" s="13"/>
      <c r="P1160" s="13"/>
      <c r="Q1160" s="13"/>
      <c r="R1160" s="17"/>
      <c r="S1160" s="15"/>
      <c r="T1160" s="18"/>
      <c r="U1160" s="9"/>
      <c r="V1160" s="17"/>
      <c r="W1160" s="9"/>
      <c r="X1160" s="15"/>
      <c r="Y1160" s="19"/>
      <c r="Z1160" s="9"/>
      <c r="AA1160" s="15"/>
      <c r="AB1160" s="16"/>
      <c r="AC1160" s="16"/>
      <c r="AD1160" s="16"/>
      <c r="AE1160" s="16"/>
      <c r="AF1160" s="17"/>
      <c r="AG1160" s="16"/>
      <c r="AH1160" s="16"/>
      <c r="AI1160" s="16"/>
      <c r="AJ1160" s="16"/>
      <c r="AK1160" s="16"/>
      <c r="AL1160" s="16"/>
      <c r="AM1160" s="16"/>
      <c r="AN1160" s="16"/>
      <c r="AO1160" s="16"/>
      <c r="AP1160" s="16"/>
      <c r="AQ1160" s="16"/>
      <c r="AR1160" s="16"/>
      <c r="AS1160" s="16"/>
      <c r="AT1160" s="10"/>
      <c r="AU1160" s="9"/>
    </row>
    <row r="1161" spans="1:47" ht="15.6">
      <c r="A1161" s="15"/>
      <c r="B1161" s="15"/>
      <c r="C1161" s="15"/>
      <c r="D1161" s="15"/>
      <c r="E1161" s="15"/>
      <c r="F1161" s="15"/>
      <c r="G1161" s="15"/>
      <c r="H1161" s="16"/>
      <c r="I1161" s="15"/>
      <c r="J1161" s="15"/>
      <c r="K1161" s="15"/>
      <c r="L1161" s="13"/>
      <c r="M1161" s="13"/>
      <c r="N1161" s="13"/>
      <c r="O1161" s="13"/>
      <c r="P1161" s="13"/>
      <c r="Q1161" s="13"/>
      <c r="R1161" s="17"/>
      <c r="S1161" s="15"/>
      <c r="T1161" s="18"/>
      <c r="U1161" s="9"/>
      <c r="V1161" s="17"/>
      <c r="W1161" s="9"/>
      <c r="X1161" s="15"/>
      <c r="Y1161" s="19"/>
      <c r="Z1161" s="9"/>
      <c r="AA1161" s="15"/>
      <c r="AB1161" s="16"/>
      <c r="AC1161" s="16"/>
      <c r="AD1161" s="16"/>
      <c r="AE1161" s="16"/>
      <c r="AF1161" s="17"/>
      <c r="AG1161" s="16"/>
      <c r="AH1161" s="16"/>
      <c r="AI1161" s="16"/>
      <c r="AJ1161" s="16"/>
      <c r="AK1161" s="16"/>
      <c r="AL1161" s="16"/>
      <c r="AM1161" s="16"/>
      <c r="AN1161" s="16"/>
      <c r="AO1161" s="16"/>
      <c r="AP1161" s="16"/>
      <c r="AQ1161" s="16"/>
      <c r="AR1161" s="16"/>
      <c r="AS1161" s="16"/>
      <c r="AT1161" s="10"/>
      <c r="AU1161" s="9"/>
    </row>
    <row r="1162" spans="1:47" ht="15.6">
      <c r="A1162" s="15"/>
      <c r="B1162" s="15"/>
      <c r="C1162" s="15"/>
      <c r="D1162" s="15"/>
      <c r="E1162" s="15"/>
      <c r="F1162" s="15"/>
      <c r="G1162" s="15"/>
      <c r="H1162" s="16"/>
      <c r="I1162" s="15"/>
      <c r="J1162" s="15"/>
      <c r="K1162" s="15"/>
      <c r="L1162" s="13"/>
      <c r="M1162" s="13"/>
      <c r="N1162" s="13"/>
      <c r="O1162" s="13"/>
      <c r="P1162" s="13"/>
      <c r="Q1162" s="13"/>
      <c r="R1162" s="17"/>
      <c r="S1162" s="15"/>
      <c r="T1162" s="18"/>
      <c r="U1162" s="9"/>
      <c r="V1162" s="17"/>
      <c r="W1162" s="9"/>
      <c r="X1162" s="15"/>
      <c r="Y1162" s="19"/>
      <c r="Z1162" s="9"/>
      <c r="AA1162" s="15"/>
      <c r="AB1162" s="16"/>
      <c r="AC1162" s="16"/>
      <c r="AD1162" s="16"/>
      <c r="AE1162" s="16"/>
      <c r="AF1162" s="17"/>
      <c r="AG1162" s="16"/>
      <c r="AH1162" s="16"/>
      <c r="AI1162" s="16"/>
      <c r="AJ1162" s="16"/>
      <c r="AK1162" s="16"/>
      <c r="AL1162" s="16"/>
      <c r="AM1162" s="16"/>
      <c r="AN1162" s="16"/>
      <c r="AO1162" s="16"/>
      <c r="AP1162" s="16"/>
      <c r="AQ1162" s="16"/>
      <c r="AR1162" s="16"/>
      <c r="AS1162" s="16"/>
      <c r="AT1162" s="10"/>
      <c r="AU1162" s="9"/>
    </row>
    <row r="1163" spans="1:47" ht="15.6">
      <c r="A1163" s="15"/>
      <c r="B1163" s="15"/>
      <c r="C1163" s="15"/>
      <c r="D1163" s="15"/>
      <c r="E1163" s="15"/>
      <c r="F1163" s="15"/>
      <c r="G1163" s="15"/>
      <c r="H1163" s="16"/>
      <c r="I1163" s="15"/>
      <c r="J1163" s="15"/>
      <c r="K1163" s="15"/>
      <c r="L1163" s="13"/>
      <c r="M1163" s="13"/>
      <c r="N1163" s="13"/>
      <c r="O1163" s="13"/>
      <c r="P1163" s="13"/>
      <c r="Q1163" s="13"/>
      <c r="R1163" s="17"/>
      <c r="S1163" s="15"/>
      <c r="T1163" s="18"/>
      <c r="U1163" s="9"/>
      <c r="V1163" s="17"/>
      <c r="W1163" s="9"/>
      <c r="X1163" s="15"/>
      <c r="Y1163" s="19"/>
      <c r="Z1163" s="9"/>
      <c r="AA1163" s="15"/>
      <c r="AB1163" s="16"/>
      <c r="AC1163" s="16"/>
      <c r="AD1163" s="16"/>
      <c r="AE1163" s="16"/>
      <c r="AF1163" s="17"/>
      <c r="AG1163" s="16"/>
      <c r="AH1163" s="16"/>
      <c r="AI1163" s="16"/>
      <c r="AJ1163" s="16"/>
      <c r="AK1163" s="16"/>
      <c r="AL1163" s="16"/>
      <c r="AM1163" s="16"/>
      <c r="AN1163" s="16"/>
      <c r="AO1163" s="16"/>
      <c r="AP1163" s="16"/>
      <c r="AQ1163" s="16"/>
      <c r="AR1163" s="16"/>
      <c r="AS1163" s="16"/>
      <c r="AT1163" s="10"/>
      <c r="AU1163" s="9"/>
    </row>
    <row r="1164" spans="1:47" ht="15.6">
      <c r="A1164" s="15"/>
      <c r="B1164" s="15"/>
      <c r="C1164" s="15"/>
      <c r="D1164" s="15"/>
      <c r="E1164" s="15"/>
      <c r="F1164" s="15"/>
      <c r="G1164" s="15"/>
      <c r="H1164" s="16"/>
      <c r="I1164" s="15"/>
      <c r="J1164" s="15"/>
      <c r="K1164" s="15"/>
      <c r="L1164" s="13"/>
      <c r="M1164" s="13"/>
      <c r="N1164" s="13"/>
      <c r="O1164" s="13"/>
      <c r="P1164" s="13"/>
      <c r="Q1164" s="13"/>
      <c r="R1164" s="17"/>
      <c r="S1164" s="15"/>
      <c r="T1164" s="18"/>
      <c r="U1164" s="9"/>
      <c r="V1164" s="17"/>
      <c r="W1164" s="9"/>
      <c r="X1164" s="15"/>
      <c r="Y1164" s="19"/>
      <c r="Z1164" s="9"/>
      <c r="AA1164" s="15"/>
      <c r="AB1164" s="16"/>
      <c r="AC1164" s="16"/>
      <c r="AD1164" s="16"/>
      <c r="AE1164" s="16"/>
      <c r="AF1164" s="17"/>
      <c r="AG1164" s="16"/>
      <c r="AH1164" s="16"/>
      <c r="AI1164" s="16"/>
      <c r="AJ1164" s="16"/>
      <c r="AK1164" s="16"/>
      <c r="AL1164" s="16"/>
      <c r="AM1164" s="16"/>
      <c r="AN1164" s="16"/>
      <c r="AO1164" s="16"/>
      <c r="AP1164" s="16"/>
      <c r="AQ1164" s="16"/>
      <c r="AR1164" s="16"/>
      <c r="AS1164" s="16"/>
      <c r="AT1164" s="10"/>
      <c r="AU1164" s="9"/>
    </row>
    <row r="1165" spans="1:47">
      <c r="A1165" s="15"/>
      <c r="B1165" s="15"/>
      <c r="C1165" s="15"/>
      <c r="D1165" s="15"/>
      <c r="E1165" s="15"/>
      <c r="F1165" s="15"/>
      <c r="G1165" s="15"/>
      <c r="H1165" s="16"/>
      <c r="I1165" s="15"/>
      <c r="J1165" s="15"/>
      <c r="K1165" s="15"/>
      <c r="L1165" s="13"/>
      <c r="M1165" s="13"/>
      <c r="N1165" s="13"/>
      <c r="O1165" s="13"/>
      <c r="P1165" s="13"/>
      <c r="Q1165" s="13"/>
      <c r="R1165" s="17"/>
      <c r="S1165" s="15"/>
      <c r="T1165" s="20"/>
      <c r="U1165" s="9"/>
      <c r="V1165" s="17"/>
      <c r="W1165" s="9"/>
      <c r="X1165" s="15"/>
      <c r="Y1165" s="19"/>
      <c r="Z1165" s="9"/>
      <c r="AA1165" s="15"/>
      <c r="AB1165" s="16"/>
      <c r="AC1165" s="16"/>
      <c r="AD1165" s="16"/>
      <c r="AE1165" s="16"/>
      <c r="AF1165" s="17"/>
      <c r="AG1165" s="16"/>
      <c r="AH1165" s="16"/>
      <c r="AI1165" s="16"/>
      <c r="AJ1165" s="16"/>
      <c r="AK1165" s="16"/>
      <c r="AL1165" s="16"/>
      <c r="AM1165" s="16"/>
      <c r="AN1165" s="16"/>
      <c r="AO1165" s="16"/>
      <c r="AP1165" s="16"/>
      <c r="AQ1165" s="16"/>
      <c r="AR1165" s="16"/>
      <c r="AS1165" s="16"/>
      <c r="AT1165" s="10"/>
      <c r="AU1165" s="9"/>
    </row>
    <row r="1166" spans="1:47" ht="15.6">
      <c r="A1166" s="15"/>
      <c r="B1166" s="15"/>
      <c r="C1166" s="15"/>
      <c r="D1166" s="15"/>
      <c r="E1166" s="15"/>
      <c r="F1166" s="15"/>
      <c r="G1166" s="15"/>
      <c r="H1166" s="16"/>
      <c r="I1166" s="15"/>
      <c r="J1166" s="15"/>
      <c r="K1166" s="15"/>
      <c r="L1166" s="13"/>
      <c r="M1166" s="13"/>
      <c r="N1166" s="13"/>
      <c r="O1166" s="13"/>
      <c r="P1166" s="13"/>
      <c r="Q1166" s="13"/>
      <c r="R1166" s="17"/>
      <c r="S1166" s="15"/>
      <c r="T1166" s="18"/>
      <c r="U1166" s="9"/>
      <c r="V1166" s="17"/>
      <c r="W1166" s="9"/>
      <c r="X1166" s="15"/>
      <c r="Y1166" s="19"/>
      <c r="Z1166" s="9"/>
      <c r="AA1166" s="15"/>
      <c r="AB1166" s="16"/>
      <c r="AC1166" s="16"/>
      <c r="AD1166" s="16"/>
      <c r="AE1166" s="16"/>
      <c r="AF1166" s="17"/>
      <c r="AG1166" s="16"/>
      <c r="AH1166" s="16"/>
      <c r="AI1166" s="16"/>
      <c r="AJ1166" s="16"/>
      <c r="AK1166" s="16"/>
      <c r="AL1166" s="16"/>
      <c r="AM1166" s="16"/>
      <c r="AN1166" s="16"/>
      <c r="AO1166" s="16"/>
      <c r="AP1166" s="16"/>
      <c r="AQ1166" s="16"/>
      <c r="AR1166" s="16"/>
      <c r="AS1166" s="16"/>
      <c r="AT1166" s="10"/>
      <c r="AU1166" s="9"/>
    </row>
    <row r="1167" spans="1:47" ht="15.6">
      <c r="A1167" s="15"/>
      <c r="B1167" s="15"/>
      <c r="C1167" s="15"/>
      <c r="D1167" s="15"/>
      <c r="E1167" s="15"/>
      <c r="F1167" s="15"/>
      <c r="G1167" s="15"/>
      <c r="H1167" s="16"/>
      <c r="I1167" s="15"/>
      <c r="J1167" s="15"/>
      <c r="K1167" s="15"/>
      <c r="L1167" s="13"/>
      <c r="M1167" s="13"/>
      <c r="N1167" s="13"/>
      <c r="O1167" s="13"/>
      <c r="P1167" s="13"/>
      <c r="Q1167" s="13"/>
      <c r="R1167" s="17"/>
      <c r="S1167" s="15"/>
      <c r="T1167" s="18"/>
      <c r="U1167" s="9"/>
      <c r="V1167" s="17"/>
      <c r="W1167" s="9"/>
      <c r="X1167" s="15"/>
      <c r="Y1167" s="19"/>
      <c r="Z1167" s="9"/>
      <c r="AA1167" s="15"/>
      <c r="AB1167" s="16"/>
      <c r="AC1167" s="16"/>
      <c r="AD1167" s="16"/>
      <c r="AE1167" s="16"/>
      <c r="AF1167" s="17"/>
      <c r="AG1167" s="16"/>
      <c r="AH1167" s="16"/>
      <c r="AI1167" s="16"/>
      <c r="AJ1167" s="16"/>
      <c r="AK1167" s="16"/>
      <c r="AL1167" s="16"/>
      <c r="AM1167" s="16"/>
      <c r="AN1167" s="16"/>
      <c r="AO1167" s="16"/>
      <c r="AP1167" s="16"/>
      <c r="AQ1167" s="16"/>
      <c r="AR1167" s="16"/>
      <c r="AS1167" s="16"/>
      <c r="AT1167" s="10"/>
      <c r="AU1167" s="9"/>
    </row>
    <row r="1168" spans="1:47" ht="15.6">
      <c r="A1168" s="15"/>
      <c r="B1168" s="15"/>
      <c r="C1168" s="15"/>
      <c r="D1168" s="15"/>
      <c r="E1168" s="15"/>
      <c r="F1168" s="15"/>
      <c r="G1168" s="15"/>
      <c r="H1168" s="16"/>
      <c r="I1168" s="15"/>
      <c r="J1168" s="15"/>
      <c r="K1168" s="15"/>
      <c r="L1168" s="13"/>
      <c r="M1168" s="13"/>
      <c r="N1168" s="13"/>
      <c r="O1168" s="13"/>
      <c r="P1168" s="13"/>
      <c r="Q1168" s="13"/>
      <c r="R1168" s="17"/>
      <c r="S1168" s="15"/>
      <c r="T1168" s="18"/>
      <c r="U1168" s="9"/>
      <c r="V1168" s="17"/>
      <c r="W1168" s="9"/>
      <c r="X1168" s="15"/>
      <c r="Y1168" s="19"/>
      <c r="Z1168" s="9"/>
      <c r="AA1168" s="15"/>
      <c r="AB1168" s="16"/>
      <c r="AC1168" s="16"/>
      <c r="AD1168" s="16"/>
      <c r="AE1168" s="16"/>
      <c r="AF1168" s="17"/>
      <c r="AG1168" s="16"/>
      <c r="AH1168" s="16"/>
      <c r="AI1168" s="16"/>
      <c r="AJ1168" s="16"/>
      <c r="AK1168" s="16"/>
      <c r="AL1168" s="16"/>
      <c r="AM1168" s="16"/>
      <c r="AN1168" s="16"/>
      <c r="AO1168" s="16"/>
      <c r="AP1168" s="16"/>
      <c r="AQ1168" s="16"/>
      <c r="AR1168" s="16"/>
      <c r="AS1168" s="16"/>
      <c r="AT1168" s="10"/>
      <c r="AU1168" s="9"/>
    </row>
    <row r="1169" spans="1:47" ht="15.6">
      <c r="A1169" s="15"/>
      <c r="B1169" s="15"/>
      <c r="C1169" s="15"/>
      <c r="D1169" s="15"/>
      <c r="E1169" s="15"/>
      <c r="F1169" s="15"/>
      <c r="G1169" s="15"/>
      <c r="H1169" s="16"/>
      <c r="I1169" s="15"/>
      <c r="J1169" s="15"/>
      <c r="K1169" s="15"/>
      <c r="L1169" s="13"/>
      <c r="M1169" s="13"/>
      <c r="N1169" s="13"/>
      <c r="O1169" s="13"/>
      <c r="P1169" s="13"/>
      <c r="Q1169" s="13"/>
      <c r="R1169" s="17"/>
      <c r="S1169" s="15"/>
      <c r="T1169" s="18"/>
      <c r="U1169" s="9"/>
      <c r="V1169" s="17"/>
      <c r="W1169" s="9"/>
      <c r="X1169" s="15"/>
      <c r="Y1169" s="19"/>
      <c r="Z1169" s="9"/>
      <c r="AA1169" s="15"/>
      <c r="AB1169" s="16"/>
      <c r="AC1169" s="16"/>
      <c r="AD1169" s="16"/>
      <c r="AE1169" s="16"/>
      <c r="AF1169" s="17"/>
      <c r="AG1169" s="16"/>
      <c r="AH1169" s="16"/>
      <c r="AI1169" s="16"/>
      <c r="AJ1169" s="16"/>
      <c r="AK1169" s="16"/>
      <c r="AL1169" s="16"/>
      <c r="AM1169" s="16"/>
      <c r="AN1169" s="16"/>
      <c r="AO1169" s="16"/>
      <c r="AP1169" s="16"/>
      <c r="AQ1169" s="16"/>
      <c r="AR1169" s="16"/>
      <c r="AS1169" s="16"/>
      <c r="AT1169" s="10"/>
      <c r="AU1169" s="9"/>
    </row>
    <row r="1170" spans="1:47" ht="15.6">
      <c r="A1170" s="15"/>
      <c r="B1170" s="15"/>
      <c r="C1170" s="15"/>
      <c r="D1170" s="15"/>
      <c r="E1170" s="15"/>
      <c r="F1170" s="15"/>
      <c r="G1170" s="15"/>
      <c r="H1170" s="16"/>
      <c r="I1170" s="15"/>
      <c r="J1170" s="15"/>
      <c r="K1170" s="15"/>
      <c r="L1170" s="13"/>
      <c r="M1170" s="13"/>
      <c r="N1170" s="13"/>
      <c r="O1170" s="13"/>
      <c r="P1170" s="13"/>
      <c r="Q1170" s="13"/>
      <c r="R1170" s="17"/>
      <c r="S1170" s="15"/>
      <c r="T1170" s="18"/>
      <c r="U1170" s="9"/>
      <c r="V1170" s="17"/>
      <c r="W1170" s="9"/>
      <c r="X1170" s="15"/>
      <c r="Y1170" s="19"/>
      <c r="Z1170" s="9"/>
      <c r="AA1170" s="15"/>
      <c r="AB1170" s="16"/>
      <c r="AC1170" s="16"/>
      <c r="AD1170" s="16"/>
      <c r="AE1170" s="16"/>
      <c r="AF1170" s="17"/>
      <c r="AG1170" s="16"/>
      <c r="AH1170" s="16"/>
      <c r="AI1170" s="16"/>
      <c r="AJ1170" s="16"/>
      <c r="AK1170" s="16"/>
      <c r="AL1170" s="16"/>
      <c r="AM1170" s="16"/>
      <c r="AN1170" s="16"/>
      <c r="AO1170" s="16"/>
      <c r="AP1170" s="16"/>
      <c r="AQ1170" s="16"/>
      <c r="AR1170" s="16"/>
      <c r="AS1170" s="16"/>
      <c r="AT1170" s="10"/>
      <c r="AU1170" s="9"/>
    </row>
    <row r="1171" spans="1:47" ht="15.6">
      <c r="A1171" s="15"/>
      <c r="B1171" s="15"/>
      <c r="C1171" s="15"/>
      <c r="D1171" s="15"/>
      <c r="E1171" s="15"/>
      <c r="F1171" s="13"/>
      <c r="G1171" s="13"/>
      <c r="H1171" s="16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8"/>
      <c r="U1171" s="9"/>
      <c r="V1171" s="17"/>
      <c r="W1171" s="9"/>
      <c r="X1171" s="14"/>
      <c r="Y1171" s="14"/>
      <c r="Z1171" s="9"/>
      <c r="AA1171" s="13"/>
      <c r="AB1171" s="13"/>
      <c r="AC1171" s="13"/>
      <c r="AD1171" s="16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  <c r="AQ1171" s="13"/>
      <c r="AR1171" s="13"/>
      <c r="AS1171" s="13"/>
      <c r="AT1171" s="13"/>
      <c r="AU1171" s="13"/>
    </row>
    <row r="1172" spans="1:47" ht="15.6">
      <c r="A1172" s="15"/>
      <c r="B1172" s="15"/>
      <c r="C1172" s="15"/>
      <c r="D1172" s="15"/>
      <c r="E1172" s="15"/>
      <c r="F1172" s="13"/>
      <c r="G1172" s="13"/>
      <c r="H1172" s="16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8"/>
      <c r="U1172" s="9"/>
      <c r="V1172" s="17"/>
      <c r="W1172" s="9"/>
      <c r="X1172" s="14"/>
      <c r="Y1172" s="14"/>
      <c r="Z1172" s="9"/>
      <c r="AA1172" s="13"/>
      <c r="AB1172" s="13"/>
      <c r="AC1172" s="13"/>
      <c r="AD1172" s="16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  <c r="AQ1172" s="13"/>
      <c r="AR1172" s="13"/>
      <c r="AS1172" s="13"/>
      <c r="AT1172" s="13"/>
      <c r="AU1172" s="13"/>
    </row>
    <row r="1173" spans="1:47" ht="15.6">
      <c r="A1173" s="15"/>
      <c r="B1173" s="15"/>
      <c r="C1173" s="15"/>
      <c r="D1173" s="15"/>
      <c r="E1173" s="15"/>
      <c r="F1173" s="13"/>
      <c r="G1173" s="13"/>
      <c r="H1173" s="16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8"/>
      <c r="U1173" s="9"/>
      <c r="V1173" s="17"/>
      <c r="W1173" s="9"/>
      <c r="X1173" s="14"/>
      <c r="Y1173" s="14"/>
      <c r="Z1173" s="9"/>
      <c r="AA1173" s="13"/>
      <c r="AB1173" s="13"/>
      <c r="AC1173" s="13"/>
      <c r="AD1173" s="16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  <c r="AQ1173" s="13"/>
      <c r="AR1173" s="13"/>
      <c r="AS1173" s="13"/>
      <c r="AT1173" s="13"/>
      <c r="AU1173" s="13"/>
    </row>
    <row r="1174" spans="1:47" ht="15.6">
      <c r="A1174" s="15"/>
      <c r="B1174" s="15"/>
      <c r="C1174" s="15"/>
      <c r="D1174" s="15"/>
      <c r="E1174" s="15"/>
      <c r="F1174" s="13"/>
      <c r="G1174" s="13"/>
      <c r="H1174" s="16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8"/>
      <c r="U1174" s="9"/>
      <c r="V1174" s="17"/>
      <c r="W1174" s="9"/>
      <c r="X1174" s="14"/>
      <c r="Y1174" s="14"/>
      <c r="Z1174" s="9"/>
      <c r="AA1174" s="13"/>
      <c r="AB1174" s="13"/>
      <c r="AC1174" s="13"/>
      <c r="AD1174" s="16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  <c r="AQ1174" s="13"/>
      <c r="AR1174" s="13"/>
      <c r="AS1174" s="13"/>
      <c r="AT1174" s="13"/>
      <c r="AU1174" s="13"/>
    </row>
    <row r="1175" spans="1:47" ht="15.6">
      <c r="A1175" s="15"/>
      <c r="B1175" s="15"/>
      <c r="C1175" s="15"/>
      <c r="D1175" s="15"/>
      <c r="E1175" s="15"/>
      <c r="F1175" s="13"/>
      <c r="G1175" s="13"/>
      <c r="H1175" s="16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8"/>
      <c r="U1175" s="9"/>
      <c r="V1175" s="17"/>
      <c r="W1175" s="9"/>
      <c r="X1175" s="14"/>
      <c r="Y1175" s="14"/>
      <c r="Z1175" s="9"/>
      <c r="AA1175" s="13"/>
      <c r="AB1175" s="13"/>
      <c r="AC1175" s="13"/>
      <c r="AD1175" s="16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/>
      <c r="AR1175" s="13"/>
      <c r="AS1175" s="13"/>
      <c r="AT1175" s="13"/>
      <c r="AU1175" s="13"/>
    </row>
    <row r="1176" spans="1:47" ht="15.6">
      <c r="A1176" s="15"/>
      <c r="B1176" s="15"/>
      <c r="C1176" s="15"/>
      <c r="D1176" s="15"/>
      <c r="E1176" s="15"/>
      <c r="F1176" s="13"/>
      <c r="G1176" s="13"/>
      <c r="H1176" s="16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8"/>
      <c r="U1176" s="9"/>
      <c r="V1176" s="17"/>
      <c r="W1176" s="9"/>
      <c r="X1176" s="14"/>
      <c r="Y1176" s="14"/>
      <c r="Z1176" s="9"/>
      <c r="AA1176" s="13"/>
      <c r="AB1176" s="13"/>
      <c r="AC1176" s="13"/>
      <c r="AD1176" s="16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/>
      <c r="AR1176" s="13"/>
      <c r="AS1176" s="13"/>
      <c r="AT1176" s="13"/>
      <c r="AU1176" s="13"/>
    </row>
    <row r="1177" spans="1:47" ht="15.6">
      <c r="A1177" s="15"/>
      <c r="B1177" s="15"/>
      <c r="C1177" s="15"/>
      <c r="D1177" s="15"/>
      <c r="E1177" s="15"/>
      <c r="F1177" s="13"/>
      <c r="G1177" s="13"/>
      <c r="H1177" s="16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8"/>
      <c r="U1177" s="9"/>
      <c r="V1177" s="17"/>
      <c r="W1177" s="9"/>
      <c r="X1177" s="14"/>
      <c r="Y1177" s="14"/>
      <c r="Z1177" s="9"/>
      <c r="AA1177" s="13"/>
      <c r="AB1177" s="13"/>
      <c r="AC1177" s="13"/>
      <c r="AD1177" s="16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/>
      <c r="AR1177" s="13"/>
      <c r="AS1177" s="13"/>
      <c r="AT1177" s="13"/>
      <c r="AU1177" s="13"/>
    </row>
    <row r="1178" spans="1:47" ht="15.6">
      <c r="A1178" s="15"/>
      <c r="B1178" s="15"/>
      <c r="C1178" s="15"/>
      <c r="D1178" s="15"/>
      <c r="E1178" s="15"/>
      <c r="F1178" s="13"/>
      <c r="G1178" s="13"/>
      <c r="H1178" s="16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8"/>
      <c r="U1178" s="9"/>
      <c r="V1178" s="17"/>
      <c r="W1178" s="9"/>
      <c r="X1178" s="14"/>
      <c r="Y1178" s="14"/>
      <c r="Z1178" s="9"/>
      <c r="AA1178" s="13"/>
      <c r="AB1178" s="13"/>
      <c r="AC1178" s="13"/>
      <c r="AD1178" s="16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/>
      <c r="AR1178" s="13"/>
      <c r="AS1178" s="13"/>
      <c r="AT1178" s="13"/>
      <c r="AU1178" s="13"/>
    </row>
    <row r="1179" spans="1:47" ht="15.6">
      <c r="A1179" s="15"/>
      <c r="B1179" s="15"/>
      <c r="C1179" s="15"/>
      <c r="D1179" s="15"/>
      <c r="E1179" s="15"/>
      <c r="F1179" s="13"/>
      <c r="G1179" s="13"/>
      <c r="H1179" s="16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8"/>
      <c r="U1179" s="9"/>
      <c r="V1179" s="17"/>
      <c r="W1179" s="9"/>
      <c r="X1179" s="14"/>
      <c r="Y1179" s="14"/>
      <c r="Z1179" s="9"/>
      <c r="AA1179" s="13"/>
      <c r="AB1179" s="13"/>
      <c r="AC1179" s="13"/>
      <c r="AD1179" s="16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/>
      <c r="AR1179" s="13"/>
      <c r="AS1179" s="13"/>
      <c r="AT1179" s="13"/>
      <c r="AU1179" s="13"/>
    </row>
    <row r="1180" spans="1:47" ht="15.6">
      <c r="A1180" s="15"/>
      <c r="B1180" s="15"/>
      <c r="C1180" s="15"/>
      <c r="D1180" s="15"/>
      <c r="E1180" s="15"/>
      <c r="F1180" s="13"/>
      <c r="G1180" s="13"/>
      <c r="H1180" s="16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8"/>
      <c r="U1180" s="9"/>
      <c r="V1180" s="17"/>
      <c r="W1180" s="9"/>
      <c r="X1180" s="14"/>
      <c r="Y1180" s="14"/>
      <c r="Z1180" s="9"/>
      <c r="AA1180" s="13"/>
      <c r="AB1180" s="13"/>
      <c r="AC1180" s="13"/>
      <c r="AD1180" s="16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/>
      <c r="AR1180" s="13"/>
      <c r="AS1180" s="13"/>
      <c r="AT1180" s="13"/>
      <c r="AU1180" s="13"/>
    </row>
    <row r="1181" spans="1:47" ht="15.6">
      <c r="A1181" s="15"/>
      <c r="B1181" s="15"/>
      <c r="C1181" s="15"/>
      <c r="D1181" s="15"/>
      <c r="E1181" s="15"/>
      <c r="F1181" s="13"/>
      <c r="G1181" s="13"/>
      <c r="H1181" s="16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8"/>
      <c r="U1181" s="9"/>
      <c r="V1181" s="17"/>
      <c r="W1181" s="9"/>
      <c r="X1181" s="14"/>
      <c r="Y1181" s="14"/>
      <c r="Z1181" s="9"/>
      <c r="AA1181" s="13"/>
      <c r="AB1181" s="13"/>
      <c r="AC1181" s="13"/>
      <c r="AD1181" s="16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/>
      <c r="AR1181" s="13"/>
      <c r="AS1181" s="13"/>
      <c r="AT1181" s="13"/>
      <c r="AU1181" s="13"/>
    </row>
    <row r="1182" spans="1:47" ht="15.6">
      <c r="A1182" s="15"/>
      <c r="B1182" s="15"/>
      <c r="C1182" s="15"/>
      <c r="D1182" s="15"/>
      <c r="E1182" s="15"/>
      <c r="F1182" s="13"/>
      <c r="G1182" s="13"/>
      <c r="H1182" s="16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8"/>
      <c r="U1182" s="9"/>
      <c r="V1182" s="17"/>
      <c r="W1182" s="9"/>
      <c r="X1182" s="14"/>
      <c r="Y1182" s="14"/>
      <c r="Z1182" s="9"/>
      <c r="AA1182" s="13"/>
      <c r="AB1182" s="13"/>
      <c r="AC1182" s="13"/>
      <c r="AD1182" s="16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/>
      <c r="AR1182" s="13"/>
      <c r="AS1182" s="13"/>
      <c r="AT1182" s="13"/>
      <c r="AU1182" s="13"/>
    </row>
    <row r="1183" spans="1:47" ht="15.6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8"/>
      <c r="U1183" s="9"/>
      <c r="V1183" s="18"/>
      <c r="W1183" s="18"/>
      <c r="X1183" s="13"/>
      <c r="Y1183" s="13"/>
      <c r="Z1183" s="13"/>
      <c r="AA1183" s="13"/>
      <c r="AB1183" s="13"/>
      <c r="AD1183" s="13"/>
      <c r="AE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/>
      <c r="AR1183" s="13"/>
      <c r="AS1183" s="13"/>
      <c r="AT1183" s="13"/>
      <c r="AU1183" s="13"/>
    </row>
    <row r="1184" spans="1:47" ht="15.6">
      <c r="A1184" s="13"/>
      <c r="B1184" s="13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8"/>
      <c r="U1184" s="9"/>
      <c r="V1184" s="18"/>
      <c r="W1184" s="18"/>
      <c r="X1184" s="13"/>
      <c r="Y1184" s="13"/>
      <c r="Z1184" s="13"/>
      <c r="AA1184" s="13"/>
      <c r="AB1184" s="13"/>
      <c r="AD1184" s="13"/>
      <c r="AE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/>
      <c r="AR1184" s="13"/>
      <c r="AS1184" s="13"/>
      <c r="AT1184" s="13"/>
      <c r="AU1184" s="13"/>
    </row>
    <row r="1185" spans="1:47" ht="15.6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8"/>
      <c r="U1185" s="9"/>
      <c r="V1185" s="18"/>
      <c r="W1185" s="18"/>
      <c r="X1185" s="13"/>
      <c r="Y1185" s="13"/>
      <c r="Z1185" s="13"/>
      <c r="AA1185" s="13"/>
      <c r="AB1185" s="13"/>
      <c r="AD1185" s="13"/>
      <c r="AE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/>
      <c r="AR1185" s="13"/>
      <c r="AS1185" s="13"/>
      <c r="AT1185" s="13"/>
      <c r="AU1185" s="13"/>
    </row>
    <row r="1186" spans="1:47" ht="15.6">
      <c r="A1186" s="13"/>
      <c r="B1186" s="13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8"/>
      <c r="U1186" s="9"/>
      <c r="V1186" s="18"/>
      <c r="W1186" s="18"/>
      <c r="X1186" s="13"/>
      <c r="Y1186" s="13"/>
      <c r="Z1186" s="13"/>
      <c r="AA1186" s="13"/>
      <c r="AB1186" s="13"/>
      <c r="AD1186" s="13"/>
      <c r="AE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  <c r="AQ1186" s="13"/>
      <c r="AR1186" s="13"/>
      <c r="AS1186" s="13"/>
      <c r="AT1186" s="13"/>
      <c r="AU1186" s="13"/>
    </row>
    <row r="1187" spans="1:47" ht="15.6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8"/>
      <c r="U1187" s="9"/>
      <c r="V1187" s="21"/>
      <c r="W1187" s="21"/>
      <c r="X1187" s="13"/>
      <c r="Y1187" s="13"/>
      <c r="Z1187" s="13"/>
      <c r="AA1187" s="13"/>
      <c r="AB1187" s="13"/>
      <c r="AD1187" s="13"/>
      <c r="AE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  <c r="AQ1187" s="13"/>
      <c r="AR1187" s="13"/>
      <c r="AS1187" s="13"/>
      <c r="AT1187" s="13"/>
      <c r="AU1187" s="13"/>
    </row>
    <row r="1188" spans="1:47" ht="15.6">
      <c r="A1188" s="13"/>
      <c r="B1188" s="13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8"/>
      <c r="U1188" s="9"/>
      <c r="V1188" s="18"/>
      <c r="W1188" s="18"/>
      <c r="X1188" s="13"/>
      <c r="Y1188" s="13"/>
      <c r="Z1188" s="13"/>
      <c r="AA1188" s="13"/>
      <c r="AB1188" s="13"/>
      <c r="AD1188" s="13"/>
      <c r="AE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  <c r="AQ1188" s="13"/>
      <c r="AR1188" s="13"/>
      <c r="AS1188" s="13"/>
      <c r="AT1188" s="13"/>
      <c r="AU1188" s="13"/>
    </row>
    <row r="1189" spans="1:47" ht="15.6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8"/>
      <c r="U1189" s="9"/>
      <c r="V1189" s="18"/>
      <c r="W1189" s="18"/>
      <c r="X1189" s="13"/>
      <c r="Y1189" s="13"/>
      <c r="Z1189" s="13"/>
      <c r="AA1189" s="13"/>
      <c r="AB1189" s="13"/>
      <c r="AD1189" s="13"/>
      <c r="AE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  <c r="AQ1189" s="13"/>
      <c r="AR1189" s="13"/>
      <c r="AS1189" s="13"/>
      <c r="AT1189" s="13"/>
      <c r="AU1189" s="13"/>
    </row>
    <row r="1190" spans="1:47" ht="15.6">
      <c r="A1190" s="13"/>
      <c r="B1190" s="13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8"/>
      <c r="U1190" s="9"/>
      <c r="V1190" s="18"/>
      <c r="W1190" s="18"/>
      <c r="X1190" s="13"/>
      <c r="Y1190" s="13"/>
      <c r="Z1190" s="13"/>
      <c r="AA1190" s="13"/>
      <c r="AB1190" s="13"/>
      <c r="AD1190" s="13"/>
      <c r="AE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  <c r="AQ1190" s="13"/>
      <c r="AR1190" s="13"/>
      <c r="AS1190" s="13"/>
      <c r="AT1190" s="13"/>
      <c r="AU1190" s="13"/>
    </row>
    <row r="1191" spans="1:47" ht="15.6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8"/>
      <c r="U1191" s="9"/>
      <c r="V1191" s="18"/>
      <c r="W1191" s="18"/>
      <c r="X1191" s="13"/>
      <c r="Y1191" s="13"/>
      <c r="Z1191" s="13"/>
      <c r="AA1191" s="13"/>
      <c r="AB1191" s="13"/>
      <c r="AD1191" s="13"/>
      <c r="AE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  <c r="AQ1191" s="13"/>
      <c r="AR1191" s="13"/>
      <c r="AS1191" s="13"/>
      <c r="AT1191" s="13"/>
    </row>
    <row r="1192" spans="1:47" ht="15.6">
      <c r="A1192" s="13"/>
      <c r="B1192" s="13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8"/>
      <c r="U1192" s="9"/>
      <c r="V1192" s="18"/>
      <c r="W1192" s="18"/>
      <c r="X1192" s="13"/>
      <c r="Y1192" s="13"/>
      <c r="Z1192" s="13"/>
      <c r="AA1192" s="13"/>
      <c r="AB1192" s="13"/>
      <c r="AD1192" s="13"/>
      <c r="AE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  <c r="AQ1192" s="13"/>
      <c r="AR1192" s="13"/>
      <c r="AS1192" s="13"/>
      <c r="AT1192" s="13"/>
    </row>
    <row r="1193" spans="1:47" ht="15.6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8"/>
      <c r="U1193" s="9"/>
      <c r="V1193" s="18"/>
      <c r="W1193" s="18"/>
      <c r="X1193" s="13"/>
      <c r="Y1193" s="13"/>
      <c r="Z1193" s="13"/>
      <c r="AA1193" s="13"/>
      <c r="AB1193" s="13"/>
      <c r="AD1193" s="13"/>
      <c r="AE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  <c r="AQ1193" s="13"/>
      <c r="AR1193" s="13"/>
      <c r="AS1193" s="13"/>
      <c r="AT1193" s="13"/>
    </row>
    <row r="1194" spans="1:47" ht="15.6">
      <c r="A1194" s="13"/>
      <c r="B1194" s="13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8"/>
      <c r="U1194" s="9"/>
      <c r="V1194" s="18"/>
      <c r="W1194" s="18"/>
      <c r="X1194" s="13"/>
      <c r="Y1194" s="13"/>
      <c r="Z1194" s="13"/>
      <c r="AA1194" s="13"/>
      <c r="AB1194" s="13"/>
      <c r="AD1194" s="13"/>
      <c r="AE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  <c r="AQ1194" s="13"/>
      <c r="AR1194" s="13"/>
      <c r="AS1194" s="13"/>
      <c r="AT1194" s="13"/>
    </row>
    <row r="1195" spans="1:47" ht="15.6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8"/>
      <c r="U1195" s="9"/>
      <c r="V1195" s="18"/>
      <c r="W1195" s="18"/>
      <c r="X1195" s="13"/>
      <c r="Y1195" s="13"/>
      <c r="Z1195" s="13"/>
      <c r="AA1195" s="13"/>
      <c r="AB1195" s="13"/>
      <c r="AD1195" s="13"/>
      <c r="AE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  <c r="AQ1195" s="13"/>
      <c r="AR1195" s="13"/>
      <c r="AS1195" s="13"/>
      <c r="AT1195" s="13"/>
    </row>
    <row r="1196" spans="1:47" ht="15.6">
      <c r="A1196" s="13"/>
      <c r="B1196" s="13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8"/>
      <c r="U1196" s="9"/>
      <c r="V1196" s="18"/>
      <c r="W1196" s="18"/>
      <c r="X1196" s="13"/>
      <c r="Y1196" s="13"/>
      <c r="Z1196" s="13"/>
      <c r="AA1196" s="13"/>
      <c r="AB1196" s="13"/>
      <c r="AD1196" s="13"/>
      <c r="AE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  <c r="AQ1196" s="13"/>
      <c r="AR1196" s="13"/>
      <c r="AS1196" s="13"/>
      <c r="AT1196" s="13"/>
    </row>
    <row r="1197" spans="1:47" ht="15.6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8"/>
      <c r="U1197" s="9"/>
      <c r="V1197" s="18"/>
      <c r="W1197" s="18"/>
      <c r="X1197" s="13"/>
      <c r="Y1197" s="13"/>
      <c r="Z1197" s="13"/>
      <c r="AA1197" s="13"/>
      <c r="AB1197" s="13"/>
      <c r="AD1197" s="13"/>
      <c r="AE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  <c r="AQ1197" s="13"/>
      <c r="AR1197" s="13"/>
      <c r="AS1197" s="13"/>
      <c r="AT1197" s="13"/>
    </row>
    <row r="1198" spans="1:47" ht="15.6">
      <c r="A1198" s="13"/>
      <c r="B1198" s="13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8"/>
      <c r="U1198" s="9"/>
      <c r="V1198" s="18"/>
      <c r="W1198" s="18"/>
      <c r="X1198" s="13"/>
      <c r="Y1198" s="13"/>
      <c r="Z1198" s="13"/>
      <c r="AA1198" s="13"/>
      <c r="AB1198" s="13"/>
      <c r="AD1198" s="13"/>
      <c r="AE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  <c r="AQ1198" s="13"/>
      <c r="AR1198" s="13"/>
      <c r="AS1198" s="13"/>
      <c r="AT1198" s="13"/>
    </row>
    <row r="1199" spans="1:47" ht="15.6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8"/>
      <c r="U1199" s="9"/>
      <c r="V1199" s="18"/>
      <c r="W1199" s="18"/>
      <c r="X1199" s="13"/>
      <c r="Y1199" s="13"/>
      <c r="Z1199" s="13"/>
      <c r="AA1199" s="13"/>
      <c r="AB1199" s="13"/>
      <c r="AD1199" s="13"/>
      <c r="AE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  <c r="AQ1199" s="13"/>
      <c r="AR1199" s="13"/>
      <c r="AS1199" s="13"/>
      <c r="AT1199" s="13"/>
    </row>
    <row r="1200" spans="1:47" ht="15.6">
      <c r="A1200" s="13"/>
      <c r="B1200" s="13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8"/>
      <c r="U1200" s="9"/>
      <c r="V1200" s="18"/>
      <c r="W1200" s="18"/>
      <c r="X1200" s="13"/>
      <c r="Y1200" s="13"/>
      <c r="Z1200" s="13"/>
      <c r="AA1200" s="13"/>
      <c r="AB1200" s="13"/>
      <c r="AD1200" s="13"/>
      <c r="AE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  <c r="AQ1200" s="13"/>
      <c r="AR1200" s="13"/>
      <c r="AS1200" s="13"/>
      <c r="AT1200" s="13"/>
    </row>
    <row r="1201" spans="1:46" ht="15.6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8"/>
      <c r="U1201" s="9"/>
      <c r="V1201" s="18"/>
      <c r="W1201" s="18"/>
      <c r="X1201" s="13"/>
      <c r="Y1201" s="13"/>
      <c r="Z1201" s="13"/>
      <c r="AA1201" s="13"/>
      <c r="AB1201" s="13"/>
      <c r="AD1201" s="13"/>
      <c r="AE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  <c r="AQ1201" s="13"/>
      <c r="AR1201" s="13"/>
      <c r="AS1201" s="13"/>
      <c r="AT1201" s="13"/>
    </row>
    <row r="1202" spans="1:46" ht="15.6">
      <c r="A1202" s="13"/>
      <c r="B1202" s="13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8"/>
      <c r="U1202" s="9"/>
      <c r="V1202" s="18"/>
      <c r="W1202" s="18"/>
      <c r="X1202" s="13"/>
      <c r="Y1202" s="13"/>
      <c r="Z1202" s="13"/>
      <c r="AA1202" s="13"/>
      <c r="AB1202" s="13"/>
      <c r="AD1202" s="13"/>
      <c r="AE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  <c r="AQ1202" s="13"/>
      <c r="AR1202" s="13"/>
      <c r="AS1202" s="13"/>
      <c r="AT1202" s="13"/>
    </row>
  </sheetData>
  <mergeCells count="786">
    <mergeCell ref="AL7:AM7"/>
    <mergeCell ref="AA15:AB15"/>
    <mergeCell ref="AA17:AB17"/>
    <mergeCell ref="AA18:AB18"/>
    <mergeCell ref="AA9:AB9"/>
    <mergeCell ref="AA10:AB10"/>
    <mergeCell ref="AA11:AB11"/>
    <mergeCell ref="AA12:AB12"/>
    <mergeCell ref="AA13:AB13"/>
    <mergeCell ref="AA14:AB14"/>
    <mergeCell ref="AA2:AB2"/>
    <mergeCell ref="AA4:AB4"/>
    <mergeCell ref="AA5:AB5"/>
    <mergeCell ref="AA6:AB6"/>
    <mergeCell ref="AA7:AB7"/>
    <mergeCell ref="AA22:AB22"/>
    <mergeCell ref="AA23:AB23"/>
    <mergeCell ref="AA25:AB25"/>
    <mergeCell ref="AA26:AB26"/>
    <mergeCell ref="AA27:AB27"/>
    <mergeCell ref="AA28:AB28"/>
    <mergeCell ref="AA19:AB19"/>
    <mergeCell ref="AA20:AB20"/>
    <mergeCell ref="AA21:AB21"/>
    <mergeCell ref="AA35:AB35"/>
    <mergeCell ref="AA38:AB38"/>
    <mergeCell ref="AA39:AB39"/>
    <mergeCell ref="AA40:AB40"/>
    <mergeCell ref="AA41:AB41"/>
    <mergeCell ref="AA42:AB42"/>
    <mergeCell ref="AA29:AB29"/>
    <mergeCell ref="AA30:AB30"/>
    <mergeCell ref="AA31:AB31"/>
    <mergeCell ref="AA32:AB32"/>
    <mergeCell ref="AA33:AB33"/>
    <mergeCell ref="AA34:AB34"/>
    <mergeCell ref="H49:L49"/>
    <mergeCell ref="AA49:AB49"/>
    <mergeCell ref="AA50:AB50"/>
    <mergeCell ref="AA55:AB55"/>
    <mergeCell ref="AA56:AB56"/>
    <mergeCell ref="AA60:AB60"/>
    <mergeCell ref="AA43:AC43"/>
    <mergeCell ref="AA45:AB45"/>
    <mergeCell ref="I46:L46"/>
    <mergeCell ref="AA46:AB46"/>
    <mergeCell ref="AA47:AB47"/>
    <mergeCell ref="AA48:AB48"/>
    <mergeCell ref="AA66:AB66"/>
    <mergeCell ref="AC66:AD66"/>
    <mergeCell ref="AA67:AB67"/>
    <mergeCell ref="AA68:AB68"/>
    <mergeCell ref="AA74:AB74"/>
    <mergeCell ref="AA75:AB75"/>
    <mergeCell ref="AC60:AD60"/>
    <mergeCell ref="AA61:AB61"/>
    <mergeCell ref="AC61:AD61"/>
    <mergeCell ref="AA62:AB62"/>
    <mergeCell ref="AA63:AB63"/>
    <mergeCell ref="AA65:AB65"/>
    <mergeCell ref="AA85:AB85"/>
    <mergeCell ref="AA86:AB86"/>
    <mergeCell ref="AA87:AB87"/>
    <mergeCell ref="AA89:AB89"/>
    <mergeCell ref="AA92:AB92"/>
    <mergeCell ref="AL92:AM92"/>
    <mergeCell ref="J78:L78"/>
    <mergeCell ref="AA78:AB78"/>
    <mergeCell ref="AA81:AB81"/>
    <mergeCell ref="AA82:AB82"/>
    <mergeCell ref="AC82:AD82"/>
    <mergeCell ref="AA83:AB83"/>
    <mergeCell ref="AC83:AD83"/>
    <mergeCell ref="AR95:AS95"/>
    <mergeCell ref="AA96:AB96"/>
    <mergeCell ref="AA97:AB97"/>
    <mergeCell ref="AA98:AB98"/>
    <mergeCell ref="AR92:AS92"/>
    <mergeCell ref="AA93:AB93"/>
    <mergeCell ref="AL93:AM93"/>
    <mergeCell ref="AR93:AS93"/>
    <mergeCell ref="AA94:AB94"/>
    <mergeCell ref="AL94:AM94"/>
    <mergeCell ref="AR94:AS94"/>
    <mergeCell ref="J211:L211"/>
    <mergeCell ref="AA211:AB211"/>
    <mergeCell ref="AC211:AD211"/>
    <mergeCell ref="I116:L116"/>
    <mergeCell ref="AA116:AD116"/>
    <mergeCell ref="AA146:AB146"/>
    <mergeCell ref="AA148:AB148"/>
    <mergeCell ref="AA95:AB95"/>
    <mergeCell ref="AL95:AM95"/>
    <mergeCell ref="AA213:AB213"/>
    <mergeCell ref="AE213:AF213"/>
    <mergeCell ref="AA216:AB216"/>
    <mergeCell ref="AA225:AB225"/>
    <mergeCell ref="AC225:AD225"/>
    <mergeCell ref="AA238:AB238"/>
    <mergeCell ref="AE238:AF238"/>
    <mergeCell ref="AA191:AB191"/>
    <mergeCell ref="AE191:AF191"/>
    <mergeCell ref="AA192:AB192"/>
    <mergeCell ref="AE192:AF192"/>
    <mergeCell ref="AA194:AB194"/>
    <mergeCell ref="J251:L251"/>
    <mergeCell ref="AA251:AB251"/>
    <mergeCell ref="AC251:AD251"/>
    <mergeCell ref="AA252:AB252"/>
    <mergeCell ref="AA253:AB253"/>
    <mergeCell ref="AE253:AF253"/>
    <mergeCell ref="AA240:AB240"/>
    <mergeCell ref="AA243:AB243"/>
    <mergeCell ref="AA248:AB248"/>
    <mergeCell ref="J250:L250"/>
    <mergeCell ref="AA250:AB250"/>
    <mergeCell ref="AC250:AD250"/>
    <mergeCell ref="AA261:AB261"/>
    <mergeCell ref="AA262:AB262"/>
    <mergeCell ref="J263:L263"/>
    <mergeCell ref="AA263:AB263"/>
    <mergeCell ref="AC263:AD263"/>
    <mergeCell ref="AA264:AB264"/>
    <mergeCell ref="AA254:AB254"/>
    <mergeCell ref="AA255:AB255"/>
    <mergeCell ref="AA256:AB256"/>
    <mergeCell ref="J258:L258"/>
    <mergeCell ref="AA258:AB258"/>
    <mergeCell ref="AC258:AD258"/>
    <mergeCell ref="AR295:AS295"/>
    <mergeCell ref="AA283:AB283"/>
    <mergeCell ref="AE283:AF283"/>
    <mergeCell ref="AA285:AB285"/>
    <mergeCell ref="AA286:AB286"/>
    <mergeCell ref="AA287:AB287"/>
    <mergeCell ref="AA288:AB288"/>
    <mergeCell ref="AA265:AB265"/>
    <mergeCell ref="AA266:AB266"/>
    <mergeCell ref="AR269:AS269"/>
    <mergeCell ref="AA278:AB278"/>
    <mergeCell ref="AA279:AB279"/>
    <mergeCell ref="AA281:AB281"/>
    <mergeCell ref="AE281:AF281"/>
    <mergeCell ref="AA296:AB296"/>
    <mergeCell ref="H298:L298"/>
    <mergeCell ref="AA298:AB298"/>
    <mergeCell ref="AA300:AB300"/>
    <mergeCell ref="AC300:AD300"/>
    <mergeCell ref="AA301:AB301"/>
    <mergeCell ref="AA289:AB289"/>
    <mergeCell ref="AA290:AB290"/>
    <mergeCell ref="AA291:AB291"/>
    <mergeCell ref="AA292:AB292"/>
    <mergeCell ref="AA295:AB295"/>
    <mergeCell ref="H306:L306"/>
    <mergeCell ref="AA306:AB306"/>
    <mergeCell ref="AC306:AD306"/>
    <mergeCell ref="H309:L309"/>
    <mergeCell ref="AA309:AB309"/>
    <mergeCell ref="AC309:AD309"/>
    <mergeCell ref="AA302:AB302"/>
    <mergeCell ref="AR302:AS302"/>
    <mergeCell ref="H304:L304"/>
    <mergeCell ref="AA304:AB304"/>
    <mergeCell ref="AC304:AD304"/>
    <mergeCell ref="J305:L305"/>
    <mergeCell ref="AA305:AB305"/>
    <mergeCell ref="AC305:AD305"/>
    <mergeCell ref="J312:L312"/>
    <mergeCell ref="AA312:AB312"/>
    <mergeCell ref="AC312:AD312"/>
    <mergeCell ref="H313:L313"/>
    <mergeCell ref="AA313:AB313"/>
    <mergeCell ref="AC313:AD313"/>
    <mergeCell ref="J310:L310"/>
    <mergeCell ref="AA310:AB310"/>
    <mergeCell ref="AC310:AD310"/>
    <mergeCell ref="H311:L311"/>
    <mergeCell ref="AA311:AB311"/>
    <mergeCell ref="AC311:AD311"/>
    <mergeCell ref="AA318:AB318"/>
    <mergeCell ref="AA320:AB320"/>
    <mergeCell ref="H321:L321"/>
    <mergeCell ref="AA321:AB321"/>
    <mergeCell ref="H322:L322"/>
    <mergeCell ref="AA322:AB322"/>
    <mergeCell ref="H315:L315"/>
    <mergeCell ref="AA315:AB315"/>
    <mergeCell ref="AC315:AD315"/>
    <mergeCell ref="H317:L317"/>
    <mergeCell ref="AA317:AB317"/>
    <mergeCell ref="AC317:AD317"/>
    <mergeCell ref="AA364:AB364"/>
    <mergeCell ref="AA365:AB365"/>
    <mergeCell ref="AA366:AB366"/>
    <mergeCell ref="AA367:AB367"/>
    <mergeCell ref="AA368:AB368"/>
    <mergeCell ref="AA369:AB369"/>
    <mergeCell ref="AL322:AM322"/>
    <mergeCell ref="H323:L323"/>
    <mergeCell ref="AA323:AB323"/>
    <mergeCell ref="AA361:AB361"/>
    <mergeCell ref="AA362:AB362"/>
    <mergeCell ref="AA363:AB363"/>
    <mergeCell ref="AA431:AB431"/>
    <mergeCell ref="AL431:AM431"/>
    <mergeCell ref="AA432:AB432"/>
    <mergeCell ref="AL432:AM432"/>
    <mergeCell ref="AA433:AB433"/>
    <mergeCell ref="AL433:AM433"/>
    <mergeCell ref="AA370:AB370"/>
    <mergeCell ref="AA371:AB371"/>
    <mergeCell ref="AA372:AB372"/>
    <mergeCell ref="AA395:AB395"/>
    <mergeCell ref="AA429:AB429"/>
    <mergeCell ref="AA430:AB430"/>
    <mergeCell ref="AA457:AB457"/>
    <mergeCell ref="AA459:AB459"/>
    <mergeCell ref="AA460:AB460"/>
    <mergeCell ref="AA461:AB461"/>
    <mergeCell ref="AE461:AF461"/>
    <mergeCell ref="AA462:AB462"/>
    <mergeCell ref="AA435:AB435"/>
    <mergeCell ref="AA438:AB438"/>
    <mergeCell ref="J443:L443"/>
    <mergeCell ref="AA454:AB454"/>
    <mergeCell ref="AA455:AB455"/>
    <mergeCell ref="AA456:AB456"/>
    <mergeCell ref="AA470:AB470"/>
    <mergeCell ref="AE470:AF470"/>
    <mergeCell ref="AA471:AB471"/>
    <mergeCell ref="AE471:AF471"/>
    <mergeCell ref="J472:L472"/>
    <mergeCell ref="AA472:AB472"/>
    <mergeCell ref="AA464:AB464"/>
    <mergeCell ref="AA466:AB466"/>
    <mergeCell ref="AE466:AF466"/>
    <mergeCell ref="AA467:AB467"/>
    <mergeCell ref="AA468:AB468"/>
    <mergeCell ref="AA469:AB469"/>
    <mergeCell ref="AA479:AB479"/>
    <mergeCell ref="AA480:AB480"/>
    <mergeCell ref="AA481:AB481"/>
    <mergeCell ref="AA482:AB482"/>
    <mergeCell ref="AA483:AB483"/>
    <mergeCell ref="AA484:AB484"/>
    <mergeCell ref="AA473:AB473"/>
    <mergeCell ref="AA474:AB474"/>
    <mergeCell ref="AA475:AB475"/>
    <mergeCell ref="AA476:AB476"/>
    <mergeCell ref="AA477:AB477"/>
    <mergeCell ref="AA478:AB478"/>
    <mergeCell ref="AA492:AB492"/>
    <mergeCell ref="AA493:AB493"/>
    <mergeCell ref="AA494:AB494"/>
    <mergeCell ref="AA495:AB495"/>
    <mergeCell ref="AA496:AB496"/>
    <mergeCell ref="AA497:AB497"/>
    <mergeCell ref="AA485:AB485"/>
    <mergeCell ref="AA486:AB486"/>
    <mergeCell ref="AA488:AB488"/>
    <mergeCell ref="AA489:AB489"/>
    <mergeCell ref="AA490:AB490"/>
    <mergeCell ref="AA491:AB491"/>
    <mergeCell ref="AA504:AB504"/>
    <mergeCell ref="AA505:AB505"/>
    <mergeCell ref="AA506:AB506"/>
    <mergeCell ref="AA507:AB507"/>
    <mergeCell ref="AA508:AB508"/>
    <mergeCell ref="AA509:AB509"/>
    <mergeCell ref="AA498:AB498"/>
    <mergeCell ref="AA499:AB499"/>
    <mergeCell ref="AA500:AB500"/>
    <mergeCell ref="AA501:AB501"/>
    <mergeCell ref="AA502:AB502"/>
    <mergeCell ref="AA503:AB503"/>
    <mergeCell ref="AA516:AB516"/>
    <mergeCell ref="AA517:AB517"/>
    <mergeCell ref="AA518:AB518"/>
    <mergeCell ref="AA519:AB519"/>
    <mergeCell ref="AC519:AD519"/>
    <mergeCell ref="AL519:AM519"/>
    <mergeCell ref="AA510:AB510"/>
    <mergeCell ref="AA511:AB511"/>
    <mergeCell ref="AA512:AB512"/>
    <mergeCell ref="AA513:AB513"/>
    <mergeCell ref="AA514:AB514"/>
    <mergeCell ref="AA515:AB515"/>
    <mergeCell ref="AA523:AB523"/>
    <mergeCell ref="AC523:AD523"/>
    <mergeCell ref="AL523:AM523"/>
    <mergeCell ref="AA524:AB524"/>
    <mergeCell ref="AC524:AD524"/>
    <mergeCell ref="AL524:AM524"/>
    <mergeCell ref="AA520:AB520"/>
    <mergeCell ref="AA521:AB521"/>
    <mergeCell ref="AC521:AD521"/>
    <mergeCell ref="AL521:AM521"/>
    <mergeCell ref="AA522:AB522"/>
    <mergeCell ref="AC522:AD522"/>
    <mergeCell ref="AL522:AM522"/>
    <mergeCell ref="AA529:AB529"/>
    <mergeCell ref="AL529:AM529"/>
    <mergeCell ref="AA530:AB530"/>
    <mergeCell ref="AL530:AM530"/>
    <mergeCell ref="AA531:AB531"/>
    <mergeCell ref="AL531:AM531"/>
    <mergeCell ref="AA525:AB525"/>
    <mergeCell ref="AC525:AD525"/>
    <mergeCell ref="AL525:AM525"/>
    <mergeCell ref="AA526:AB526"/>
    <mergeCell ref="AL526:AM526"/>
    <mergeCell ref="AA528:AB528"/>
    <mergeCell ref="AL528:AM528"/>
    <mergeCell ref="AA536:AB536"/>
    <mergeCell ref="AA537:AB537"/>
    <mergeCell ref="AA538:AB538"/>
    <mergeCell ref="AA539:AB539"/>
    <mergeCell ref="AL539:AM539"/>
    <mergeCell ref="AA540:AB540"/>
    <mergeCell ref="AA532:AB532"/>
    <mergeCell ref="AL532:AM532"/>
    <mergeCell ref="AA533:AB533"/>
    <mergeCell ref="AA534:AB534"/>
    <mergeCell ref="AE534:AF534"/>
    <mergeCell ref="AA535:AB535"/>
    <mergeCell ref="AA547:AB547"/>
    <mergeCell ref="AC547:AD547"/>
    <mergeCell ref="AA548:AB548"/>
    <mergeCell ref="AL548:AM548"/>
    <mergeCell ref="AA549:AB549"/>
    <mergeCell ref="AL549:AM549"/>
    <mergeCell ref="AA541:AB541"/>
    <mergeCell ref="AA542:AB542"/>
    <mergeCell ref="AA544:AB544"/>
    <mergeCell ref="AL544:AM544"/>
    <mergeCell ref="AA545:AB545"/>
    <mergeCell ref="AC545:AD545"/>
    <mergeCell ref="AA555:AB555"/>
    <mergeCell ref="AA556:AB556"/>
    <mergeCell ref="AA557:AB557"/>
    <mergeCell ref="AA558:AB558"/>
    <mergeCell ref="AA560:AB560"/>
    <mergeCell ref="AE560:AF560"/>
    <mergeCell ref="AA550:AB550"/>
    <mergeCell ref="AL550:AM550"/>
    <mergeCell ref="AA551:AB551"/>
    <mergeCell ref="AA552:AB552"/>
    <mergeCell ref="AA553:AB553"/>
    <mergeCell ref="AA554:AB554"/>
    <mergeCell ref="AL554:AM554"/>
    <mergeCell ref="AA567:AB567"/>
    <mergeCell ref="AA570:AB570"/>
    <mergeCell ref="AA571:AB571"/>
    <mergeCell ref="AA572:AB572"/>
    <mergeCell ref="AA573:AB573"/>
    <mergeCell ref="AA574:AB574"/>
    <mergeCell ref="AA561:AB561"/>
    <mergeCell ref="AA562:AB562"/>
    <mergeCell ref="AA563:AB563"/>
    <mergeCell ref="AA564:AB564"/>
    <mergeCell ref="AA565:AB565"/>
    <mergeCell ref="AA566:AB566"/>
    <mergeCell ref="AA581:AB581"/>
    <mergeCell ref="AA583:AB583"/>
    <mergeCell ref="AA585:AB585"/>
    <mergeCell ref="AA587:AB587"/>
    <mergeCell ref="AA588:AB588"/>
    <mergeCell ref="AA590:AB590"/>
    <mergeCell ref="AA575:AB575"/>
    <mergeCell ref="AA576:AB576"/>
    <mergeCell ref="AA577:AB577"/>
    <mergeCell ref="AA578:AB578"/>
    <mergeCell ref="AA579:AB579"/>
    <mergeCell ref="AA580:AB580"/>
    <mergeCell ref="AA600:AB600"/>
    <mergeCell ref="AA605:AB605"/>
    <mergeCell ref="AC605:AD605"/>
    <mergeCell ref="AA606:AB606"/>
    <mergeCell ref="AC606:AD606"/>
    <mergeCell ref="AA607:AB607"/>
    <mergeCell ref="AC607:AD607"/>
    <mergeCell ref="AA592:AB592"/>
    <mergeCell ref="AE592:AF592"/>
    <mergeCell ref="AA594:AB594"/>
    <mergeCell ref="AE594:AF594"/>
    <mergeCell ref="AA598:AB598"/>
    <mergeCell ref="AA599:AB599"/>
    <mergeCell ref="AE614:AF614"/>
    <mergeCell ref="AA615:AB615"/>
    <mergeCell ref="AC615:AD615"/>
    <mergeCell ref="AE615:AF615"/>
    <mergeCell ref="AA616:AB616"/>
    <mergeCell ref="AC616:AD616"/>
    <mergeCell ref="AE616:AF616"/>
    <mergeCell ref="AA608:AB608"/>
    <mergeCell ref="AC608:AD608"/>
    <mergeCell ref="AA612:AB612"/>
    <mergeCell ref="AA613:AB613"/>
    <mergeCell ref="AA614:AB614"/>
    <mergeCell ref="AC614:AD614"/>
    <mergeCell ref="AA624:AB624"/>
    <mergeCell ref="AE624:AF624"/>
    <mergeCell ref="AA625:AB625"/>
    <mergeCell ref="AA626:AB626"/>
    <mergeCell ref="AA628:AB628"/>
    <mergeCell ref="AA637:AB637"/>
    <mergeCell ref="AA617:AB617"/>
    <mergeCell ref="AA618:AB618"/>
    <mergeCell ref="AA619:AB619"/>
    <mergeCell ref="AA620:AB620"/>
    <mergeCell ref="AA621:AB621"/>
    <mergeCell ref="AA622:AB622"/>
    <mergeCell ref="AE656:AF656"/>
    <mergeCell ref="AA657:AB657"/>
    <mergeCell ref="AA658:AB658"/>
    <mergeCell ref="AA644:AB644"/>
    <mergeCell ref="AE644:AF644"/>
    <mergeCell ref="AA646:AB646"/>
    <mergeCell ref="AE646:AF646"/>
    <mergeCell ref="AA647:AB647"/>
    <mergeCell ref="AA649:AB649"/>
    <mergeCell ref="AA659:AB659"/>
    <mergeCell ref="AA660:AB660"/>
    <mergeCell ref="AA661:AB661"/>
    <mergeCell ref="AA662:AB662"/>
    <mergeCell ref="AA664:AB664"/>
    <mergeCell ref="AA665:AB665"/>
    <mergeCell ref="AA652:AB652"/>
    <mergeCell ref="AA655:AB655"/>
    <mergeCell ref="AA656:AB656"/>
    <mergeCell ref="AA687:AB687"/>
    <mergeCell ref="AA688:AB688"/>
    <mergeCell ref="AA689:AB689"/>
    <mergeCell ref="AA690:AB690"/>
    <mergeCell ref="AA774:AB774"/>
    <mergeCell ref="AA775:AB775"/>
    <mergeCell ref="AA666:AB666"/>
    <mergeCell ref="AA667:AB667"/>
    <mergeCell ref="AA668:AB668"/>
    <mergeCell ref="AA669:AB669"/>
    <mergeCell ref="AA679:AB679"/>
    <mergeCell ref="AA680:AB680"/>
    <mergeCell ref="AA783:AB783"/>
    <mergeCell ref="AE783:AF783"/>
    <mergeCell ref="AA784:AB784"/>
    <mergeCell ref="AE784:AF784"/>
    <mergeCell ref="AA786:AB786"/>
    <mergeCell ref="AA787:AB787"/>
    <mergeCell ref="AA776:AB776"/>
    <mergeCell ref="AA777:AB777"/>
    <mergeCell ref="AA779:AB779"/>
    <mergeCell ref="AA780:AB780"/>
    <mergeCell ref="AA781:AB781"/>
    <mergeCell ref="AA782:AB782"/>
    <mergeCell ref="AA805:AB805"/>
    <mergeCell ref="AA808:AB808"/>
    <mergeCell ref="AA809:AB809"/>
    <mergeCell ref="AA810:AB810"/>
    <mergeCell ref="AA811:AC811"/>
    <mergeCell ref="AA815:AB815"/>
    <mergeCell ref="AA790:AB790"/>
    <mergeCell ref="AA800:AC800"/>
    <mergeCell ref="AA801:AC801"/>
    <mergeCell ref="AA802:AC802"/>
    <mergeCell ref="AA803:AC803"/>
    <mergeCell ref="AA804:AB804"/>
    <mergeCell ref="AA822:AB822"/>
    <mergeCell ref="AA823:AB823"/>
    <mergeCell ref="AA824:AB824"/>
    <mergeCell ref="AC824:AD824"/>
    <mergeCell ref="AA825:AB825"/>
    <mergeCell ref="AA830:AB830"/>
    <mergeCell ref="AA816:AB816"/>
    <mergeCell ref="AA817:AB817"/>
    <mergeCell ref="AA818:AB818"/>
    <mergeCell ref="AA819:AB819"/>
    <mergeCell ref="AA820:AB820"/>
    <mergeCell ref="AA821:AB821"/>
    <mergeCell ref="AE837:AF837"/>
    <mergeCell ref="AA838:AB838"/>
    <mergeCell ref="AE838:AF838"/>
    <mergeCell ref="AE830:AF830"/>
    <mergeCell ref="AA831:AB831"/>
    <mergeCell ref="AE831:AF831"/>
    <mergeCell ref="AA832:AB832"/>
    <mergeCell ref="AE832:AF832"/>
    <mergeCell ref="AA833:AB833"/>
    <mergeCell ref="AA840:AB840"/>
    <mergeCell ref="AA841:AB841"/>
    <mergeCell ref="AA842:AB842"/>
    <mergeCell ref="AA843:AB843"/>
    <mergeCell ref="AA876:AB876"/>
    <mergeCell ref="AA877:AB877"/>
    <mergeCell ref="AA834:AB834"/>
    <mergeCell ref="AA835:AB835"/>
    <mergeCell ref="AA836:AB836"/>
    <mergeCell ref="AA837:AB837"/>
    <mergeCell ref="AA885:AB885"/>
    <mergeCell ref="AL885:AM885"/>
    <mergeCell ref="AA886:AB886"/>
    <mergeCell ref="AL886:AM886"/>
    <mergeCell ref="AA887:AB887"/>
    <mergeCell ref="AL887:AM887"/>
    <mergeCell ref="AE877:AF877"/>
    <mergeCell ref="AA878:AB878"/>
    <mergeCell ref="AC878:AD878"/>
    <mergeCell ref="AA879:AB879"/>
    <mergeCell ref="AA880:AB880"/>
    <mergeCell ref="AA881:AB881"/>
    <mergeCell ref="AA894:AB894"/>
    <mergeCell ref="AA895:AB895"/>
    <mergeCell ref="AA896:AB896"/>
    <mergeCell ref="AA897:AB897"/>
    <mergeCell ref="AA898:AB898"/>
    <mergeCell ref="AA899:AB899"/>
    <mergeCell ref="AA888:AB888"/>
    <mergeCell ref="AA889:AB889"/>
    <mergeCell ref="AA890:AB890"/>
    <mergeCell ref="AA891:AB891"/>
    <mergeCell ref="AA892:AB892"/>
    <mergeCell ref="AA893:AB893"/>
    <mergeCell ref="AA911:AB911"/>
    <mergeCell ref="AA912:AB912"/>
    <mergeCell ref="AA913:AB913"/>
    <mergeCell ref="AA914:AB914"/>
    <mergeCell ref="AA915:AB915"/>
    <mergeCell ref="AA919:AB919"/>
    <mergeCell ref="AA900:AB900"/>
    <mergeCell ref="AA901:AB901"/>
    <mergeCell ref="AA902:AB902"/>
    <mergeCell ref="AA908:AB908"/>
    <mergeCell ref="AA909:AB909"/>
    <mergeCell ref="AA910:AB910"/>
    <mergeCell ref="AA926:AB926"/>
    <mergeCell ref="AL926:AM926"/>
    <mergeCell ref="AA927:AB927"/>
    <mergeCell ref="AA928:AB928"/>
    <mergeCell ref="AA930:AB930"/>
    <mergeCell ref="AA931:AB931"/>
    <mergeCell ref="AA920:AB920"/>
    <mergeCell ref="AA921:AB921"/>
    <mergeCell ref="AA922:AB922"/>
    <mergeCell ref="AA923:AB923"/>
    <mergeCell ref="AA924:AB924"/>
    <mergeCell ref="AA925:AB925"/>
    <mergeCell ref="AA938:AB938"/>
    <mergeCell ref="AA939:AB939"/>
    <mergeCell ref="AA940:AB940"/>
    <mergeCell ref="AA941:AB941"/>
    <mergeCell ref="AA942:AB942"/>
    <mergeCell ref="AA943:AB943"/>
    <mergeCell ref="AA932:AB932"/>
    <mergeCell ref="AA933:AB933"/>
    <mergeCell ref="AA934:AB934"/>
    <mergeCell ref="AA935:AB935"/>
    <mergeCell ref="AA936:AB936"/>
    <mergeCell ref="AA937:AB937"/>
    <mergeCell ref="AA952:AB952"/>
    <mergeCell ref="AA953:AB953"/>
    <mergeCell ref="AA954:AB954"/>
    <mergeCell ref="AA955:AB955"/>
    <mergeCell ref="AA956:AB956"/>
    <mergeCell ref="AA957:AB957"/>
    <mergeCell ref="AA945:AB945"/>
    <mergeCell ref="AA946:AB946"/>
    <mergeCell ref="AA947:AB947"/>
    <mergeCell ref="AA948:AB948"/>
    <mergeCell ref="AA949:AB949"/>
    <mergeCell ref="AA951:AB951"/>
    <mergeCell ref="AC967:AD967"/>
    <mergeCell ref="AA968:AB968"/>
    <mergeCell ref="AC968:AD968"/>
    <mergeCell ref="AA969:AB969"/>
    <mergeCell ref="AC969:AD969"/>
    <mergeCell ref="AA970:AB970"/>
    <mergeCell ref="AC970:AD970"/>
    <mergeCell ref="AA958:AB958"/>
    <mergeCell ref="AA959:AB959"/>
    <mergeCell ref="AA964:AB964"/>
    <mergeCell ref="AA965:AB965"/>
    <mergeCell ref="AA966:AB966"/>
    <mergeCell ref="AA967:AB967"/>
    <mergeCell ref="AA976:AB976"/>
    <mergeCell ref="AA978:AB978"/>
    <mergeCell ref="AA979:AB979"/>
    <mergeCell ref="AA980:AB980"/>
    <mergeCell ref="AA981:AB981"/>
    <mergeCell ref="AA982:AB982"/>
    <mergeCell ref="AA971:AB971"/>
    <mergeCell ref="AA972:AB972"/>
    <mergeCell ref="AC972:AD972"/>
    <mergeCell ref="AA973:AB973"/>
    <mergeCell ref="AA974:AB974"/>
    <mergeCell ref="AA975:AB975"/>
    <mergeCell ref="AA991:AB991"/>
    <mergeCell ref="AC991:AD991"/>
    <mergeCell ref="AA995:AB995"/>
    <mergeCell ref="AA1003:AB1003"/>
    <mergeCell ref="AA1004:AB1004"/>
    <mergeCell ref="AA1005:AB1005"/>
    <mergeCell ref="AA983:AB983"/>
    <mergeCell ref="AA984:AB984"/>
    <mergeCell ref="AA985:AB985"/>
    <mergeCell ref="AA986:AB986"/>
    <mergeCell ref="AA989:AB989"/>
    <mergeCell ref="AA990:AB990"/>
    <mergeCell ref="AA1012:AB1012"/>
    <mergeCell ref="AA1013:AB1013"/>
    <mergeCell ref="AA1014:AB1014"/>
    <mergeCell ref="AA1015:AB1015"/>
    <mergeCell ref="AA1016:AB1016"/>
    <mergeCell ref="AA1017:AB1017"/>
    <mergeCell ref="AA1006:AB1006"/>
    <mergeCell ref="AA1007:AB1007"/>
    <mergeCell ref="AA1008:AB1008"/>
    <mergeCell ref="AA1009:AB1009"/>
    <mergeCell ref="AA1010:AB1010"/>
    <mergeCell ref="AA1011:AB1011"/>
    <mergeCell ref="AC1026:AD1026"/>
    <mergeCell ref="AA1027:AB1027"/>
    <mergeCell ref="AC1027:AD1027"/>
    <mergeCell ref="AA1018:AB1018"/>
    <mergeCell ref="AA1019:AB1019"/>
    <mergeCell ref="AA1020:AB1020"/>
    <mergeCell ref="AA1021:AB1021"/>
    <mergeCell ref="AA1022:AB1022"/>
    <mergeCell ref="AA1023:AB1023"/>
    <mergeCell ref="AA1029:AB1029"/>
    <mergeCell ref="AA1030:AB1030"/>
    <mergeCell ref="AA1031:AB1031"/>
    <mergeCell ref="AA1032:AB1032"/>
    <mergeCell ref="AA1033:AB1033"/>
    <mergeCell ref="AA1034:AB1034"/>
    <mergeCell ref="AA1024:AB1024"/>
    <mergeCell ref="AA1025:AB1025"/>
    <mergeCell ref="AA1026:AB1026"/>
    <mergeCell ref="AA1040:AB1040"/>
    <mergeCell ref="AE1040:AF1040"/>
    <mergeCell ref="AA1041:AB1041"/>
    <mergeCell ref="AE1041:AF1041"/>
    <mergeCell ref="AA1042:AB1042"/>
    <mergeCell ref="AA1043:AB1043"/>
    <mergeCell ref="AA1035:AB1035"/>
    <mergeCell ref="AE1035:AF1035"/>
    <mergeCell ref="AA1036:AB1036"/>
    <mergeCell ref="AA1037:AB1037"/>
    <mergeCell ref="AA1038:AB1038"/>
    <mergeCell ref="AA1039:AB1039"/>
    <mergeCell ref="AA1047:AB1047"/>
    <mergeCell ref="AA1048:AB1048"/>
    <mergeCell ref="AE1048:AF1048"/>
    <mergeCell ref="AA1049:AB1049"/>
    <mergeCell ref="AA1050:AB1050"/>
    <mergeCell ref="AA1051:AB1051"/>
    <mergeCell ref="AA1044:AB1044"/>
    <mergeCell ref="AA1045:AB1045"/>
    <mergeCell ref="AE1045:AF1045"/>
    <mergeCell ref="AA1046:AB1046"/>
    <mergeCell ref="AC1046:AD1046"/>
    <mergeCell ref="AE1046:AF1046"/>
    <mergeCell ref="AA1058:AB1058"/>
    <mergeCell ref="AA1059:AB1059"/>
    <mergeCell ref="AA1060:AB1060"/>
    <mergeCell ref="AA1061:AB1061"/>
    <mergeCell ref="AA1062:AB1062"/>
    <mergeCell ref="AA1063:AB1063"/>
    <mergeCell ref="AA1052:AB1052"/>
    <mergeCell ref="AA1053:AB1053"/>
    <mergeCell ref="AA1054:AB1054"/>
    <mergeCell ref="AA1055:AB1055"/>
    <mergeCell ref="AA1056:AB1056"/>
    <mergeCell ref="AA1057:AB1057"/>
    <mergeCell ref="AA1069:AB1069"/>
    <mergeCell ref="AA1070:AB1070"/>
    <mergeCell ref="AA1071:AB1071"/>
    <mergeCell ref="AA1072:AB1072"/>
    <mergeCell ref="AA1073:AB1073"/>
    <mergeCell ref="AA1074:AB1074"/>
    <mergeCell ref="AA1064:AB1064"/>
    <mergeCell ref="AE1064:AF1064"/>
    <mergeCell ref="AA1065:AB1065"/>
    <mergeCell ref="AA1066:AB1066"/>
    <mergeCell ref="AA1067:AB1067"/>
    <mergeCell ref="AA1068:AB1068"/>
    <mergeCell ref="AA1086:AB1086"/>
    <mergeCell ref="AA1087:AB1087"/>
    <mergeCell ref="AA1091:AB1091"/>
    <mergeCell ref="AC1091:AD1091"/>
    <mergeCell ref="AL1091:AM1091"/>
    <mergeCell ref="AA1092:AB1092"/>
    <mergeCell ref="AC1092:AD1092"/>
    <mergeCell ref="AL1092:AM1092"/>
    <mergeCell ref="AA1075:AB1075"/>
    <mergeCell ref="AA1076:AB1076"/>
    <mergeCell ref="AA1077:AB1077"/>
    <mergeCell ref="AA1078:AB1078"/>
    <mergeCell ref="AA1079:AB1079"/>
    <mergeCell ref="AA1080:AB1080"/>
    <mergeCell ref="AA1095:AB1095"/>
    <mergeCell ref="AC1095:AD1095"/>
    <mergeCell ref="AL1095:AM1095"/>
    <mergeCell ref="AA1096:AB1096"/>
    <mergeCell ref="AC1096:AD1096"/>
    <mergeCell ref="AL1096:AM1096"/>
    <mergeCell ref="AA1093:AB1093"/>
    <mergeCell ref="AC1093:AD1093"/>
    <mergeCell ref="AL1093:AM1093"/>
    <mergeCell ref="AA1094:AB1094"/>
    <mergeCell ref="AC1094:AD1094"/>
    <mergeCell ref="AL1094:AM1094"/>
    <mergeCell ref="AA1099:AB1099"/>
    <mergeCell ref="AC1099:AD1099"/>
    <mergeCell ref="AL1099:AM1099"/>
    <mergeCell ref="AA1100:AB1100"/>
    <mergeCell ref="AC1100:AD1100"/>
    <mergeCell ref="AL1100:AM1100"/>
    <mergeCell ref="AA1097:AB1097"/>
    <mergeCell ref="AC1097:AD1097"/>
    <mergeCell ref="AL1097:AM1097"/>
    <mergeCell ref="AA1098:AB1098"/>
    <mergeCell ref="AC1098:AD1098"/>
    <mergeCell ref="AL1098:AM1098"/>
    <mergeCell ref="AA1104:AB1104"/>
    <mergeCell ref="AE1104:AF1104"/>
    <mergeCell ref="AA1105:AB1105"/>
    <mergeCell ref="AE1105:AF1105"/>
    <mergeCell ref="AA1106:AB1106"/>
    <mergeCell ref="AC1106:AD1106"/>
    <mergeCell ref="AA1101:AB1101"/>
    <mergeCell ref="AC1101:AD1101"/>
    <mergeCell ref="AL1101:AM1101"/>
    <mergeCell ref="AA1102:AB1102"/>
    <mergeCell ref="AE1102:AF1102"/>
    <mergeCell ref="AA1103:AB1103"/>
    <mergeCell ref="AE1103:AF1103"/>
    <mergeCell ref="AA1110:AB1110"/>
    <mergeCell ref="AA1111:AB1111"/>
    <mergeCell ref="AA1112:AB1112"/>
    <mergeCell ref="AC1112:AD1112"/>
    <mergeCell ref="AA1113:AB1113"/>
    <mergeCell ref="AC1113:AD1113"/>
    <mergeCell ref="AA1107:AB1107"/>
    <mergeCell ref="AE1107:AF1107"/>
    <mergeCell ref="AA1108:AB1108"/>
    <mergeCell ref="AC1108:AD1108"/>
    <mergeCell ref="AA1109:AB1109"/>
    <mergeCell ref="AC1109:AD1109"/>
    <mergeCell ref="AA1126:AB1126"/>
    <mergeCell ref="AA1127:AB1127"/>
    <mergeCell ref="AA1128:AB1128"/>
    <mergeCell ref="AA1129:AB1129"/>
    <mergeCell ref="AA1130:AB1130"/>
    <mergeCell ref="AA1131:AB1131"/>
    <mergeCell ref="AA1120:AB1120"/>
    <mergeCell ref="AA1121:AB1121"/>
    <mergeCell ref="AA1122:AB1122"/>
    <mergeCell ref="AA1123:AB1123"/>
    <mergeCell ref="AA1124:AB1124"/>
    <mergeCell ref="AA1125:AB1125"/>
    <mergeCell ref="AA1138:AB1138"/>
    <mergeCell ref="AL1138:AM1138"/>
    <mergeCell ref="AA1139:AB1139"/>
    <mergeCell ref="AL1139:AM1139"/>
    <mergeCell ref="AA1140:AB1140"/>
    <mergeCell ref="AL1140:AM1140"/>
    <mergeCell ref="AA1132:AB1132"/>
    <mergeCell ref="AA1133:AB1133"/>
    <mergeCell ref="AA1134:AB1134"/>
    <mergeCell ref="AA1135:AB1135"/>
    <mergeCell ref="AA1136:AB1136"/>
    <mergeCell ref="AA1137:AB1137"/>
    <mergeCell ref="AA1155:AB1155"/>
    <mergeCell ref="AA1156:AB1156"/>
    <mergeCell ref="AA1149:AB1149"/>
    <mergeCell ref="AA1150:AB1150"/>
    <mergeCell ref="AA1151:AB1151"/>
    <mergeCell ref="AA1152:AB1152"/>
    <mergeCell ref="AA1153:AB1153"/>
    <mergeCell ref="AA1154:AB1154"/>
    <mergeCell ref="AA1142:AB1142"/>
    <mergeCell ref="AA1143:AB1143"/>
    <mergeCell ref="AA1144:AB1144"/>
    <mergeCell ref="AA1145:AB1145"/>
    <mergeCell ref="AA1147:AB1147"/>
    <mergeCell ref="AA1148:AB114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D9F9-C8D3-4D0E-A062-4B4FACE10139}">
  <dimension ref="A1:O1232"/>
  <sheetViews>
    <sheetView workbookViewId="0">
      <pane ySplit="1" topLeftCell="A382" activePane="bottomLeft" state="frozen"/>
      <selection pane="bottomLeft" sqref="A1:XFD1"/>
    </sheetView>
  </sheetViews>
  <sheetFormatPr defaultRowHeight="14.4"/>
  <cols>
    <col min="1" max="1" width="5" bestFit="1" customWidth="1"/>
    <col min="2" max="2" width="21.33203125" bestFit="1" customWidth="1"/>
    <col min="3" max="3" width="75.6640625" bestFit="1" customWidth="1"/>
    <col min="4" max="4" width="21.88671875" style="22" customWidth="1"/>
    <col min="5" max="5" width="8.109375" customWidth="1"/>
    <col min="6" max="6" width="8.44140625" customWidth="1"/>
    <col min="7" max="7" width="9.88671875" customWidth="1"/>
    <col min="8" max="8" width="8.109375" customWidth="1"/>
    <col min="9" max="9" width="7" customWidth="1"/>
    <col min="10" max="10" width="6.6640625" customWidth="1"/>
    <col min="11" max="11" width="8.109375" customWidth="1"/>
    <col min="12" max="12" width="8.109375" style="22" customWidth="1"/>
    <col min="13" max="13" width="8.88671875" customWidth="1"/>
    <col min="14" max="14" width="10.88671875" style="22" customWidth="1"/>
    <col min="15" max="15" width="10.21875" customWidth="1"/>
  </cols>
  <sheetData>
    <row r="1" spans="1:15">
      <c r="A1" s="28" t="s">
        <v>1219</v>
      </c>
      <c r="B1" s="28" t="s">
        <v>1220</v>
      </c>
      <c r="C1" s="28" t="s">
        <v>15</v>
      </c>
      <c r="D1" s="28" t="s">
        <v>4</v>
      </c>
      <c r="E1" s="28" t="s">
        <v>1221</v>
      </c>
      <c r="F1" s="28" t="s">
        <v>2509</v>
      </c>
      <c r="G1" s="28" t="s">
        <v>20</v>
      </c>
      <c r="H1" s="28" t="s">
        <v>1222</v>
      </c>
      <c r="I1" s="28" t="s">
        <v>1223</v>
      </c>
      <c r="J1" s="28" t="s">
        <v>1224</v>
      </c>
      <c r="K1" s="28" t="s">
        <v>1225</v>
      </c>
      <c r="L1" s="28" t="s">
        <v>1217</v>
      </c>
      <c r="M1" s="28" t="s">
        <v>19</v>
      </c>
      <c r="N1" s="28" t="s">
        <v>2510</v>
      </c>
      <c r="O1" s="28" t="s">
        <v>21</v>
      </c>
    </row>
    <row r="2" spans="1:15" s="22" customFormat="1">
      <c r="A2" s="22">
        <v>1</v>
      </c>
      <c r="B2" s="22" t="s">
        <v>49</v>
      </c>
      <c r="C2" s="22" t="s">
        <v>1226</v>
      </c>
      <c r="E2" s="22">
        <v>1</v>
      </c>
      <c r="F2" s="22">
        <v>8025</v>
      </c>
      <c r="G2" s="30">
        <f>IF(OR(M2="",O2="",M2=0),"",(M2-O2)/M2)</f>
        <v>0.23202453987730062</v>
      </c>
      <c r="H2" s="22">
        <v>8025</v>
      </c>
      <c r="I2" s="22">
        <v>45</v>
      </c>
      <c r="J2" s="22">
        <v>1</v>
      </c>
      <c r="K2" s="22">
        <v>1</v>
      </c>
      <c r="L2" s="22">
        <v>18</v>
      </c>
      <c r="M2" s="22">
        <v>16300</v>
      </c>
      <c r="N2" s="22">
        <f>H2*1.18</f>
        <v>9469.5</v>
      </c>
      <c r="O2" s="22">
        <f>_xlfn.CEILING.MATH(F2*1.56)-1</f>
        <v>12518</v>
      </c>
    </row>
    <row r="3" spans="1:15" s="22" customFormat="1">
      <c r="A3" s="22">
        <v>2</v>
      </c>
      <c r="B3" s="22" t="s">
        <v>59</v>
      </c>
      <c r="C3" s="22" t="s">
        <v>1227</v>
      </c>
      <c r="E3" s="22">
        <v>1</v>
      </c>
      <c r="F3" s="22">
        <v>2250</v>
      </c>
      <c r="G3" s="30">
        <f>IF(OR(M3="",O3="",M3=0),"",(M3-O3)/M3)</f>
        <v>0.46015384615384614</v>
      </c>
      <c r="H3" s="22">
        <v>2250</v>
      </c>
      <c r="I3" s="22">
        <v>4</v>
      </c>
      <c r="J3" s="22">
        <v>1</v>
      </c>
      <c r="K3" s="22">
        <v>9</v>
      </c>
      <c r="L3" s="22">
        <v>18</v>
      </c>
      <c r="M3" s="22">
        <v>6500</v>
      </c>
      <c r="N3" s="22">
        <f>H3*1.18</f>
        <v>2655</v>
      </c>
      <c r="O3" s="22">
        <f>_xlfn.CEILING.MATH(F3*1.56)-1</f>
        <v>3509</v>
      </c>
    </row>
    <row r="4" spans="1:15" s="22" customFormat="1">
      <c r="A4" s="22">
        <v>3</v>
      </c>
      <c r="B4" s="22" t="s">
        <v>58</v>
      </c>
      <c r="C4" s="22" t="s">
        <v>1228</v>
      </c>
      <c r="E4" s="22">
        <v>1</v>
      </c>
      <c r="F4" s="22">
        <v>2025</v>
      </c>
      <c r="G4" s="30">
        <f>IF(OR(M4="",O4="",M4=0),"",(M4-O4)/M4)</f>
        <v>0.51415384615384618</v>
      </c>
      <c r="H4" s="22">
        <v>2025</v>
      </c>
      <c r="I4" s="22">
        <v>444</v>
      </c>
      <c r="J4" s="22">
        <v>1</v>
      </c>
      <c r="K4" s="22">
        <v>8</v>
      </c>
      <c r="L4" s="22">
        <v>18</v>
      </c>
      <c r="M4" s="22">
        <v>6500</v>
      </c>
      <c r="N4" s="22">
        <f>H4*1.18</f>
        <v>2389.5</v>
      </c>
      <c r="O4" s="22">
        <f>_xlfn.CEILING.MATH(F4*1.56)-1</f>
        <v>3158</v>
      </c>
    </row>
    <row r="5" spans="1:15" s="22" customFormat="1">
      <c r="A5" s="22">
        <v>4</v>
      </c>
      <c r="B5" s="22" t="s">
        <v>54</v>
      </c>
      <c r="C5" s="22" t="s">
        <v>1229</v>
      </c>
      <c r="E5" s="22">
        <v>1</v>
      </c>
      <c r="F5" s="22">
        <v>1680</v>
      </c>
      <c r="G5" s="30">
        <f>IF(OR(M5="",O5="",M5=0),"",(M5-O5)/M5)</f>
        <v>0.57049180327868854</v>
      </c>
      <c r="H5" s="22">
        <v>1680</v>
      </c>
      <c r="I5" s="22">
        <v>4278</v>
      </c>
      <c r="J5" s="22">
        <v>1</v>
      </c>
      <c r="K5" s="22">
        <v>8</v>
      </c>
      <c r="L5" s="22">
        <v>18</v>
      </c>
      <c r="M5" s="22">
        <v>6100</v>
      </c>
      <c r="N5" s="22">
        <f>H5*1.18</f>
        <v>1982.3999999999999</v>
      </c>
      <c r="O5" s="22">
        <f>_xlfn.CEILING.MATH(F5*1.56)-1</f>
        <v>2620</v>
      </c>
    </row>
    <row r="6" spans="1:15" s="22" customFormat="1">
      <c r="A6" s="22">
        <v>5</v>
      </c>
      <c r="B6" s="22" t="s">
        <v>53</v>
      </c>
      <c r="C6" s="22" t="s">
        <v>1230</v>
      </c>
      <c r="E6" s="22">
        <v>1</v>
      </c>
      <c r="F6" s="22">
        <v>1725</v>
      </c>
      <c r="G6" s="30">
        <f>IF(OR(M6="",O6="",M6=0),"",(M6-O6)/M6)</f>
        <v>0.53620689655172415</v>
      </c>
      <c r="H6" s="22">
        <v>1725</v>
      </c>
      <c r="I6" s="22">
        <v>775</v>
      </c>
      <c r="J6" s="22">
        <v>1</v>
      </c>
      <c r="K6" s="22">
        <v>6</v>
      </c>
      <c r="L6" s="22">
        <v>18</v>
      </c>
      <c r="M6" s="22">
        <v>5800</v>
      </c>
      <c r="N6" s="22">
        <f>H6*1.18</f>
        <v>2035.5</v>
      </c>
      <c r="O6" s="22">
        <f>_xlfn.CEILING.MATH(F6*1.56)-1</f>
        <v>2690</v>
      </c>
    </row>
    <row r="7" spans="1:15" s="22" customFormat="1">
      <c r="A7" s="22">
        <v>6</v>
      </c>
      <c r="B7" s="22" t="s">
        <v>55</v>
      </c>
      <c r="C7" s="22" t="s">
        <v>1231</v>
      </c>
      <c r="E7" s="22">
        <v>1</v>
      </c>
      <c r="F7" s="22">
        <v>1800</v>
      </c>
      <c r="G7" s="30">
        <f>IF(OR(M7="",O7="",M7=0),"",(M7-O7)/M7)</f>
        <v>0.53983606557377051</v>
      </c>
      <c r="H7" s="22">
        <v>1800</v>
      </c>
      <c r="I7" s="22">
        <v>613</v>
      </c>
      <c r="J7" s="22">
        <v>1</v>
      </c>
      <c r="K7" s="22">
        <v>8</v>
      </c>
      <c r="L7" s="22">
        <v>18</v>
      </c>
      <c r="M7" s="22">
        <v>6100</v>
      </c>
      <c r="N7" s="22">
        <f>H7*1.18</f>
        <v>2124</v>
      </c>
      <c r="O7" s="22">
        <f>_xlfn.CEILING.MATH(F7*1.56)-1</f>
        <v>2807</v>
      </c>
    </row>
    <row r="8" spans="1:15" s="22" customFormat="1">
      <c r="A8" s="22">
        <v>7</v>
      </c>
      <c r="B8" s="22" t="s">
        <v>57</v>
      </c>
      <c r="C8" s="22" t="s">
        <v>1232</v>
      </c>
      <c r="E8" s="22">
        <v>1</v>
      </c>
      <c r="F8" s="22">
        <v>2025</v>
      </c>
      <c r="G8" s="30">
        <f>IF(OR(M8="",O8="",M8=0),"",(M8-O8)/M8)</f>
        <v>0.4822950819672131</v>
      </c>
      <c r="H8" s="22">
        <v>2025</v>
      </c>
      <c r="I8" s="22">
        <v>913</v>
      </c>
      <c r="J8" s="22">
        <v>1</v>
      </c>
      <c r="K8" s="22">
        <v>8</v>
      </c>
      <c r="L8" s="22">
        <v>18</v>
      </c>
      <c r="M8" s="22">
        <v>6100</v>
      </c>
      <c r="N8" s="22">
        <f>H8*1.18</f>
        <v>2389.5</v>
      </c>
      <c r="O8" s="22">
        <f>_xlfn.CEILING.MATH(F8*1.56)-1</f>
        <v>3158</v>
      </c>
    </row>
    <row r="9" spans="1:15" s="22" customFormat="1">
      <c r="A9" s="22">
        <v>8</v>
      </c>
      <c r="B9" s="22" t="s">
        <v>56</v>
      </c>
      <c r="C9" s="22" t="s">
        <v>1233</v>
      </c>
      <c r="E9" s="22">
        <v>1</v>
      </c>
      <c r="F9" s="22">
        <v>1965</v>
      </c>
      <c r="G9" s="30">
        <f>IF(OR(M9="",O9="",M9=0),"",(M9-O9)/M9)</f>
        <v>0.52109375000000002</v>
      </c>
      <c r="H9" s="22">
        <v>1965</v>
      </c>
      <c r="I9" s="22">
        <v>1658</v>
      </c>
      <c r="J9" s="22">
        <v>1</v>
      </c>
      <c r="K9" s="22">
        <v>8</v>
      </c>
      <c r="L9" s="22">
        <v>18</v>
      </c>
      <c r="M9" s="22">
        <v>6400</v>
      </c>
      <c r="N9" s="22">
        <f>H9*1.18</f>
        <v>2318.6999999999998</v>
      </c>
      <c r="O9" s="22">
        <f>_xlfn.CEILING.MATH(F9*1.56)-1</f>
        <v>3065</v>
      </c>
    </row>
    <row r="10" spans="1:15" s="22" customFormat="1">
      <c r="A10" s="22">
        <v>9</v>
      </c>
      <c r="B10" s="22" t="s">
        <v>60</v>
      </c>
      <c r="C10" s="22" t="s">
        <v>1234</v>
      </c>
      <c r="E10" s="22">
        <v>1</v>
      </c>
      <c r="F10" s="22">
        <v>3360</v>
      </c>
      <c r="G10" s="30">
        <f>IF(OR(M10="",O10="",M10=0),"",(M10-O10)/M10)</f>
        <v>0.19369230769230769</v>
      </c>
      <c r="H10" s="22">
        <v>3360</v>
      </c>
      <c r="I10" s="22">
        <v>1166</v>
      </c>
      <c r="J10" s="22">
        <v>1</v>
      </c>
      <c r="K10" s="22">
        <v>4</v>
      </c>
      <c r="L10" s="22">
        <v>18</v>
      </c>
      <c r="M10" s="22">
        <v>6500</v>
      </c>
      <c r="N10" s="22">
        <f>H10*1.18</f>
        <v>3964.7999999999997</v>
      </c>
      <c r="O10" s="22">
        <f>_xlfn.CEILING.MATH(F10*1.56)-1</f>
        <v>5241</v>
      </c>
    </row>
    <row r="11" spans="1:15" s="22" customFormat="1">
      <c r="A11" s="22">
        <v>10</v>
      </c>
      <c r="B11" s="22" t="s">
        <v>61</v>
      </c>
      <c r="C11" s="22" t="s">
        <v>1235</v>
      </c>
      <c r="E11" s="22">
        <v>1</v>
      </c>
      <c r="F11" s="22">
        <v>3240</v>
      </c>
      <c r="G11" s="30">
        <f>IF(OR(M11="",O11="",M11=0),"",(M11-O11)/M11)</f>
        <v>0.22246153846153846</v>
      </c>
      <c r="H11" s="22">
        <v>3240</v>
      </c>
      <c r="I11" s="22">
        <v>725</v>
      </c>
      <c r="J11" s="22">
        <v>1</v>
      </c>
      <c r="K11" s="22">
        <v>4</v>
      </c>
      <c r="L11" s="22">
        <v>18</v>
      </c>
      <c r="M11" s="22">
        <v>6500</v>
      </c>
      <c r="N11" s="22">
        <f>H11*1.18</f>
        <v>3823.2</v>
      </c>
      <c r="O11" s="22">
        <f>_xlfn.CEILING.MATH(F11*1.56)-1</f>
        <v>5054</v>
      </c>
    </row>
    <row r="12" spans="1:15" s="22" customFormat="1">
      <c r="A12" s="22">
        <v>11</v>
      </c>
      <c r="B12" s="22" t="s">
        <v>62</v>
      </c>
      <c r="C12" s="22" t="s">
        <v>1236</v>
      </c>
      <c r="E12" s="22">
        <v>1</v>
      </c>
      <c r="F12" s="22">
        <v>5550</v>
      </c>
      <c r="G12" s="30">
        <f>IF(OR(M12="",O12="",M12=0),"",(M12-O12)/M12)</f>
        <v>0.26635593220338982</v>
      </c>
      <c r="H12" s="22">
        <v>5550</v>
      </c>
      <c r="I12" s="22">
        <v>402</v>
      </c>
      <c r="J12" s="22">
        <v>1</v>
      </c>
      <c r="K12" s="22">
        <v>2</v>
      </c>
      <c r="L12" s="22">
        <v>18</v>
      </c>
      <c r="M12" s="22">
        <v>11800</v>
      </c>
      <c r="N12" s="22">
        <f>H12*1.18</f>
        <v>6549</v>
      </c>
      <c r="O12" s="22">
        <f>_xlfn.CEILING.MATH(F12*1.56)-1</f>
        <v>8657</v>
      </c>
    </row>
    <row r="13" spans="1:15" s="22" customFormat="1">
      <c r="A13" s="22">
        <v>12</v>
      </c>
      <c r="B13" s="22" t="s">
        <v>123</v>
      </c>
      <c r="C13" s="22" t="s">
        <v>1237</v>
      </c>
      <c r="E13" s="22">
        <v>1</v>
      </c>
      <c r="F13" s="22">
        <v>6375</v>
      </c>
      <c r="G13" s="30">
        <f>IF(OR(M13="",O13="",M13=0),"",(M13-O13)/M13)</f>
        <v>0.34578947368421054</v>
      </c>
      <c r="H13" s="22">
        <v>6375</v>
      </c>
      <c r="I13" s="22">
        <v>303</v>
      </c>
      <c r="J13" s="22">
        <v>1</v>
      </c>
      <c r="K13" s="22">
        <v>2</v>
      </c>
      <c r="L13" s="22">
        <v>18</v>
      </c>
      <c r="M13" s="22">
        <v>15200</v>
      </c>
      <c r="N13" s="22">
        <f>H13*1.18</f>
        <v>7522.5</v>
      </c>
      <c r="O13" s="22">
        <f>_xlfn.CEILING.MATH(F13*1.56)-1</f>
        <v>9944</v>
      </c>
    </row>
    <row r="14" spans="1:15" s="22" customFormat="1">
      <c r="A14" s="22">
        <v>13</v>
      </c>
      <c r="B14" s="22" t="s">
        <v>124</v>
      </c>
      <c r="C14" s="22" t="s">
        <v>1238</v>
      </c>
      <c r="E14" s="22">
        <v>1</v>
      </c>
      <c r="F14" s="22">
        <v>7665</v>
      </c>
      <c r="G14" s="30">
        <f>IF(OR(M14="",O14="",M14=0),"",(M14-O14)/M14)</f>
        <v>0.45151376146788991</v>
      </c>
      <c r="H14" s="22">
        <v>7665</v>
      </c>
      <c r="I14" s="22">
        <v>321</v>
      </c>
      <c r="J14" s="22">
        <v>1</v>
      </c>
      <c r="K14" s="22">
        <v>2</v>
      </c>
      <c r="L14" s="22">
        <v>18</v>
      </c>
      <c r="M14" s="22">
        <v>21800</v>
      </c>
      <c r="N14" s="22">
        <f>H14*1.18</f>
        <v>9044.6999999999989</v>
      </c>
      <c r="O14" s="22">
        <f>_xlfn.CEILING.MATH(F14*1.56)-1</f>
        <v>11957</v>
      </c>
    </row>
    <row r="15" spans="1:15" s="22" customFormat="1">
      <c r="A15" s="22">
        <v>14</v>
      </c>
      <c r="B15" s="22" t="s">
        <v>83</v>
      </c>
      <c r="C15" s="22" t="s">
        <v>1239</v>
      </c>
      <c r="E15" s="22">
        <v>1</v>
      </c>
      <c r="F15" s="22">
        <v>4050</v>
      </c>
      <c r="G15" s="30">
        <f>IF(OR(M15="",O15="",M15=0),"",(M15-O15)/M15)</f>
        <v>0.32797872340425532</v>
      </c>
      <c r="H15" s="22">
        <v>4050</v>
      </c>
      <c r="I15" s="22">
        <v>135</v>
      </c>
      <c r="J15" s="22">
        <v>1</v>
      </c>
      <c r="K15" s="22">
        <v>4</v>
      </c>
      <c r="L15" s="22">
        <v>18</v>
      </c>
      <c r="M15" s="22">
        <v>9400</v>
      </c>
      <c r="N15" s="22">
        <f>H15*1.18</f>
        <v>4779</v>
      </c>
      <c r="O15" s="22">
        <f>_xlfn.CEILING.MATH(F15*1.56)-1</f>
        <v>6317</v>
      </c>
    </row>
    <row r="16" spans="1:15" s="22" customFormat="1">
      <c r="A16" s="22">
        <v>15</v>
      </c>
      <c r="B16" s="22" t="s">
        <v>1240</v>
      </c>
      <c r="C16" s="22" t="s">
        <v>1241</v>
      </c>
      <c r="E16" s="22">
        <v>1</v>
      </c>
      <c r="F16" s="22">
        <v>4050</v>
      </c>
      <c r="G16" s="30">
        <f>IF(OR(M16="",O16="",M16=0),"",(M16-O16)/M16)</f>
        <v>0.55939178349724494</v>
      </c>
      <c r="H16" s="22">
        <v>4050</v>
      </c>
      <c r="I16" s="22">
        <v>42</v>
      </c>
      <c r="J16" s="22">
        <v>1</v>
      </c>
      <c r="K16" s="22">
        <v>1</v>
      </c>
      <c r="L16" s="22">
        <v>18</v>
      </c>
      <c r="M16" s="22">
        <f>_xlfn.CEILING.MATH(N16*3)</f>
        <v>14337</v>
      </c>
      <c r="N16" s="22">
        <f>H16*1.18</f>
        <v>4779</v>
      </c>
      <c r="O16" s="22">
        <f>_xlfn.CEILING.MATH(F16*1.56)-1</f>
        <v>6317</v>
      </c>
    </row>
    <row r="17" spans="1:15" s="22" customFormat="1">
      <c r="A17" s="22">
        <v>16</v>
      </c>
      <c r="B17" s="22" t="s">
        <v>46</v>
      </c>
      <c r="C17" s="22" t="s">
        <v>1242</v>
      </c>
      <c r="E17" s="22">
        <v>1</v>
      </c>
      <c r="F17" s="22">
        <v>7200</v>
      </c>
      <c r="G17" s="30">
        <f>IF(OR(M17="",O17="",M17=0),"",(M17-O17)/M17)</f>
        <v>0.48693467336683416</v>
      </c>
      <c r="H17" s="22">
        <v>7200</v>
      </c>
      <c r="I17" s="22">
        <v>1</v>
      </c>
      <c r="J17" s="22">
        <v>1</v>
      </c>
      <c r="K17" s="22">
        <v>1</v>
      </c>
      <c r="L17" s="22">
        <v>18</v>
      </c>
      <c r="M17" s="22">
        <v>21890</v>
      </c>
      <c r="N17" s="22">
        <f>H17*1.18</f>
        <v>8496</v>
      </c>
      <c r="O17" s="22">
        <f>_xlfn.CEILING.MATH(F17*1.56)-1</f>
        <v>11231</v>
      </c>
    </row>
    <row r="18" spans="1:15" s="22" customFormat="1">
      <c r="A18" s="22">
        <v>17</v>
      </c>
      <c r="B18" s="22" t="s">
        <v>1243</v>
      </c>
      <c r="C18" s="22" t="s">
        <v>1244</v>
      </c>
      <c r="E18" s="22">
        <v>1</v>
      </c>
      <c r="F18" s="22">
        <v>1175</v>
      </c>
      <c r="G18" s="30">
        <f>IF(OR(M18="",O18="",M18=0),"",(M18-O18)/M18)</f>
        <v>0.55961538461538463</v>
      </c>
      <c r="H18" s="22">
        <v>1175</v>
      </c>
      <c r="I18" s="22">
        <v>497</v>
      </c>
      <c r="J18" s="22">
        <v>1</v>
      </c>
      <c r="K18" s="22">
        <v>5</v>
      </c>
      <c r="L18" s="22">
        <v>18</v>
      </c>
      <c r="M18" s="22">
        <f>_xlfn.CEILING.MATH(N18*3)</f>
        <v>4160</v>
      </c>
      <c r="N18" s="22">
        <f>H18*1.18</f>
        <v>1386.5</v>
      </c>
      <c r="O18" s="22">
        <f>_xlfn.CEILING.MATH(F18*1.56)-1</f>
        <v>1832</v>
      </c>
    </row>
    <row r="19" spans="1:15" s="22" customFormat="1">
      <c r="A19" s="22">
        <v>18</v>
      </c>
      <c r="B19" s="22" t="s">
        <v>1245</v>
      </c>
      <c r="C19" s="22" t="s">
        <v>1246</v>
      </c>
      <c r="E19" s="22">
        <v>1</v>
      </c>
      <c r="F19" s="22">
        <v>1610</v>
      </c>
      <c r="G19" s="30">
        <f>IF(OR(M19="",O19="",M19=0),"",(M19-O19)/M19)</f>
        <v>0.55947368421052635</v>
      </c>
      <c r="H19" s="22">
        <v>1610</v>
      </c>
      <c r="I19" s="22">
        <v>582</v>
      </c>
      <c r="J19" s="22">
        <v>1</v>
      </c>
      <c r="K19" s="22">
        <v>5</v>
      </c>
      <c r="L19" s="22">
        <v>18</v>
      </c>
      <c r="M19" s="22">
        <f>_xlfn.CEILING.MATH(N19*3)</f>
        <v>5700</v>
      </c>
      <c r="N19" s="22">
        <f>H19*1.18</f>
        <v>1899.8</v>
      </c>
      <c r="O19" s="22">
        <f>_xlfn.CEILING.MATH(F19*1.56)-1</f>
        <v>2511</v>
      </c>
    </row>
    <row r="20" spans="1:15" s="22" customFormat="1">
      <c r="A20" s="22">
        <v>19</v>
      </c>
      <c r="B20" s="22" t="s">
        <v>44</v>
      </c>
      <c r="C20" s="22" t="s">
        <v>1247</v>
      </c>
      <c r="E20" s="22">
        <v>1</v>
      </c>
      <c r="F20" s="22">
        <v>8700</v>
      </c>
      <c r="G20" s="30">
        <f>IF(OR(M20="",O20="",M20=0),"",(M20-O20)/M20)</f>
        <v>0.51042568542568545</v>
      </c>
      <c r="H20" s="22">
        <v>8700</v>
      </c>
      <c r="I20" s="22">
        <v>23</v>
      </c>
      <c r="J20" s="22">
        <v>1</v>
      </c>
      <c r="K20" s="22">
        <v>1</v>
      </c>
      <c r="L20" s="22">
        <v>18</v>
      </c>
      <c r="M20" s="22">
        <v>27720</v>
      </c>
      <c r="N20" s="22">
        <f>H20*1.18</f>
        <v>10266</v>
      </c>
      <c r="O20" s="22">
        <f>_xlfn.CEILING.MATH(F20*1.56)-1</f>
        <v>13571</v>
      </c>
    </row>
    <row r="21" spans="1:15" s="22" customFormat="1">
      <c r="A21" s="22">
        <v>20</v>
      </c>
      <c r="B21" s="22" t="s">
        <v>1248</v>
      </c>
      <c r="C21" s="22" t="s">
        <v>1249</v>
      </c>
      <c r="E21" s="22">
        <v>1</v>
      </c>
      <c r="F21" s="22">
        <v>3800</v>
      </c>
      <c r="G21" s="30">
        <f>IF(OR(M21="",O21="",M21=0),"",(M21-O21)/M21)</f>
        <v>0.55939637228664885</v>
      </c>
      <c r="H21" s="22">
        <v>3800</v>
      </c>
      <c r="I21" s="22">
        <v>49</v>
      </c>
      <c r="J21" s="22">
        <v>1</v>
      </c>
      <c r="K21" s="22">
        <v>1</v>
      </c>
      <c r="L21" s="22">
        <v>18</v>
      </c>
      <c r="M21" s="22">
        <f>_xlfn.CEILING.MATH(N21*3)</f>
        <v>13452</v>
      </c>
      <c r="N21" s="22">
        <f>H21*1.18</f>
        <v>4484</v>
      </c>
      <c r="O21" s="22">
        <f>_xlfn.CEILING.MATH(F21*1.56)-1</f>
        <v>5927</v>
      </c>
    </row>
    <row r="22" spans="1:15" s="22" customFormat="1">
      <c r="A22" s="22">
        <v>21</v>
      </c>
      <c r="B22" s="22" t="s">
        <v>45</v>
      </c>
      <c r="C22" s="22" t="s">
        <v>1250</v>
      </c>
      <c r="E22" s="22">
        <v>1</v>
      </c>
      <c r="F22" s="22">
        <v>6000</v>
      </c>
      <c r="G22" s="30">
        <f>IF(OR(M22="",O22="",M22=0),"",(M22-O22)/M22)</f>
        <v>0.4905280348394121</v>
      </c>
      <c r="H22" s="22">
        <v>6000</v>
      </c>
      <c r="I22" s="22">
        <v>0</v>
      </c>
      <c r="J22" s="22">
        <v>1</v>
      </c>
      <c r="K22" s="22">
        <v>1</v>
      </c>
      <c r="L22" s="22">
        <v>18</v>
      </c>
      <c r="M22" s="22">
        <v>18370</v>
      </c>
      <c r="N22" s="22">
        <f>H22*1.18</f>
        <v>7080</v>
      </c>
      <c r="O22" s="22">
        <f>_xlfn.CEILING.MATH(F22*1.56)-1</f>
        <v>9359</v>
      </c>
    </row>
    <row r="23" spans="1:15" s="22" customFormat="1">
      <c r="A23" s="22">
        <v>22</v>
      </c>
      <c r="B23" s="22" t="s">
        <v>1251</v>
      </c>
      <c r="C23" s="22" t="s">
        <v>1252</v>
      </c>
      <c r="E23" s="22">
        <v>1</v>
      </c>
      <c r="F23" s="22">
        <v>3370</v>
      </c>
      <c r="G23" s="30">
        <f>IF(OR(M23="",O23="",M23=0),"",(M23-O23)/M23)</f>
        <v>0.5593461860854988</v>
      </c>
      <c r="H23" s="22">
        <v>3370</v>
      </c>
      <c r="I23" s="22">
        <v>203</v>
      </c>
      <c r="J23" s="22">
        <v>1</v>
      </c>
      <c r="K23" s="22">
        <v>1</v>
      </c>
      <c r="L23" s="22">
        <v>18</v>
      </c>
      <c r="M23" s="22">
        <f>_xlfn.CEILING.MATH(N23*3)</f>
        <v>11930</v>
      </c>
      <c r="N23" s="22">
        <f>H23*1.18</f>
        <v>3976.6</v>
      </c>
      <c r="O23" s="22">
        <f>_xlfn.CEILING.MATH(F23*1.56)-1</f>
        <v>5257</v>
      </c>
    </row>
    <row r="24" spans="1:15" s="22" customFormat="1">
      <c r="A24" s="22">
        <v>23</v>
      </c>
      <c r="B24" s="22" t="s">
        <v>47</v>
      </c>
      <c r="C24" s="22" t="s">
        <v>1253</v>
      </c>
      <c r="E24" s="22">
        <v>1</v>
      </c>
      <c r="F24" s="22">
        <v>5100</v>
      </c>
      <c r="G24" s="30">
        <f>IF(OR(M24="",O24="",M24=0),"",(M24-O24)/M24)</f>
        <v>0.63475665748393018</v>
      </c>
      <c r="H24" s="22">
        <v>5100</v>
      </c>
      <c r="I24" s="22">
        <v>8</v>
      </c>
      <c r="J24" s="22">
        <v>1</v>
      </c>
      <c r="K24" s="22">
        <v>1</v>
      </c>
      <c r="L24" s="22">
        <v>18</v>
      </c>
      <c r="M24" s="22">
        <v>21780</v>
      </c>
      <c r="N24" s="22">
        <f>H24*1.18</f>
        <v>6018</v>
      </c>
      <c r="O24" s="22">
        <f>_xlfn.CEILING.MATH(F24*1.56)-1</f>
        <v>7955</v>
      </c>
    </row>
    <row r="25" spans="1:15" s="22" customFormat="1">
      <c r="A25" s="22">
        <v>24</v>
      </c>
      <c r="B25" s="22" t="s">
        <v>1254</v>
      </c>
      <c r="C25" s="22" t="s">
        <v>1255</v>
      </c>
      <c r="E25" s="22">
        <v>1</v>
      </c>
      <c r="F25" s="22">
        <v>4640</v>
      </c>
      <c r="G25" s="30">
        <f>IF(OR(M25="",O25="",M25=0),"",(M25-O25)/M25)</f>
        <v>0.55935711676610256</v>
      </c>
      <c r="H25" s="22">
        <v>4640</v>
      </c>
      <c r="I25" s="22">
        <v>18</v>
      </c>
      <c r="J25" s="22">
        <v>1</v>
      </c>
      <c r="K25" s="22">
        <v>1</v>
      </c>
      <c r="L25" s="22">
        <v>18</v>
      </c>
      <c r="M25" s="22">
        <f>_xlfn.CEILING.MATH(N25*3)</f>
        <v>16426</v>
      </c>
      <c r="N25" s="22">
        <f>H25*1.18</f>
        <v>5475.2</v>
      </c>
      <c r="O25" s="22">
        <f>_xlfn.CEILING.MATH(F25*1.56)-1</f>
        <v>7238</v>
      </c>
    </row>
    <row r="26" spans="1:15" s="22" customFormat="1">
      <c r="A26" s="22">
        <v>25</v>
      </c>
      <c r="B26" s="22" t="s">
        <v>50</v>
      </c>
      <c r="C26" s="22" t="s">
        <v>1256</v>
      </c>
      <c r="E26" s="22">
        <v>1</v>
      </c>
      <c r="F26" s="22">
        <v>960</v>
      </c>
      <c r="G26" s="30">
        <f>IF(OR(M26="",O26="",M26=0),"",(M26-O26)/M26)</f>
        <v>0.58416666666666661</v>
      </c>
      <c r="H26" s="22">
        <v>960</v>
      </c>
      <c r="I26" s="22">
        <v>899</v>
      </c>
      <c r="J26" s="22">
        <v>1</v>
      </c>
      <c r="K26" s="22">
        <v>10</v>
      </c>
      <c r="L26" s="22">
        <v>18</v>
      </c>
      <c r="M26" s="22">
        <v>3600</v>
      </c>
      <c r="N26" s="22">
        <f>H26*1.18</f>
        <v>1132.8</v>
      </c>
      <c r="O26" s="22">
        <f>_xlfn.CEILING.MATH(F26*1.56)-1</f>
        <v>1497</v>
      </c>
    </row>
    <row r="27" spans="1:15" s="22" customFormat="1">
      <c r="A27" s="22">
        <v>26</v>
      </c>
      <c r="B27" s="22" t="s">
        <v>51</v>
      </c>
      <c r="C27" s="22" t="s">
        <v>1257</v>
      </c>
      <c r="E27" s="22">
        <v>1</v>
      </c>
      <c r="F27" s="22">
        <v>960</v>
      </c>
      <c r="G27" s="30">
        <f>IF(OR(M27="",O27="",M27=0),"",(M27-O27)/M27)</f>
        <v>0.58416666666666661</v>
      </c>
      <c r="H27" s="22">
        <v>960</v>
      </c>
      <c r="I27" s="22">
        <v>141</v>
      </c>
      <c r="J27" s="22">
        <v>1</v>
      </c>
      <c r="K27" s="22">
        <v>10</v>
      </c>
      <c r="L27" s="22">
        <v>18</v>
      </c>
      <c r="M27" s="22">
        <v>3600</v>
      </c>
      <c r="N27" s="22">
        <f>H27*1.18</f>
        <v>1132.8</v>
      </c>
      <c r="O27" s="22">
        <f>_xlfn.CEILING.MATH(F27*1.56)-1</f>
        <v>1497</v>
      </c>
    </row>
    <row r="28" spans="1:15" s="22" customFormat="1">
      <c r="A28" s="22">
        <v>27</v>
      </c>
      <c r="B28" s="22" t="s">
        <v>52</v>
      </c>
      <c r="C28" s="22" t="s">
        <v>1258</v>
      </c>
      <c r="E28" s="22">
        <v>1</v>
      </c>
      <c r="F28" s="22">
        <v>1395</v>
      </c>
      <c r="G28" s="30">
        <f>IF(OR(M28="",O28="",M28=0),"",(M28-O28)/M28)</f>
        <v>0.49395348837209302</v>
      </c>
      <c r="H28" s="22">
        <v>1395</v>
      </c>
      <c r="I28" s="22">
        <v>1277</v>
      </c>
      <c r="J28" s="22">
        <v>1</v>
      </c>
      <c r="K28" s="22">
        <v>10</v>
      </c>
      <c r="L28" s="22">
        <v>18</v>
      </c>
      <c r="M28" s="22">
        <v>4300</v>
      </c>
      <c r="N28" s="22">
        <f>H28*1.18</f>
        <v>1646.1</v>
      </c>
      <c r="O28" s="22">
        <f>_xlfn.CEILING.MATH(F28*1.56)-1</f>
        <v>2176</v>
      </c>
    </row>
    <row r="29" spans="1:15" s="22" customFormat="1">
      <c r="A29" s="22">
        <v>28</v>
      </c>
      <c r="B29" s="22" t="s">
        <v>65</v>
      </c>
      <c r="C29" s="22" t="s">
        <v>1259</v>
      </c>
      <c r="E29" s="22">
        <v>1</v>
      </c>
      <c r="F29" s="22">
        <v>6840</v>
      </c>
      <c r="G29" s="30">
        <f>IF(OR(M29="",O29="",M29=0),"",(M29-O29)/M29)</f>
        <v>0.39717514124293785</v>
      </c>
      <c r="H29" s="22">
        <v>6840</v>
      </c>
      <c r="I29" s="22">
        <v>455</v>
      </c>
      <c r="J29" s="22">
        <v>1</v>
      </c>
      <c r="K29" s="22">
        <v>1</v>
      </c>
      <c r="L29" s="22">
        <v>18</v>
      </c>
      <c r="M29" s="22">
        <v>17700</v>
      </c>
      <c r="N29" s="22">
        <f>H29*1.18</f>
        <v>8071.2</v>
      </c>
      <c r="O29" s="22">
        <f>_xlfn.CEILING.MATH(F29*1.56)-1</f>
        <v>10670</v>
      </c>
    </row>
    <row r="30" spans="1:15" s="22" customFormat="1">
      <c r="A30" s="22">
        <v>29</v>
      </c>
      <c r="B30" s="22" t="s">
        <v>64</v>
      </c>
      <c r="C30" s="22" t="s">
        <v>1260</v>
      </c>
      <c r="E30" s="22">
        <v>1</v>
      </c>
      <c r="F30" s="22">
        <v>8550</v>
      </c>
      <c r="G30" s="30">
        <f>IF(OR(M30="",O30="",M30=0),"",(M30-O30)/M30)</f>
        <v>0.33481296758104739</v>
      </c>
      <c r="H30" s="22">
        <v>8550</v>
      </c>
      <c r="I30" s="22">
        <v>187</v>
      </c>
      <c r="J30" s="22">
        <v>1</v>
      </c>
      <c r="K30" s="22">
        <v>1</v>
      </c>
      <c r="L30" s="22">
        <v>18</v>
      </c>
      <c r="M30" s="22">
        <v>20050</v>
      </c>
      <c r="N30" s="22">
        <f>H30*1.18</f>
        <v>10089</v>
      </c>
      <c r="O30" s="22">
        <f>_xlfn.CEILING.MATH(F30*1.56)-1</f>
        <v>13337</v>
      </c>
    </row>
    <row r="31" spans="1:15" s="22" customFormat="1">
      <c r="A31" s="22">
        <v>30</v>
      </c>
      <c r="B31" s="22" t="s">
        <v>73</v>
      </c>
      <c r="C31" s="22" t="s">
        <v>1261</v>
      </c>
      <c r="E31" s="22">
        <v>1</v>
      </c>
      <c r="F31" s="22">
        <v>14100</v>
      </c>
      <c r="G31" s="30">
        <f>IF(OR(M31="",O31="",M31=0),"",(M31-O31)/M31)</f>
        <v>0.50293785310734462</v>
      </c>
      <c r="H31" s="22">
        <v>14100</v>
      </c>
      <c r="I31" s="22">
        <v>66</v>
      </c>
      <c r="J31" s="22">
        <v>1</v>
      </c>
      <c r="K31" s="22">
        <v>2</v>
      </c>
      <c r="L31" s="22">
        <v>18</v>
      </c>
      <c r="M31" s="22">
        <v>44250</v>
      </c>
      <c r="N31" s="22">
        <f>H31*1.18</f>
        <v>16638</v>
      </c>
      <c r="O31" s="22">
        <f>_xlfn.CEILING.MATH(F31*1.56)-1</f>
        <v>21995</v>
      </c>
    </row>
    <row r="32" spans="1:15" s="22" customFormat="1">
      <c r="A32" s="22">
        <v>31</v>
      </c>
      <c r="B32" s="22" t="s">
        <v>74</v>
      </c>
      <c r="C32" s="22" t="s">
        <v>1262</v>
      </c>
      <c r="E32" s="22">
        <v>1</v>
      </c>
      <c r="F32" s="22">
        <v>12450</v>
      </c>
      <c r="G32" s="30">
        <f>IF(OR(M32="",O32="",M32=0),"",(M32-O32)/M32)</f>
        <v>0.51386733416770969</v>
      </c>
      <c r="H32" s="22">
        <v>12450</v>
      </c>
      <c r="I32" s="22">
        <v>230</v>
      </c>
      <c r="J32" s="22">
        <v>1</v>
      </c>
      <c r="K32" s="22">
        <v>1</v>
      </c>
      <c r="L32" s="22">
        <v>18</v>
      </c>
      <c r="M32" s="22">
        <v>39950</v>
      </c>
      <c r="N32" s="22">
        <f>H32*1.18</f>
        <v>14691</v>
      </c>
      <c r="O32" s="22">
        <f>_xlfn.CEILING.MATH(F32*1.56)-1</f>
        <v>19421</v>
      </c>
    </row>
    <row r="33" spans="1:15" s="22" customFormat="1">
      <c r="A33" s="22">
        <v>32</v>
      </c>
      <c r="B33" s="22" t="s">
        <v>71</v>
      </c>
      <c r="C33" s="22" t="s">
        <v>1263</v>
      </c>
      <c r="E33" s="22">
        <v>1</v>
      </c>
      <c r="F33" s="22">
        <v>5640</v>
      </c>
      <c r="G33" s="30">
        <f>IF(OR(M33="",O33="",M33=0),"",(M33-O33)/M33)</f>
        <v>0.45354037267080743</v>
      </c>
      <c r="H33" s="22">
        <v>5640</v>
      </c>
      <c r="I33" s="22">
        <v>0</v>
      </c>
      <c r="J33" s="22">
        <v>1</v>
      </c>
      <c r="K33" s="22">
        <v>1</v>
      </c>
      <c r="L33" s="22">
        <v>18</v>
      </c>
      <c r="M33" s="22">
        <v>16100</v>
      </c>
      <c r="N33" s="22">
        <f>H33*1.18</f>
        <v>6655.2</v>
      </c>
      <c r="O33" s="22">
        <f>_xlfn.CEILING.MATH(F33*1.56)-1</f>
        <v>8798</v>
      </c>
    </row>
    <row r="34" spans="1:15" s="22" customFormat="1">
      <c r="A34" s="22">
        <v>33</v>
      </c>
      <c r="B34" s="22" t="s">
        <v>72</v>
      </c>
      <c r="C34" s="22" t="s">
        <v>1264</v>
      </c>
      <c r="E34" s="22">
        <v>1</v>
      </c>
      <c r="F34" s="22">
        <v>6450</v>
      </c>
      <c r="G34" s="30">
        <f>IF(OR(M34="",O34="",M34=0),"",(M34-O34)/M34)</f>
        <v>0.45021857923497266</v>
      </c>
      <c r="H34" s="22">
        <v>6450</v>
      </c>
      <c r="I34" s="22">
        <v>1</v>
      </c>
      <c r="J34" s="22">
        <v>1</v>
      </c>
      <c r="K34" s="22">
        <v>1</v>
      </c>
      <c r="L34" s="22">
        <v>18</v>
      </c>
      <c r="M34" s="22">
        <v>18300</v>
      </c>
      <c r="N34" s="22">
        <f>H34*1.18</f>
        <v>7611</v>
      </c>
      <c r="O34" s="22">
        <f>_xlfn.CEILING.MATH(F34*1.56)-1</f>
        <v>10061</v>
      </c>
    </row>
    <row r="35" spans="1:15" s="22" customFormat="1">
      <c r="A35" s="22">
        <v>34</v>
      </c>
      <c r="B35" s="22" t="s">
        <v>63</v>
      </c>
      <c r="C35" s="22" t="s">
        <v>1265</v>
      </c>
      <c r="E35" s="22">
        <v>1</v>
      </c>
      <c r="F35" s="22">
        <v>2835</v>
      </c>
      <c r="G35" s="30">
        <f>IF(OR(M35="",O35="",M35=0),"",(M35-O35)/M35)</f>
        <v>0.27508196721311473</v>
      </c>
      <c r="H35" s="22">
        <v>2835</v>
      </c>
      <c r="I35" s="22">
        <v>279</v>
      </c>
      <c r="J35" s="22">
        <v>1</v>
      </c>
      <c r="K35" s="22">
        <v>6</v>
      </c>
      <c r="L35" s="22">
        <v>18</v>
      </c>
      <c r="M35" s="22">
        <v>6100</v>
      </c>
      <c r="N35" s="22">
        <f>H35*1.18</f>
        <v>3345.2999999999997</v>
      </c>
      <c r="O35" s="22">
        <f>_xlfn.CEILING.MATH(F35*1.56)-1</f>
        <v>4422</v>
      </c>
    </row>
    <row r="36" spans="1:15" s="22" customFormat="1">
      <c r="A36" s="22">
        <v>35</v>
      </c>
      <c r="B36" s="22" t="s">
        <v>76</v>
      </c>
      <c r="C36" s="22" t="s">
        <v>1266</v>
      </c>
      <c r="E36" s="22">
        <v>1</v>
      </c>
      <c r="F36" s="22">
        <v>1200</v>
      </c>
      <c r="G36" s="30">
        <f>IF(OR(M36="",O36="",M36=0),"",(M36-O36)/M36)</f>
        <v>0.55955743879472697</v>
      </c>
      <c r="H36" s="22">
        <v>1200</v>
      </c>
      <c r="I36" s="22">
        <v>837</v>
      </c>
      <c r="J36" s="22">
        <v>1</v>
      </c>
      <c r="K36" s="22">
        <v>8</v>
      </c>
      <c r="L36" s="22">
        <v>18</v>
      </c>
      <c r="M36" s="22">
        <f>_xlfn.CEILING.MATH(N36*3)</f>
        <v>4248</v>
      </c>
      <c r="N36" s="22">
        <f>H36*1.18</f>
        <v>1416</v>
      </c>
      <c r="O36" s="22">
        <f>_xlfn.CEILING.MATH(F36*1.56)-1</f>
        <v>1871</v>
      </c>
    </row>
    <row r="37" spans="1:15" s="22" customFormat="1">
      <c r="A37" s="22">
        <v>36</v>
      </c>
      <c r="B37" s="22" t="s">
        <v>75</v>
      </c>
      <c r="C37" s="22" t="s">
        <v>1267</v>
      </c>
      <c r="E37" s="22">
        <v>1</v>
      </c>
      <c r="F37" s="22">
        <v>1410</v>
      </c>
      <c r="G37" s="30">
        <f>IF(OR(M37="",O37="",M37=0),"",(M37-O37)/M37)</f>
        <v>0.43615384615384617</v>
      </c>
      <c r="H37" s="22">
        <v>1410</v>
      </c>
      <c r="I37" s="22">
        <v>2843</v>
      </c>
      <c r="J37" s="22">
        <v>1</v>
      </c>
      <c r="K37" s="22">
        <v>8</v>
      </c>
      <c r="L37" s="22">
        <v>18</v>
      </c>
      <c r="M37" s="22">
        <v>3900</v>
      </c>
      <c r="N37" s="22">
        <f>H37*1.18</f>
        <v>1663.8</v>
      </c>
      <c r="O37" s="22">
        <f>_xlfn.CEILING.MATH(F37*1.56)-1</f>
        <v>2199</v>
      </c>
    </row>
    <row r="38" spans="1:15" s="22" customFormat="1">
      <c r="A38" s="22">
        <v>37</v>
      </c>
      <c r="B38" s="22" t="s">
        <v>95</v>
      </c>
      <c r="C38" s="22" t="s">
        <v>1268</v>
      </c>
      <c r="E38" s="22">
        <v>1</v>
      </c>
      <c r="F38" s="22">
        <v>3540</v>
      </c>
      <c r="G38" s="30">
        <f>IF(OR(M38="",O38="",M38=0),"",(M38-O38)/M38)</f>
        <v>0.38983425414364642</v>
      </c>
      <c r="H38" s="22">
        <v>3540</v>
      </c>
      <c r="I38" s="22">
        <v>108</v>
      </c>
      <c r="J38" s="22">
        <v>1</v>
      </c>
      <c r="K38" s="22">
        <v>2</v>
      </c>
      <c r="L38" s="22">
        <v>18</v>
      </c>
      <c r="M38" s="22">
        <v>9050</v>
      </c>
      <c r="N38" s="22">
        <f>H38*1.18</f>
        <v>4177.2</v>
      </c>
      <c r="O38" s="22">
        <f>_xlfn.CEILING.MATH(F38*1.56)-1</f>
        <v>5522</v>
      </c>
    </row>
    <row r="39" spans="1:15" s="22" customFormat="1">
      <c r="A39" s="22">
        <v>38</v>
      </c>
      <c r="B39" s="22" t="s">
        <v>78</v>
      </c>
      <c r="C39" s="22" t="s">
        <v>1269</v>
      </c>
      <c r="E39" s="22">
        <v>1</v>
      </c>
      <c r="F39" s="22">
        <v>3000</v>
      </c>
      <c r="G39" s="30">
        <f>IF(OR(M39="",O39="",M39=0),"",(M39-O39)/M39)</f>
        <v>0.34098591549295776</v>
      </c>
      <c r="H39" s="22">
        <v>3000</v>
      </c>
      <c r="I39" s="22">
        <v>111</v>
      </c>
      <c r="J39" s="22">
        <v>1</v>
      </c>
      <c r="K39" s="22">
        <v>5</v>
      </c>
      <c r="L39" s="22">
        <v>18</v>
      </c>
      <c r="M39" s="22">
        <v>7100</v>
      </c>
      <c r="N39" s="22">
        <f>H39*1.18</f>
        <v>3540</v>
      </c>
      <c r="O39" s="22">
        <f>_xlfn.CEILING.MATH(F39*1.56)-1</f>
        <v>4679</v>
      </c>
    </row>
    <row r="40" spans="1:15" s="22" customFormat="1">
      <c r="A40" s="22">
        <v>39</v>
      </c>
      <c r="B40" s="22" t="s">
        <v>79</v>
      </c>
      <c r="C40" s="22" t="s">
        <v>1270</v>
      </c>
      <c r="E40" s="22">
        <v>1</v>
      </c>
      <c r="F40" s="22">
        <v>1695</v>
      </c>
      <c r="G40" s="30">
        <f>IF(OR(M40="",O40="",M40=0),"",(M40-O40)/M40)</f>
        <v>0.38511627906976742</v>
      </c>
      <c r="H40" s="22">
        <v>1695</v>
      </c>
      <c r="I40" s="22">
        <v>2282</v>
      </c>
      <c r="J40" s="22">
        <v>1</v>
      </c>
      <c r="K40" s="22">
        <v>10</v>
      </c>
      <c r="L40" s="22">
        <v>18</v>
      </c>
      <c r="M40" s="22">
        <v>4300</v>
      </c>
      <c r="N40" s="22">
        <f>H40*1.18</f>
        <v>2000.1</v>
      </c>
      <c r="O40" s="22">
        <f>_xlfn.CEILING.MATH(F40*1.56)-1</f>
        <v>2644</v>
      </c>
    </row>
    <row r="41" spans="1:15" s="22" customFormat="1">
      <c r="A41" s="22">
        <v>40</v>
      </c>
      <c r="B41" s="22" t="s">
        <v>1271</v>
      </c>
      <c r="C41" s="22" t="s">
        <v>1272</v>
      </c>
      <c r="E41" s="22">
        <v>1</v>
      </c>
      <c r="F41" s="22">
        <v>2970</v>
      </c>
      <c r="G41" s="30">
        <f>IF(OR(M41="",O41="",M41=0),"",(M41-O41)/M41)</f>
        <v>0.39039473684210524</v>
      </c>
      <c r="H41" s="22">
        <v>2970</v>
      </c>
      <c r="I41" s="22">
        <v>0</v>
      </c>
      <c r="J41" s="22">
        <v>1</v>
      </c>
      <c r="K41" s="22">
        <v>5</v>
      </c>
      <c r="L41" s="22">
        <v>18</v>
      </c>
      <c r="M41" s="22">
        <v>7600</v>
      </c>
      <c r="N41" s="22">
        <f>H41*1.18</f>
        <v>3504.6</v>
      </c>
      <c r="O41" s="22">
        <f>_xlfn.CEILING.MATH(F41*1.56)-1</f>
        <v>4633</v>
      </c>
    </row>
    <row r="42" spans="1:15" s="22" customFormat="1">
      <c r="A42" s="22">
        <v>41</v>
      </c>
      <c r="B42" s="22" t="s">
        <v>69</v>
      </c>
      <c r="C42" s="22" t="s">
        <v>1273</v>
      </c>
      <c r="E42" s="22">
        <v>1</v>
      </c>
      <c r="F42" s="22">
        <v>5295</v>
      </c>
      <c r="G42" s="30">
        <f>IF(OR(M42="",O42="",M42=0),"",(M42-O42)/M42)</f>
        <v>0.31166666666666665</v>
      </c>
      <c r="H42" s="22">
        <v>5295</v>
      </c>
      <c r="I42" s="22">
        <v>82</v>
      </c>
      <c r="J42" s="22">
        <v>1</v>
      </c>
      <c r="K42" s="22">
        <v>2</v>
      </c>
      <c r="L42" s="22">
        <v>18</v>
      </c>
      <c r="M42" s="22">
        <v>12000</v>
      </c>
      <c r="N42" s="22">
        <f>H42*1.18</f>
        <v>6248.0999999999995</v>
      </c>
      <c r="O42" s="22">
        <f>_xlfn.CEILING.MATH(F42*1.56)-1</f>
        <v>8260</v>
      </c>
    </row>
    <row r="43" spans="1:15" s="22" customFormat="1">
      <c r="A43" s="22">
        <v>42</v>
      </c>
      <c r="B43" s="22" t="s">
        <v>48</v>
      </c>
      <c r="C43" s="22" t="s">
        <v>1274</v>
      </c>
      <c r="E43" s="22">
        <v>1</v>
      </c>
      <c r="F43" s="22">
        <v>3750</v>
      </c>
      <c r="G43" s="30">
        <f>IF(OR(M43="",O43="",M43=0),"",(M43-O43)/M43)</f>
        <v>0.55939736346516011</v>
      </c>
      <c r="H43" s="22">
        <v>3750</v>
      </c>
      <c r="I43" s="22">
        <v>1028</v>
      </c>
      <c r="J43" s="22">
        <v>1</v>
      </c>
      <c r="K43" s="22">
        <v>1</v>
      </c>
      <c r="L43" s="22">
        <v>18</v>
      </c>
      <c r="M43" s="22">
        <f>_xlfn.CEILING.MATH(N43*3)</f>
        <v>13275</v>
      </c>
      <c r="N43" s="22">
        <f>H43*1.18</f>
        <v>4425</v>
      </c>
      <c r="O43" s="22">
        <f>_xlfn.CEILING.MATH(F43*1.56)-1</f>
        <v>5849</v>
      </c>
    </row>
    <row r="44" spans="1:15" s="22" customFormat="1">
      <c r="A44" s="22">
        <v>43</v>
      </c>
      <c r="B44" s="22" t="s">
        <v>121</v>
      </c>
      <c r="C44" s="22" t="s">
        <v>1275</v>
      </c>
      <c r="E44" s="22">
        <v>1</v>
      </c>
      <c r="F44" s="22">
        <v>1755</v>
      </c>
      <c r="G44" s="30">
        <f>IF(OR(M44="",O44="",M44=0),"",(M44-O44)/M44)</f>
        <v>0.55947207468211813</v>
      </c>
      <c r="H44" s="22">
        <v>1755</v>
      </c>
      <c r="I44" s="22">
        <v>0</v>
      </c>
      <c r="J44" s="22">
        <v>1</v>
      </c>
      <c r="K44" s="22">
        <v>6</v>
      </c>
      <c r="L44" s="22">
        <v>18</v>
      </c>
      <c r="M44" s="22">
        <f>_xlfn.CEILING.MATH(N44*3)</f>
        <v>6213</v>
      </c>
      <c r="N44" s="22">
        <f>H44*1.18</f>
        <v>2070.9</v>
      </c>
      <c r="O44" s="22">
        <f>_xlfn.CEILING.MATH(F44*1.56)-1</f>
        <v>2737</v>
      </c>
    </row>
    <row r="45" spans="1:15" s="22" customFormat="1">
      <c r="A45" s="22">
        <v>44</v>
      </c>
      <c r="B45" s="22" t="s">
        <v>1276</v>
      </c>
      <c r="C45" s="22" t="s">
        <v>1277</v>
      </c>
      <c r="E45" s="22">
        <v>1</v>
      </c>
      <c r="F45" s="22">
        <v>2025</v>
      </c>
      <c r="G45" s="30">
        <f>IF(OR(M45="",O45="",M45=0),"",(M45-O45)/M45)</f>
        <v>0.55949225833449578</v>
      </c>
      <c r="H45" s="22">
        <v>2025</v>
      </c>
      <c r="I45" s="22">
        <v>0</v>
      </c>
      <c r="J45" s="22">
        <v>1</v>
      </c>
      <c r="K45" s="22">
        <v>6</v>
      </c>
      <c r="L45" s="22">
        <v>18</v>
      </c>
      <c r="M45" s="22">
        <f>_xlfn.CEILING.MATH(N45*3)</f>
        <v>7169</v>
      </c>
      <c r="N45" s="22">
        <f>H45*1.18</f>
        <v>2389.5</v>
      </c>
      <c r="O45" s="22">
        <f>_xlfn.CEILING.MATH(F45*1.56)-1</f>
        <v>3158</v>
      </c>
    </row>
    <row r="46" spans="1:15" s="22" customFormat="1">
      <c r="A46" s="22">
        <v>45</v>
      </c>
      <c r="B46" s="22" t="s">
        <v>84</v>
      </c>
      <c r="C46" s="22" t="s">
        <v>1278</v>
      </c>
      <c r="E46" s="22">
        <v>1</v>
      </c>
      <c r="F46" s="22">
        <v>3285</v>
      </c>
      <c r="G46" s="30">
        <f>IF(OR(M46="",O46="",M46=0),"",(M46-O46)/M46)</f>
        <v>0.55937741852265888</v>
      </c>
      <c r="H46" s="22">
        <v>3285</v>
      </c>
      <c r="I46" s="22">
        <v>1805</v>
      </c>
      <c r="J46" s="22">
        <v>1</v>
      </c>
      <c r="K46" s="22">
        <v>4</v>
      </c>
      <c r="L46" s="22">
        <v>18</v>
      </c>
      <c r="M46" s="22">
        <f>_xlfn.CEILING.MATH(N46*3)</f>
        <v>11629</v>
      </c>
      <c r="N46" s="22">
        <f>H46*1.18</f>
        <v>3876.2999999999997</v>
      </c>
      <c r="O46" s="22">
        <f>_xlfn.CEILING.MATH(F46*1.56)-1</f>
        <v>5124</v>
      </c>
    </row>
    <row r="47" spans="1:15" s="22" customFormat="1">
      <c r="A47" s="22">
        <v>46</v>
      </c>
      <c r="B47" s="22" t="s">
        <v>88</v>
      </c>
      <c r="C47" s="22" t="s">
        <v>1279</v>
      </c>
      <c r="E47" s="22">
        <v>1</v>
      </c>
      <c r="F47" s="22">
        <v>4155</v>
      </c>
      <c r="G47" s="30">
        <f>IF(OR(M47="",O47="",M47=0),"",(M47-O47)/M47)</f>
        <v>0.55938541029301792</v>
      </c>
      <c r="H47" s="22">
        <v>4155</v>
      </c>
      <c r="I47" s="22">
        <v>403</v>
      </c>
      <c r="J47" s="22">
        <v>1</v>
      </c>
      <c r="K47" s="22">
        <v>4</v>
      </c>
      <c r="L47" s="22">
        <v>18</v>
      </c>
      <c r="M47" s="22">
        <f>_xlfn.CEILING.MATH(N47*3)</f>
        <v>14709</v>
      </c>
      <c r="N47" s="22">
        <f>H47*1.18</f>
        <v>4902.8999999999996</v>
      </c>
      <c r="O47" s="22">
        <f>_xlfn.CEILING.MATH(F47*1.56)-1</f>
        <v>6481</v>
      </c>
    </row>
    <row r="48" spans="1:15" s="22" customFormat="1">
      <c r="A48" s="22">
        <v>47</v>
      </c>
      <c r="B48" s="22" t="s">
        <v>87</v>
      </c>
      <c r="C48" s="22" t="s">
        <v>1280</v>
      </c>
      <c r="E48" s="22">
        <v>1</v>
      </c>
      <c r="F48" s="22">
        <v>3900</v>
      </c>
      <c r="G48" s="30">
        <f>IF(OR(M48="",O48="",M48=0),"",(M48-O48)/M48)</f>
        <v>0.55939446617412714</v>
      </c>
      <c r="H48" s="22">
        <v>3900</v>
      </c>
      <c r="I48" s="22">
        <v>242</v>
      </c>
      <c r="J48" s="22">
        <v>1</v>
      </c>
      <c r="K48" s="22">
        <v>2</v>
      </c>
      <c r="L48" s="22">
        <v>18</v>
      </c>
      <c r="M48" s="22">
        <f>_xlfn.CEILING.MATH(N48*3)</f>
        <v>13806</v>
      </c>
      <c r="N48" s="22">
        <f>H48*1.18</f>
        <v>4602</v>
      </c>
      <c r="O48" s="22">
        <f>_xlfn.CEILING.MATH(F48*1.56)-1</f>
        <v>6083</v>
      </c>
    </row>
    <row r="49" spans="1:15" s="22" customFormat="1">
      <c r="A49" s="22">
        <v>48</v>
      </c>
      <c r="B49" s="22" t="s">
        <v>89</v>
      </c>
      <c r="C49" s="22" t="s">
        <v>1281</v>
      </c>
      <c r="E49" s="22">
        <v>1</v>
      </c>
      <c r="F49" s="22">
        <v>2940</v>
      </c>
      <c r="G49" s="30">
        <f>IF(OR(M49="",O49="",M49=0),"",(M49-O49)/M49)</f>
        <v>0.55937740199846275</v>
      </c>
      <c r="H49" s="22">
        <v>2940</v>
      </c>
      <c r="I49" s="22">
        <v>1077</v>
      </c>
      <c r="J49" s="22">
        <v>1</v>
      </c>
      <c r="K49" s="22">
        <v>5</v>
      </c>
      <c r="L49" s="22">
        <v>18</v>
      </c>
      <c r="M49" s="22">
        <f>_xlfn.CEILING.MATH(N49*3)</f>
        <v>10408</v>
      </c>
      <c r="N49" s="22">
        <f>H49*1.18</f>
        <v>3469.2</v>
      </c>
      <c r="O49" s="22">
        <f>_xlfn.CEILING.MATH(F49*1.56)-1</f>
        <v>4586</v>
      </c>
    </row>
    <row r="50" spans="1:15" s="22" customFormat="1">
      <c r="A50" s="22">
        <v>49</v>
      </c>
      <c r="B50" s="22" t="s">
        <v>86</v>
      </c>
      <c r="C50" s="22" t="s">
        <v>1282</v>
      </c>
      <c r="E50" s="22">
        <v>1</v>
      </c>
      <c r="F50" s="22">
        <v>2310</v>
      </c>
      <c r="G50" s="30">
        <f>IF(OR(M50="",O50="",M50=0),"",(M50-O50)/M50)</f>
        <v>0.55942773294203962</v>
      </c>
      <c r="H50" s="22">
        <v>2310</v>
      </c>
      <c r="I50" s="22">
        <v>581</v>
      </c>
      <c r="J50" s="22">
        <v>1</v>
      </c>
      <c r="K50" s="22">
        <v>5</v>
      </c>
      <c r="L50" s="22">
        <v>18</v>
      </c>
      <c r="M50" s="22">
        <f>_xlfn.CEILING.MATH(N50*3)</f>
        <v>8178</v>
      </c>
      <c r="N50" s="22">
        <f>H50*1.18</f>
        <v>2725.7999999999997</v>
      </c>
      <c r="O50" s="22">
        <f>_xlfn.CEILING.MATH(F50*1.56)-1</f>
        <v>3603</v>
      </c>
    </row>
    <row r="51" spans="1:15" s="22" customFormat="1">
      <c r="A51" s="22">
        <v>50</v>
      </c>
      <c r="B51" s="22" t="s">
        <v>90</v>
      </c>
      <c r="C51" s="22" t="s">
        <v>1283</v>
      </c>
      <c r="E51" s="22">
        <v>1</v>
      </c>
      <c r="F51" s="22">
        <v>9600</v>
      </c>
      <c r="G51" s="30">
        <f>IF(OR(M51="",O51="",M51=0),"",(M51-O51)/M51)</f>
        <v>0.41066509248327432</v>
      </c>
      <c r="H51" s="22">
        <v>9600</v>
      </c>
      <c r="I51" s="22">
        <v>33</v>
      </c>
      <c r="J51" s="22">
        <v>1</v>
      </c>
      <c r="K51" s="22">
        <v>1</v>
      </c>
      <c r="L51" s="22">
        <v>18</v>
      </c>
      <c r="M51" s="22">
        <v>25410</v>
      </c>
      <c r="N51" s="22">
        <f>H51*1.18</f>
        <v>11328</v>
      </c>
      <c r="O51" s="22">
        <f>_xlfn.CEILING.MATH(F51*1.56)-1</f>
        <v>14975</v>
      </c>
    </row>
    <row r="52" spans="1:15" s="22" customFormat="1">
      <c r="A52" s="22">
        <v>51</v>
      </c>
      <c r="B52" s="22" t="s">
        <v>91</v>
      </c>
      <c r="C52" s="22" t="s">
        <v>1284</v>
      </c>
      <c r="E52" s="22">
        <v>1</v>
      </c>
      <c r="F52" s="22">
        <v>9150</v>
      </c>
      <c r="G52" s="30">
        <f>IF(OR(M52="",O52="",M52=0),"",(M52-O52)/M52)</f>
        <v>0.41861507128309572</v>
      </c>
      <c r="H52" s="22">
        <v>9150</v>
      </c>
      <c r="I52" s="22">
        <v>1</v>
      </c>
      <c r="J52" s="22">
        <v>1</v>
      </c>
      <c r="K52" s="22">
        <v>1</v>
      </c>
      <c r="L52" s="22">
        <v>18</v>
      </c>
      <c r="M52" s="22">
        <v>24550</v>
      </c>
      <c r="N52" s="22">
        <f>H52*1.18</f>
        <v>10797</v>
      </c>
      <c r="O52" s="22">
        <f>_xlfn.CEILING.MATH(F52*1.56)-1</f>
        <v>14273</v>
      </c>
    </row>
    <row r="53" spans="1:15" s="22" customFormat="1">
      <c r="A53" s="22">
        <v>52</v>
      </c>
      <c r="B53" s="22" t="s">
        <v>92</v>
      </c>
      <c r="C53" s="22" t="s">
        <v>1285</v>
      </c>
      <c r="E53" s="22">
        <v>1</v>
      </c>
      <c r="F53" s="22">
        <v>8100</v>
      </c>
      <c r="G53" s="30">
        <f>IF(OR(M53="",O53="",M53=0),"",(M53-O53)/M53)</f>
        <v>0.55935690869777499</v>
      </c>
      <c r="H53" s="22">
        <v>8100</v>
      </c>
      <c r="I53" s="22">
        <v>186</v>
      </c>
      <c r="J53" s="22">
        <v>1</v>
      </c>
      <c r="K53" s="22">
        <v>2</v>
      </c>
      <c r="L53" s="22">
        <v>18</v>
      </c>
      <c r="M53" s="22">
        <f>_xlfn.CEILING.MATH(N53*3)</f>
        <v>28674</v>
      </c>
      <c r="N53" s="22">
        <f>H53*1.18</f>
        <v>9558</v>
      </c>
      <c r="O53" s="22">
        <f>_xlfn.CEILING.MATH(F53*1.56)-1</f>
        <v>12635</v>
      </c>
    </row>
    <row r="54" spans="1:15" s="22" customFormat="1">
      <c r="A54" s="22">
        <v>53</v>
      </c>
      <c r="B54" s="22" t="s">
        <v>93</v>
      </c>
      <c r="C54" s="22" t="s">
        <v>1286</v>
      </c>
      <c r="E54" s="22">
        <v>1</v>
      </c>
      <c r="F54" s="22">
        <v>8325</v>
      </c>
      <c r="G54" s="30">
        <f>IF(OR(M54="",O54="",M54=0),"",(M54-O54)/M54)</f>
        <v>0.55936344202775612</v>
      </c>
      <c r="H54" s="22">
        <v>8325</v>
      </c>
      <c r="I54" s="22">
        <v>0</v>
      </c>
      <c r="J54" s="22">
        <v>1</v>
      </c>
      <c r="K54" s="22">
        <v>2</v>
      </c>
      <c r="L54" s="22">
        <v>18</v>
      </c>
      <c r="M54" s="22">
        <f>_xlfn.CEILING.MATH(N54*3)</f>
        <v>29471</v>
      </c>
      <c r="N54" s="22">
        <f>H54*1.18</f>
        <v>9823.5</v>
      </c>
      <c r="O54" s="22">
        <f>_xlfn.CEILING.MATH(F54*1.56)-1</f>
        <v>12986</v>
      </c>
    </row>
    <row r="55" spans="1:15" s="22" customFormat="1">
      <c r="A55" s="22">
        <v>54</v>
      </c>
      <c r="B55" s="22" t="s">
        <v>94</v>
      </c>
      <c r="C55" s="22" t="s">
        <v>1287</v>
      </c>
      <c r="E55" s="22">
        <v>1</v>
      </c>
      <c r="F55" s="22">
        <v>6990</v>
      </c>
      <c r="G55" s="30">
        <f>IF(OR(M55="",O55="",M55=0),"",(M55-O55)/M55)</f>
        <v>0.5593453222873308</v>
      </c>
      <c r="H55" s="22">
        <v>6990</v>
      </c>
      <c r="I55" s="22">
        <v>411</v>
      </c>
      <c r="J55" s="22">
        <v>1</v>
      </c>
      <c r="K55" s="22">
        <v>2</v>
      </c>
      <c r="L55" s="22">
        <v>18</v>
      </c>
      <c r="M55" s="22">
        <f>_xlfn.CEILING.MATH(N55*3)</f>
        <v>24745</v>
      </c>
      <c r="N55" s="22">
        <f>H55*1.18</f>
        <v>8248.1999999999989</v>
      </c>
      <c r="O55" s="22">
        <f>_xlfn.CEILING.MATH(F55*1.56)-1</f>
        <v>10904</v>
      </c>
    </row>
    <row r="56" spans="1:15" s="22" customFormat="1">
      <c r="A56" s="22">
        <v>55</v>
      </c>
      <c r="B56" s="22" t="s">
        <v>67</v>
      </c>
      <c r="C56" s="22" t="s">
        <v>1288</v>
      </c>
      <c r="E56" s="22">
        <v>1</v>
      </c>
      <c r="F56" s="22">
        <v>2910</v>
      </c>
      <c r="G56" s="30">
        <f>IF(OR(M56="",O56="",M56=0),"",(M56-O56)/M56)</f>
        <v>0.55940594059405946</v>
      </c>
      <c r="H56" s="22">
        <v>2910</v>
      </c>
      <c r="I56" s="22">
        <v>250</v>
      </c>
      <c r="J56" s="22">
        <v>1</v>
      </c>
      <c r="K56" s="22">
        <v>2</v>
      </c>
      <c r="L56" s="22">
        <v>18</v>
      </c>
      <c r="M56" s="22">
        <f>_xlfn.CEILING.MATH(N56*3)</f>
        <v>10302</v>
      </c>
      <c r="N56" s="22">
        <f>H56*1.18</f>
        <v>3433.7999999999997</v>
      </c>
      <c r="O56" s="22">
        <f>_xlfn.CEILING.MATH(F56*1.56)-1</f>
        <v>4539</v>
      </c>
    </row>
    <row r="57" spans="1:15" s="22" customFormat="1">
      <c r="A57" s="22">
        <v>56</v>
      </c>
      <c r="B57" s="22" t="s">
        <v>66</v>
      </c>
      <c r="C57" s="22" t="s">
        <v>1289</v>
      </c>
      <c r="E57" s="22">
        <v>1</v>
      </c>
      <c r="F57" s="22">
        <v>2985</v>
      </c>
      <c r="G57" s="30">
        <f>IF(OR(M57="",O57="",M57=0),"",(M57-O57)/M57)</f>
        <v>0.55938298476388759</v>
      </c>
      <c r="H57" s="22">
        <v>2985</v>
      </c>
      <c r="I57" s="22">
        <v>898</v>
      </c>
      <c r="J57" s="22">
        <v>1</v>
      </c>
      <c r="K57" s="22">
        <v>2</v>
      </c>
      <c r="L57" s="22">
        <v>18</v>
      </c>
      <c r="M57" s="22">
        <f>_xlfn.CEILING.MATH(N57*3)</f>
        <v>10567</v>
      </c>
      <c r="N57" s="22">
        <f>H57*1.18</f>
        <v>3522.2999999999997</v>
      </c>
      <c r="O57" s="22">
        <f>_xlfn.CEILING.MATH(F57*1.56)-1</f>
        <v>4656</v>
      </c>
    </row>
    <row r="58" spans="1:15" s="22" customFormat="1">
      <c r="A58" s="22">
        <v>57</v>
      </c>
      <c r="B58" s="22" t="s">
        <v>68</v>
      </c>
      <c r="C58" s="22" t="s">
        <v>1290</v>
      </c>
      <c r="E58" s="22">
        <v>1</v>
      </c>
      <c r="F58" s="22">
        <v>3600</v>
      </c>
      <c r="G58" s="30">
        <f>IF(OR(M58="",O58="",M58=0),"",(M58-O58)/M58)</f>
        <v>0.55940050219711235</v>
      </c>
      <c r="H58" s="22">
        <v>3600</v>
      </c>
      <c r="I58" s="22">
        <v>1553</v>
      </c>
      <c r="J58" s="22">
        <v>1</v>
      </c>
      <c r="K58" s="22">
        <v>2</v>
      </c>
      <c r="L58" s="22">
        <v>18</v>
      </c>
      <c r="M58" s="22">
        <f>_xlfn.CEILING.MATH(N58*3)</f>
        <v>12744</v>
      </c>
      <c r="N58" s="22">
        <f>H58*1.18</f>
        <v>4248</v>
      </c>
      <c r="O58" s="22">
        <f>_xlfn.CEILING.MATH(F58*1.56)-1</f>
        <v>5615</v>
      </c>
    </row>
    <row r="59" spans="1:15" s="22" customFormat="1">
      <c r="A59" s="22">
        <v>58</v>
      </c>
      <c r="B59" s="22" t="s">
        <v>70</v>
      </c>
      <c r="C59" s="22" t="s">
        <v>1291</v>
      </c>
      <c r="E59" s="22">
        <v>1</v>
      </c>
      <c r="F59" s="22">
        <v>6750</v>
      </c>
      <c r="G59" s="30">
        <f>IF(OR(M59="",O59="",M59=0),"",(M59-O59)/M59)</f>
        <v>0.55936388365766898</v>
      </c>
      <c r="H59" s="22">
        <v>6750</v>
      </c>
      <c r="I59" s="22">
        <v>77</v>
      </c>
      <c r="J59" s="22">
        <v>1</v>
      </c>
      <c r="K59" s="22">
        <v>2</v>
      </c>
      <c r="L59" s="22">
        <v>18</v>
      </c>
      <c r="M59" s="22">
        <f>_xlfn.CEILING.MATH(N59*3)</f>
        <v>23895</v>
      </c>
      <c r="N59" s="22">
        <f>H59*1.18</f>
        <v>7965</v>
      </c>
      <c r="O59" s="22">
        <f>_xlfn.CEILING.MATH(F59*1.56)-1</f>
        <v>10529</v>
      </c>
    </row>
    <row r="60" spans="1:15" s="22" customFormat="1">
      <c r="A60" s="22">
        <v>59</v>
      </c>
      <c r="B60" s="22" t="s">
        <v>114</v>
      </c>
      <c r="C60" s="22" t="s">
        <v>1292</v>
      </c>
      <c r="E60" s="22">
        <v>1</v>
      </c>
      <c r="F60" s="22">
        <v>2250</v>
      </c>
      <c r="G60" s="30">
        <f>IF(OR(M60="",O60="",M60=0),"",(M60-O60)/M60)</f>
        <v>0.55944758317639676</v>
      </c>
      <c r="H60" s="22">
        <v>2250</v>
      </c>
      <c r="I60" s="22">
        <v>165</v>
      </c>
      <c r="J60" s="22">
        <v>1</v>
      </c>
      <c r="K60" s="22">
        <v>4</v>
      </c>
      <c r="L60" s="22">
        <v>18</v>
      </c>
      <c r="M60" s="22">
        <f>_xlfn.CEILING.MATH(N60*3)</f>
        <v>7965</v>
      </c>
      <c r="N60" s="22">
        <f>H60*1.18</f>
        <v>2655</v>
      </c>
      <c r="O60" s="22">
        <f>_xlfn.CEILING.MATH(F60*1.56)-1</f>
        <v>3509</v>
      </c>
    </row>
    <row r="61" spans="1:15" s="22" customFormat="1">
      <c r="A61" s="22">
        <v>60</v>
      </c>
      <c r="B61" s="22" t="s">
        <v>96</v>
      </c>
      <c r="C61" s="22" t="s">
        <v>1293</v>
      </c>
      <c r="E61" s="22">
        <v>1</v>
      </c>
      <c r="F61" s="22">
        <v>1200</v>
      </c>
      <c r="G61" s="30">
        <f>IF(OR(M61="",O61="",M61=0),"",(M61-O61)/M61)</f>
        <v>0.55955743879472697</v>
      </c>
      <c r="H61" s="22">
        <v>1200</v>
      </c>
      <c r="I61" s="22">
        <v>258</v>
      </c>
      <c r="J61" s="22">
        <v>1</v>
      </c>
      <c r="K61" s="22">
        <v>8</v>
      </c>
      <c r="L61" s="22">
        <v>18</v>
      </c>
      <c r="M61" s="22">
        <f>_xlfn.CEILING.MATH(N61*3)</f>
        <v>4248</v>
      </c>
      <c r="N61" s="22">
        <f>H61*1.18</f>
        <v>1416</v>
      </c>
      <c r="O61" s="22">
        <f>_xlfn.CEILING.MATH(F61*1.56)-1</f>
        <v>1871</v>
      </c>
    </row>
    <row r="62" spans="1:15" s="22" customFormat="1">
      <c r="A62" s="22">
        <v>61</v>
      </c>
      <c r="B62" s="22" t="s">
        <v>97</v>
      </c>
      <c r="C62" s="22" t="s">
        <v>1294</v>
      </c>
      <c r="E62" s="22">
        <v>1</v>
      </c>
      <c r="F62" s="22">
        <v>945</v>
      </c>
      <c r="G62" s="30">
        <f>IF(OR(M62="",O62="",M62=0),"",(M62-O62)/M62)</f>
        <v>0.55947399880454274</v>
      </c>
      <c r="H62" s="22">
        <v>945</v>
      </c>
      <c r="I62" s="22">
        <v>1511</v>
      </c>
      <c r="J62" s="22">
        <v>1</v>
      </c>
      <c r="K62" s="22">
        <v>8</v>
      </c>
      <c r="L62" s="22">
        <v>18</v>
      </c>
      <c r="M62" s="22">
        <f>_xlfn.CEILING.MATH(N62*3)</f>
        <v>3346</v>
      </c>
      <c r="N62" s="22">
        <f>H62*1.18</f>
        <v>1115.0999999999999</v>
      </c>
      <c r="O62" s="22">
        <f>_xlfn.CEILING.MATH(F62*1.56)-1</f>
        <v>1474</v>
      </c>
    </row>
    <row r="63" spans="1:15" s="22" customFormat="1">
      <c r="A63" s="22">
        <v>62</v>
      </c>
      <c r="B63" s="22" t="s">
        <v>81</v>
      </c>
      <c r="C63" s="22" t="s">
        <v>1295</v>
      </c>
      <c r="E63" s="22">
        <v>1</v>
      </c>
      <c r="F63" s="22">
        <v>2070</v>
      </c>
      <c r="G63" s="30">
        <f>IF(OR(M63="",O63="",M63=0),"",(M63-O63)/M63)</f>
        <v>0.55936135371179041</v>
      </c>
      <c r="H63" s="22">
        <v>2070</v>
      </c>
      <c r="I63" s="22">
        <v>2743</v>
      </c>
      <c r="J63" s="22">
        <v>1</v>
      </c>
      <c r="K63" s="22">
        <v>10</v>
      </c>
      <c r="L63" s="22">
        <v>18</v>
      </c>
      <c r="M63" s="22">
        <f>_xlfn.CEILING.MATH(N63*3)</f>
        <v>7328</v>
      </c>
      <c r="N63" s="22">
        <f>H63*1.18</f>
        <v>2442.6</v>
      </c>
      <c r="O63" s="22">
        <f>_xlfn.CEILING.MATH(F63*1.56)-1</f>
        <v>3229</v>
      </c>
    </row>
    <row r="64" spans="1:15" s="22" customFormat="1">
      <c r="A64" s="22">
        <v>63</v>
      </c>
      <c r="B64" s="22" t="s">
        <v>80</v>
      </c>
      <c r="C64" s="22" t="s">
        <v>1296</v>
      </c>
      <c r="E64" s="22">
        <v>1</v>
      </c>
      <c r="F64" s="22">
        <v>1800</v>
      </c>
      <c r="G64" s="30">
        <f>IF(OR(M64="",O64="",M64=0),"",(M64-O64)/M64)</f>
        <v>0.55947897049591966</v>
      </c>
      <c r="H64" s="22">
        <v>1800</v>
      </c>
      <c r="I64" s="22">
        <v>780</v>
      </c>
      <c r="J64" s="22">
        <v>1</v>
      </c>
      <c r="K64" s="22">
        <v>10</v>
      </c>
      <c r="L64" s="22">
        <v>18</v>
      </c>
      <c r="M64" s="22">
        <f>_xlfn.CEILING.MATH(N64*3)</f>
        <v>6372</v>
      </c>
      <c r="N64" s="22">
        <f>H64*1.18</f>
        <v>2124</v>
      </c>
      <c r="O64" s="22">
        <f>_xlfn.CEILING.MATH(F64*1.56)-1</f>
        <v>2807</v>
      </c>
    </row>
    <row r="65" spans="1:15" s="22" customFormat="1">
      <c r="A65" s="22">
        <v>64</v>
      </c>
      <c r="B65" s="22" t="s">
        <v>98</v>
      </c>
      <c r="C65" s="22" t="s">
        <v>1297</v>
      </c>
      <c r="E65" s="22">
        <v>1</v>
      </c>
      <c r="F65" s="22">
        <v>6390</v>
      </c>
      <c r="G65" s="30">
        <f>IF(OR(M65="",O65="",M65=0),"",(M65-O65)/M65)</f>
        <v>0.55934750895185892</v>
      </c>
      <c r="H65" s="22">
        <v>6390</v>
      </c>
      <c r="I65" s="22">
        <v>922</v>
      </c>
      <c r="J65" s="22">
        <v>1</v>
      </c>
      <c r="K65" s="22">
        <v>2</v>
      </c>
      <c r="L65" s="22">
        <v>18</v>
      </c>
      <c r="M65" s="22">
        <f>_xlfn.CEILING.MATH(N65*3)</f>
        <v>22621</v>
      </c>
      <c r="N65" s="22">
        <f>H65*1.18</f>
        <v>7540.2</v>
      </c>
      <c r="O65" s="22">
        <f>_xlfn.CEILING.MATH(F65*1.56)-1</f>
        <v>9968</v>
      </c>
    </row>
    <row r="66" spans="1:15" s="22" customFormat="1">
      <c r="A66" s="22">
        <v>65</v>
      </c>
      <c r="B66" s="22" t="s">
        <v>99</v>
      </c>
      <c r="C66" s="22" t="s">
        <v>1298</v>
      </c>
      <c r="E66" s="22">
        <v>1</v>
      </c>
      <c r="F66" s="22">
        <v>7755</v>
      </c>
      <c r="G66" s="30">
        <f>IF(OR(M66="",O66="",M66=0),"",(M66-O66)/M66)</f>
        <v>0.55935599023786109</v>
      </c>
      <c r="H66" s="22">
        <v>7755</v>
      </c>
      <c r="I66" s="22">
        <v>1507</v>
      </c>
      <c r="J66" s="22">
        <v>1</v>
      </c>
      <c r="K66" s="22">
        <v>2</v>
      </c>
      <c r="L66" s="22">
        <v>18</v>
      </c>
      <c r="M66" s="22">
        <f>_xlfn.CEILING.MATH(N66*3)</f>
        <v>27453</v>
      </c>
      <c r="N66" s="22">
        <f>H66*1.18</f>
        <v>9150.9</v>
      </c>
      <c r="O66" s="22">
        <f>_xlfn.CEILING.MATH(F66*1.56)-1</f>
        <v>12097</v>
      </c>
    </row>
    <row r="67" spans="1:15" s="22" customFormat="1">
      <c r="A67" s="22">
        <v>66</v>
      </c>
      <c r="B67" s="22" t="s">
        <v>100</v>
      </c>
      <c r="C67" s="22" t="s">
        <v>1299</v>
      </c>
      <c r="E67" s="22">
        <v>1</v>
      </c>
      <c r="F67" s="22">
        <v>16500</v>
      </c>
      <c r="G67" s="30">
        <f>IF(OR(M67="",O67="",M67=0),"",(M67-O67)/M67)</f>
        <v>0.5593391542544085</v>
      </c>
      <c r="H67" s="22">
        <v>16500</v>
      </c>
      <c r="I67" s="22">
        <v>75</v>
      </c>
      <c r="J67" s="22">
        <v>1</v>
      </c>
      <c r="K67" s="22">
        <v>1</v>
      </c>
      <c r="L67" s="22">
        <v>18</v>
      </c>
      <c r="M67" s="22">
        <f>_xlfn.CEILING.MATH(N67*3)</f>
        <v>58410</v>
      </c>
      <c r="N67" s="22">
        <f>H67*1.18</f>
        <v>19470</v>
      </c>
      <c r="O67" s="22">
        <f>_xlfn.CEILING.MATH(F67*1.56)-1</f>
        <v>25739</v>
      </c>
    </row>
    <row r="68" spans="1:15" s="22" customFormat="1">
      <c r="A68" s="22">
        <v>67</v>
      </c>
      <c r="B68" s="22" t="s">
        <v>101</v>
      </c>
      <c r="C68" s="22" t="s">
        <v>1300</v>
      </c>
      <c r="E68" s="22">
        <v>1</v>
      </c>
      <c r="F68" s="22">
        <v>39000</v>
      </c>
      <c r="G68" s="30">
        <f>IF(OR(M68="",O68="",M68=0),"",(M68-O68)/M68)</f>
        <v>0.55932927712588731</v>
      </c>
      <c r="H68" s="22">
        <v>39000</v>
      </c>
      <c r="I68" s="22">
        <v>6</v>
      </c>
      <c r="J68" s="22">
        <v>1</v>
      </c>
      <c r="K68" s="22">
        <v>1</v>
      </c>
      <c r="L68" s="22">
        <v>18</v>
      </c>
      <c r="M68" s="22">
        <f>_xlfn.CEILING.MATH(N68*3)</f>
        <v>138060</v>
      </c>
      <c r="N68" s="22">
        <f>H68*1.18</f>
        <v>46020</v>
      </c>
      <c r="O68" s="22">
        <f>_xlfn.CEILING.MATH(F68*1.56)-1</f>
        <v>60839</v>
      </c>
    </row>
    <row r="69" spans="1:15" s="22" customFormat="1">
      <c r="A69" s="22">
        <v>68</v>
      </c>
      <c r="B69" s="22" t="s">
        <v>85</v>
      </c>
      <c r="C69" s="22" t="s">
        <v>1301</v>
      </c>
      <c r="E69" s="22">
        <v>1</v>
      </c>
      <c r="F69" s="22">
        <v>3150</v>
      </c>
      <c r="G69" s="30">
        <f>IF(OR(M69="",O69="",M69=0),"",(M69-O69)/M69)</f>
        <v>0.55941171195408479</v>
      </c>
      <c r="H69" s="22">
        <v>3150</v>
      </c>
      <c r="I69" s="22">
        <v>311</v>
      </c>
      <c r="J69" s="22">
        <v>1</v>
      </c>
      <c r="K69" s="22">
        <v>5</v>
      </c>
      <c r="L69" s="22">
        <v>18</v>
      </c>
      <c r="M69" s="22">
        <f>_xlfn.CEILING.MATH(N69*3)</f>
        <v>11151</v>
      </c>
      <c r="N69" s="22">
        <f>H69*1.18</f>
        <v>3717</v>
      </c>
      <c r="O69" s="22">
        <f>_xlfn.CEILING.MATH(F69*1.56)-1</f>
        <v>4913</v>
      </c>
    </row>
    <row r="70" spans="1:15" s="22" customFormat="1">
      <c r="A70" s="22">
        <v>69</v>
      </c>
      <c r="B70" s="22" t="s">
        <v>77</v>
      </c>
      <c r="C70" s="22" t="s">
        <v>1302</v>
      </c>
      <c r="E70" s="22">
        <v>1</v>
      </c>
      <c r="F70" s="22">
        <v>1455</v>
      </c>
      <c r="G70" s="30">
        <f>IF(OR(M70="",O70="",M70=0),"",(M70-O70)/M70)</f>
        <v>0.55950300912444184</v>
      </c>
      <c r="H70" s="22">
        <v>1455</v>
      </c>
      <c r="I70" s="22">
        <v>1774</v>
      </c>
      <c r="J70" s="22">
        <v>1</v>
      </c>
      <c r="K70" s="22">
        <v>10</v>
      </c>
      <c r="L70" s="22">
        <v>18</v>
      </c>
      <c r="M70" s="22">
        <f>_xlfn.CEILING.MATH(N70*3)</f>
        <v>5151</v>
      </c>
      <c r="N70" s="22">
        <f>H70*1.18</f>
        <v>1716.8999999999999</v>
      </c>
      <c r="O70" s="22">
        <f>_xlfn.CEILING.MATH(F70*1.56)-1</f>
        <v>2269</v>
      </c>
    </row>
    <row r="71" spans="1:15" s="22" customFormat="1">
      <c r="A71" s="22">
        <v>70</v>
      </c>
      <c r="B71" s="22" t="s">
        <v>1303</v>
      </c>
      <c r="C71" s="22" t="s">
        <v>1304</v>
      </c>
      <c r="E71" s="22">
        <v>1</v>
      </c>
      <c r="F71" s="22">
        <v>2925</v>
      </c>
      <c r="G71" s="30">
        <f>IF(OR(M71="",O71="",M71=0),"",(M71-O71)/M71)</f>
        <v>0.55943988411395462</v>
      </c>
      <c r="H71" s="22">
        <v>2925</v>
      </c>
      <c r="I71" s="22">
        <v>0</v>
      </c>
      <c r="J71" s="22">
        <v>1</v>
      </c>
      <c r="K71" s="22">
        <v>5</v>
      </c>
      <c r="L71" s="22">
        <v>18</v>
      </c>
      <c r="M71" s="22">
        <f>_xlfn.CEILING.MATH(N71*3)</f>
        <v>10355</v>
      </c>
      <c r="N71" s="22">
        <f>H71*1.18</f>
        <v>3451.5</v>
      </c>
      <c r="O71" s="22">
        <f>_xlfn.CEILING.MATH(F71*1.56)-1</f>
        <v>4562</v>
      </c>
    </row>
    <row r="72" spans="1:15" s="22" customFormat="1">
      <c r="A72" s="22">
        <v>71</v>
      </c>
      <c r="B72" s="22" t="s">
        <v>1305</v>
      </c>
      <c r="C72" s="22" t="s">
        <v>1306</v>
      </c>
      <c r="E72" s="22">
        <v>1</v>
      </c>
      <c r="F72" s="22">
        <v>7200</v>
      </c>
      <c r="G72" s="30">
        <f>IF(OR(M72="",O72="",M72=0),"",(M72-O72)/M72)</f>
        <v>0.55936126804770869</v>
      </c>
      <c r="H72" s="22">
        <v>7200</v>
      </c>
      <c r="I72" s="22">
        <v>0</v>
      </c>
      <c r="J72" s="22">
        <v>1</v>
      </c>
      <c r="K72" s="22">
        <v>1</v>
      </c>
      <c r="L72" s="22">
        <v>18</v>
      </c>
      <c r="M72" s="22">
        <f>_xlfn.CEILING.MATH(N72*3)</f>
        <v>25488</v>
      </c>
      <c r="N72" s="22">
        <f>H72*1.18</f>
        <v>8496</v>
      </c>
      <c r="O72" s="22">
        <f>_xlfn.CEILING.MATH(F72*1.56)-1</f>
        <v>11231</v>
      </c>
    </row>
    <row r="73" spans="1:15" s="22" customFormat="1">
      <c r="A73" s="22">
        <v>72</v>
      </c>
      <c r="B73" s="22" t="s">
        <v>125</v>
      </c>
      <c r="C73" s="22" t="s">
        <v>1307</v>
      </c>
      <c r="E73" s="22">
        <v>1</v>
      </c>
      <c r="F73" s="22">
        <v>9090</v>
      </c>
      <c r="G73" s="30">
        <f>IF(OR(M73="",O73="",M73=0),"",(M73-O73)/M73)</f>
        <v>0.55933994219832806</v>
      </c>
      <c r="H73" s="22">
        <v>9090</v>
      </c>
      <c r="I73" s="22">
        <v>0</v>
      </c>
      <c r="J73" s="22">
        <v>1</v>
      </c>
      <c r="K73" s="22">
        <v>1</v>
      </c>
      <c r="L73" s="22">
        <v>18</v>
      </c>
      <c r="M73" s="22">
        <f>_xlfn.CEILING.MATH(N73*3)</f>
        <v>32179</v>
      </c>
      <c r="N73" s="22">
        <f>H73*1.18</f>
        <v>10726.199999999999</v>
      </c>
      <c r="O73" s="22">
        <f>_xlfn.CEILING.MATH(F73*1.56)-1</f>
        <v>14180</v>
      </c>
    </row>
    <row r="74" spans="1:15" s="22" customFormat="1">
      <c r="A74" s="22">
        <v>73</v>
      </c>
      <c r="B74" s="22" t="s">
        <v>1308</v>
      </c>
      <c r="C74" s="22" t="s">
        <v>1309</v>
      </c>
      <c r="E74" s="22">
        <v>1</v>
      </c>
      <c r="F74" s="22">
        <v>2160</v>
      </c>
      <c r="G74" s="30">
        <f>IF(OR(M74="",O74="",M74=0),"",(M74-O74)/M74)</f>
        <v>0.55943507257748137</v>
      </c>
      <c r="H74" s="22">
        <v>2160</v>
      </c>
      <c r="I74" s="22">
        <v>0</v>
      </c>
      <c r="J74" s="22">
        <v>1</v>
      </c>
      <c r="K74" s="22">
        <v>5</v>
      </c>
      <c r="L74" s="22">
        <v>18</v>
      </c>
      <c r="M74" s="22">
        <f>_xlfn.CEILING.MATH(N74*3)</f>
        <v>7647</v>
      </c>
      <c r="N74" s="22">
        <f>H74*1.18</f>
        <v>2548.7999999999997</v>
      </c>
      <c r="O74" s="22">
        <f>_xlfn.CEILING.MATH(F74*1.56)-1</f>
        <v>3369</v>
      </c>
    </row>
    <row r="75" spans="1:15" s="22" customFormat="1">
      <c r="A75" s="22">
        <v>74</v>
      </c>
      <c r="B75" s="22" t="s">
        <v>126</v>
      </c>
      <c r="C75" s="22" t="s">
        <v>1310</v>
      </c>
      <c r="E75" s="22">
        <v>1</v>
      </c>
      <c r="F75" s="22">
        <v>10650</v>
      </c>
      <c r="G75" s="30">
        <f>IF(OR(M75="",O75="",M75=0),"",(M75-O75)/M75)</f>
        <v>0.55934855839367659</v>
      </c>
      <c r="H75" s="22">
        <v>10650</v>
      </c>
      <c r="I75" s="22">
        <v>0</v>
      </c>
      <c r="J75" s="22">
        <v>1</v>
      </c>
      <c r="K75" s="22">
        <v>1</v>
      </c>
      <c r="L75" s="22">
        <v>18</v>
      </c>
      <c r="M75" s="22">
        <f>_xlfn.CEILING.MATH(N75*3)</f>
        <v>37701</v>
      </c>
      <c r="N75" s="22">
        <f>H75*1.18</f>
        <v>12567</v>
      </c>
      <c r="O75" s="22">
        <f>_xlfn.CEILING.MATH(F75*1.56)-1</f>
        <v>16613</v>
      </c>
    </row>
    <row r="76" spans="1:15" s="22" customFormat="1">
      <c r="A76" s="22">
        <v>75</v>
      </c>
      <c r="B76" s="22" t="s">
        <v>1311</v>
      </c>
      <c r="C76" s="22" t="s">
        <v>1312</v>
      </c>
      <c r="E76" s="22">
        <v>1</v>
      </c>
      <c r="F76" s="22">
        <v>6000</v>
      </c>
      <c r="G76" s="30">
        <f>IF(OR(M76="",O76="",M76=0),"",(M76-O76)/M76)</f>
        <v>0.55936911487758945</v>
      </c>
      <c r="H76" s="22">
        <v>6000</v>
      </c>
      <c r="I76" s="22">
        <v>0</v>
      </c>
      <c r="J76" s="22">
        <v>1</v>
      </c>
      <c r="K76" s="22">
        <v>1</v>
      </c>
      <c r="L76" s="22">
        <v>18</v>
      </c>
      <c r="M76" s="22">
        <f>_xlfn.CEILING.MATH(N76*3)</f>
        <v>21240</v>
      </c>
      <c r="N76" s="22">
        <f>H76*1.18</f>
        <v>7080</v>
      </c>
      <c r="O76" s="22">
        <f>_xlfn.CEILING.MATH(F76*1.56)-1</f>
        <v>9359</v>
      </c>
    </row>
    <row r="77" spans="1:15" s="22" customFormat="1">
      <c r="A77" s="22">
        <v>76</v>
      </c>
      <c r="B77" s="22" t="s">
        <v>127</v>
      </c>
      <c r="C77" s="22" t="s">
        <v>1313</v>
      </c>
      <c r="E77" s="22">
        <v>1</v>
      </c>
      <c r="F77" s="22">
        <v>7740</v>
      </c>
      <c r="G77" s="30">
        <f>IF(OR(M77="",O77="",M77=0),"",(M77-O77)/M77)</f>
        <v>0.55934306569343062</v>
      </c>
      <c r="H77" s="22">
        <v>7740</v>
      </c>
      <c r="I77" s="22">
        <v>0</v>
      </c>
      <c r="J77" s="22">
        <v>1</v>
      </c>
      <c r="K77" s="22">
        <v>1</v>
      </c>
      <c r="L77" s="22">
        <v>18</v>
      </c>
      <c r="M77" s="22">
        <f>_xlfn.CEILING.MATH(N77*3)</f>
        <v>27400</v>
      </c>
      <c r="N77" s="22">
        <f>H77*1.18</f>
        <v>9133.1999999999989</v>
      </c>
      <c r="O77" s="22">
        <f>_xlfn.CEILING.MATH(F77*1.56)-1</f>
        <v>12074</v>
      </c>
    </row>
    <row r="78" spans="1:15" s="22" customFormat="1">
      <c r="A78" s="22">
        <v>77</v>
      </c>
      <c r="B78" s="22" t="s">
        <v>128</v>
      </c>
      <c r="C78" s="22" t="s">
        <v>1314</v>
      </c>
      <c r="E78" s="22">
        <v>1</v>
      </c>
      <c r="F78" s="22">
        <v>7200</v>
      </c>
      <c r="G78" s="30">
        <f>IF(OR(M78="",O78="",M78=0),"",(M78-O78)/M78)</f>
        <v>0.55936126804770869</v>
      </c>
      <c r="H78" s="22">
        <v>7200</v>
      </c>
      <c r="I78" s="22">
        <v>0</v>
      </c>
      <c r="J78" s="22">
        <v>1</v>
      </c>
      <c r="K78" s="22">
        <v>1</v>
      </c>
      <c r="L78" s="22">
        <v>18</v>
      </c>
      <c r="M78" s="22">
        <f>_xlfn.CEILING.MATH(N78*3)</f>
        <v>25488</v>
      </c>
      <c r="N78" s="22">
        <f>H78*1.18</f>
        <v>8496</v>
      </c>
      <c r="O78" s="22">
        <f>_xlfn.CEILING.MATH(F78*1.56)-1</f>
        <v>11231</v>
      </c>
    </row>
    <row r="79" spans="1:15" s="22" customFormat="1">
      <c r="A79" s="22">
        <v>78</v>
      </c>
      <c r="B79" s="22" t="s">
        <v>1315</v>
      </c>
      <c r="C79" s="22" t="s">
        <v>1316</v>
      </c>
      <c r="E79" s="22">
        <v>1</v>
      </c>
      <c r="F79" s="22">
        <v>8100</v>
      </c>
      <c r="G79" s="30">
        <f>IF(OR(M79="",O79="",M79=0),"",(M79-O79)/M79)</f>
        <v>0.55935690869777499</v>
      </c>
      <c r="H79" s="22">
        <v>8100</v>
      </c>
      <c r="I79" s="22">
        <v>0</v>
      </c>
      <c r="J79" s="22">
        <v>1</v>
      </c>
      <c r="K79" s="22">
        <v>1</v>
      </c>
      <c r="L79" s="22">
        <v>18</v>
      </c>
      <c r="M79" s="22">
        <f>_xlfn.CEILING.MATH(N79*3)</f>
        <v>28674</v>
      </c>
      <c r="N79" s="22">
        <f>H79*1.18</f>
        <v>9558</v>
      </c>
      <c r="O79" s="22">
        <f>_xlfn.CEILING.MATH(F79*1.56)-1</f>
        <v>12635</v>
      </c>
    </row>
    <row r="80" spans="1:15" s="22" customFormat="1">
      <c r="A80" s="22">
        <v>79</v>
      </c>
      <c r="B80" s="22" t="s">
        <v>1317</v>
      </c>
      <c r="C80" s="22" t="s">
        <v>1318</v>
      </c>
      <c r="E80" s="22">
        <v>1</v>
      </c>
      <c r="F80" s="22">
        <v>9725</v>
      </c>
      <c r="G80" s="30">
        <f>IF(OR(M80="",O80="",M80=0),"",(M80-O80)/M80)</f>
        <v>0.55935748104685279</v>
      </c>
      <c r="H80" s="22">
        <v>9725</v>
      </c>
      <c r="I80" s="22">
        <v>0</v>
      </c>
      <c r="J80" s="22">
        <v>1</v>
      </c>
      <c r="K80" s="22">
        <v>1</v>
      </c>
      <c r="L80" s="22">
        <v>18</v>
      </c>
      <c r="M80" s="22">
        <f>_xlfn.CEILING.MATH(N80*3)</f>
        <v>34427</v>
      </c>
      <c r="N80" s="22">
        <f>H80*1.18</f>
        <v>11475.5</v>
      </c>
      <c r="O80" s="22">
        <f>_xlfn.CEILING.MATH(F80*1.56)-1</f>
        <v>15170</v>
      </c>
    </row>
    <row r="81" spans="1:15" s="22" customFormat="1">
      <c r="A81" s="22">
        <v>80</v>
      </c>
      <c r="B81" s="22" t="s">
        <v>108</v>
      </c>
      <c r="C81" s="22" t="s">
        <v>1319</v>
      </c>
      <c r="E81" s="22">
        <v>1</v>
      </c>
      <c r="F81" s="22">
        <v>18900</v>
      </c>
      <c r="G81" s="30">
        <f>IF(OR(M81="",O81="",M81=0),"",(M81-O81)/M81)</f>
        <v>0.55933698024093503</v>
      </c>
      <c r="H81" s="22">
        <v>18900</v>
      </c>
      <c r="I81" s="22">
        <v>79</v>
      </c>
      <c r="J81" s="22">
        <v>1</v>
      </c>
      <c r="K81" s="22">
        <v>1</v>
      </c>
      <c r="L81" s="22">
        <v>18</v>
      </c>
      <c r="M81" s="22">
        <f>_xlfn.CEILING.MATH(N81*3)</f>
        <v>66906</v>
      </c>
      <c r="N81" s="22">
        <f>H81*1.18</f>
        <v>22302</v>
      </c>
      <c r="O81" s="22">
        <f>_xlfn.CEILING.MATH(F81*1.56)-1</f>
        <v>29483</v>
      </c>
    </row>
    <row r="82" spans="1:15" s="22" customFormat="1">
      <c r="A82" s="22">
        <v>81</v>
      </c>
      <c r="B82" s="22" t="s">
        <v>109</v>
      </c>
      <c r="C82" s="22" t="s">
        <v>1320</v>
      </c>
      <c r="E82" s="22">
        <v>1</v>
      </c>
      <c r="F82" s="22">
        <v>30000</v>
      </c>
      <c r="G82" s="30">
        <f>IF(OR(M82="",O82="",M82=0),"",(M82-O82)/M82)</f>
        <v>0.55933145009416196</v>
      </c>
      <c r="H82" s="22">
        <v>30000</v>
      </c>
      <c r="I82" s="22">
        <v>42</v>
      </c>
      <c r="J82" s="22">
        <v>1</v>
      </c>
      <c r="K82" s="22">
        <v>1</v>
      </c>
      <c r="L82" s="22">
        <v>18</v>
      </c>
      <c r="M82" s="22">
        <f>_xlfn.CEILING.MATH(N82*3)</f>
        <v>106200</v>
      </c>
      <c r="N82" s="22">
        <f>H82*1.18</f>
        <v>35400</v>
      </c>
      <c r="O82" s="22">
        <f>_xlfn.CEILING.MATH(F82*1.56)-1</f>
        <v>46799</v>
      </c>
    </row>
    <row r="83" spans="1:15" s="22" customFormat="1">
      <c r="A83" s="22">
        <v>82</v>
      </c>
      <c r="B83" s="22" t="s">
        <v>102</v>
      </c>
      <c r="C83" s="22" t="s">
        <v>1321</v>
      </c>
      <c r="E83" s="22">
        <v>1</v>
      </c>
      <c r="F83" s="22">
        <v>2160</v>
      </c>
      <c r="G83" s="30">
        <f>IF(OR(M83="",O83="",M83=0),"",(M83-O83)/M83)</f>
        <v>0.55943507257748137</v>
      </c>
      <c r="H83" s="22">
        <v>2160</v>
      </c>
      <c r="I83" s="22">
        <v>2481</v>
      </c>
      <c r="J83" s="22">
        <v>1</v>
      </c>
      <c r="K83" s="22">
        <v>4</v>
      </c>
      <c r="L83" s="22">
        <v>18</v>
      </c>
      <c r="M83" s="22">
        <f>_xlfn.CEILING.MATH(N83*3)</f>
        <v>7647</v>
      </c>
      <c r="N83" s="22">
        <f>H83*1.18</f>
        <v>2548.7999999999997</v>
      </c>
      <c r="O83" s="22">
        <f>_xlfn.CEILING.MATH(F83*1.56)-1</f>
        <v>3369</v>
      </c>
    </row>
    <row r="84" spans="1:15" s="22" customFormat="1">
      <c r="A84" s="22">
        <v>83</v>
      </c>
      <c r="B84" s="22" t="s">
        <v>104</v>
      </c>
      <c r="C84" s="22" t="s">
        <v>1322</v>
      </c>
      <c r="E84" s="22">
        <v>1</v>
      </c>
      <c r="F84" s="22">
        <v>1920</v>
      </c>
      <c r="G84" s="30">
        <f>IF(OR(M84="",O84="",M84=0),"",(M84-O84)/M84)</f>
        <v>0.55936442548183019</v>
      </c>
      <c r="H84" s="22">
        <v>1920</v>
      </c>
      <c r="I84" s="22">
        <v>67</v>
      </c>
      <c r="J84" s="22">
        <v>1</v>
      </c>
      <c r="K84" s="22">
        <v>4</v>
      </c>
      <c r="L84" s="22">
        <v>18</v>
      </c>
      <c r="M84" s="22">
        <f>_xlfn.CEILING.MATH(N84*3)</f>
        <v>6797</v>
      </c>
      <c r="N84" s="22">
        <f>H84*1.18</f>
        <v>2265.6</v>
      </c>
      <c r="O84" s="22">
        <f>_xlfn.CEILING.MATH(F84*1.56)-1</f>
        <v>2995</v>
      </c>
    </row>
    <row r="85" spans="1:15" s="22" customFormat="1">
      <c r="A85" s="22">
        <v>84</v>
      </c>
      <c r="B85" s="22" t="s">
        <v>103</v>
      </c>
      <c r="C85" s="22" t="s">
        <v>1323</v>
      </c>
      <c r="E85" s="22">
        <v>1</v>
      </c>
      <c r="F85" s="22">
        <v>2250</v>
      </c>
      <c r="G85" s="30">
        <f>IF(OR(M85="",O85="",M85=0),"",(M85-O85)/M85)</f>
        <v>0.55944758317639676</v>
      </c>
      <c r="H85" s="22">
        <v>2250</v>
      </c>
      <c r="I85" s="22">
        <v>1350</v>
      </c>
      <c r="J85" s="22">
        <v>1</v>
      </c>
      <c r="K85" s="22">
        <v>4</v>
      </c>
      <c r="L85" s="22">
        <v>18</v>
      </c>
      <c r="M85" s="22">
        <f>_xlfn.CEILING.MATH(N85*3)</f>
        <v>7965</v>
      </c>
      <c r="N85" s="22">
        <f>H85*1.18</f>
        <v>2655</v>
      </c>
      <c r="O85" s="22">
        <f>_xlfn.CEILING.MATH(F85*1.56)-1</f>
        <v>3509</v>
      </c>
    </row>
    <row r="86" spans="1:15" s="22" customFormat="1">
      <c r="A86" s="22">
        <v>85</v>
      </c>
      <c r="B86" s="22" t="s">
        <v>105</v>
      </c>
      <c r="C86" s="22" t="s">
        <v>1324</v>
      </c>
      <c r="E86" s="22">
        <v>1</v>
      </c>
      <c r="F86" s="22">
        <v>2655</v>
      </c>
      <c r="G86" s="30">
        <f>IF(OR(M86="",O86="",M86=0),"",(M86-O86)/M86)</f>
        <v>0.55942121502287478</v>
      </c>
      <c r="H86" s="22">
        <v>2655</v>
      </c>
      <c r="I86" s="22">
        <v>23</v>
      </c>
      <c r="J86" s="22">
        <v>1</v>
      </c>
      <c r="K86" s="22">
        <v>4</v>
      </c>
      <c r="L86" s="22">
        <v>18</v>
      </c>
      <c r="M86" s="22">
        <f>_xlfn.CEILING.MATH(N86*3)</f>
        <v>9399</v>
      </c>
      <c r="N86" s="22">
        <f>H86*1.18</f>
        <v>3132.8999999999996</v>
      </c>
      <c r="O86" s="22">
        <f>_xlfn.CEILING.MATH(F86*1.56)-1</f>
        <v>4141</v>
      </c>
    </row>
    <row r="87" spans="1:15" s="22" customFormat="1">
      <c r="A87" s="22">
        <v>86</v>
      </c>
      <c r="B87" s="22" t="s">
        <v>106</v>
      </c>
      <c r="C87" s="22" t="s">
        <v>1325</v>
      </c>
      <c r="E87" s="22">
        <v>1</v>
      </c>
      <c r="F87" s="22">
        <v>2655</v>
      </c>
      <c r="G87" s="30">
        <f>IF(OR(M87="",O87="",M87=0),"",(M87-O87)/M87)</f>
        <v>0.55942121502287478</v>
      </c>
      <c r="H87" s="22">
        <v>2655</v>
      </c>
      <c r="I87" s="22">
        <v>161</v>
      </c>
      <c r="J87" s="22">
        <v>1</v>
      </c>
      <c r="K87" s="22">
        <v>4</v>
      </c>
      <c r="L87" s="22">
        <v>18</v>
      </c>
      <c r="M87" s="22">
        <f>_xlfn.CEILING.MATH(N87*3)</f>
        <v>9399</v>
      </c>
      <c r="N87" s="22">
        <f>H87*1.18</f>
        <v>3132.8999999999996</v>
      </c>
      <c r="O87" s="22">
        <f>_xlfn.CEILING.MATH(F87*1.56)-1</f>
        <v>4141</v>
      </c>
    </row>
    <row r="88" spans="1:15" s="22" customFormat="1">
      <c r="A88" s="22">
        <v>87</v>
      </c>
      <c r="B88" s="22" t="s">
        <v>82</v>
      </c>
      <c r="C88" s="22" t="s">
        <v>1326</v>
      </c>
      <c r="E88" s="22">
        <v>1</v>
      </c>
      <c r="F88" s="22">
        <v>3240</v>
      </c>
      <c r="G88" s="30">
        <f>IF(OR(M88="",O88="",M88=0),"",(M88-O88)/M88)</f>
        <v>0.55937227550130775</v>
      </c>
      <c r="H88" s="22">
        <v>3240</v>
      </c>
      <c r="I88" s="22">
        <v>151</v>
      </c>
      <c r="J88" s="22">
        <v>1</v>
      </c>
      <c r="K88" s="22">
        <v>3</v>
      </c>
      <c r="L88" s="22">
        <v>18</v>
      </c>
      <c r="M88" s="22">
        <f>_xlfn.CEILING.MATH(N88*3)</f>
        <v>11470</v>
      </c>
      <c r="N88" s="22">
        <f>H88*1.18</f>
        <v>3823.2</v>
      </c>
      <c r="O88" s="22">
        <f>_xlfn.CEILING.MATH(F88*1.56)-1</f>
        <v>5054</v>
      </c>
    </row>
    <row r="89" spans="1:15" s="22" customFormat="1">
      <c r="A89" s="22">
        <v>88</v>
      </c>
      <c r="B89" s="22" t="s">
        <v>107</v>
      </c>
      <c r="C89" s="22" t="s">
        <v>1327</v>
      </c>
      <c r="E89" s="22">
        <v>1</v>
      </c>
      <c r="F89" s="22">
        <v>2655</v>
      </c>
      <c r="G89" s="30">
        <f>IF(OR(M89="",O89="",M89=0),"",(M89-O89)/M89)</f>
        <v>0.55942121502287478</v>
      </c>
      <c r="H89" s="22">
        <v>2655</v>
      </c>
      <c r="I89" s="22">
        <v>1145</v>
      </c>
      <c r="J89" s="22">
        <v>1</v>
      </c>
      <c r="K89" s="22">
        <v>4</v>
      </c>
      <c r="L89" s="22">
        <v>18</v>
      </c>
      <c r="M89" s="22">
        <f>_xlfn.CEILING.MATH(N89*3)</f>
        <v>9399</v>
      </c>
      <c r="N89" s="22">
        <f>H89*1.18</f>
        <v>3132.8999999999996</v>
      </c>
      <c r="O89" s="22">
        <f>_xlfn.CEILING.MATH(F89*1.56)-1</f>
        <v>4141</v>
      </c>
    </row>
    <row r="90" spans="1:15" s="22" customFormat="1">
      <c r="A90" s="22">
        <v>89</v>
      </c>
      <c r="B90" s="22" t="s">
        <v>1328</v>
      </c>
      <c r="C90" s="22" t="s">
        <v>1329</v>
      </c>
      <c r="E90" s="22">
        <v>1</v>
      </c>
      <c r="F90" s="22">
        <v>1910</v>
      </c>
      <c r="G90" s="30">
        <f>IF(OR(M90="",O90="",M90=0),"",(M90-O90)/M90)</f>
        <v>0.44833333333333331</v>
      </c>
      <c r="H90" s="22">
        <v>1910</v>
      </c>
      <c r="I90" s="22">
        <v>5</v>
      </c>
      <c r="J90" s="22">
        <v>1</v>
      </c>
      <c r="K90" s="22">
        <v>1</v>
      </c>
      <c r="L90" s="22">
        <v>18</v>
      </c>
      <c r="M90" s="22">
        <v>5400</v>
      </c>
      <c r="N90" s="22">
        <f>H90*1.18</f>
        <v>2253.7999999999997</v>
      </c>
      <c r="O90" s="22">
        <f>_xlfn.CEILING.MATH(F90*1.56)-1</f>
        <v>2979</v>
      </c>
    </row>
    <row r="91" spans="1:15" s="22" customFormat="1">
      <c r="A91" s="22">
        <v>90</v>
      </c>
      <c r="B91" s="22" t="s">
        <v>1330</v>
      </c>
      <c r="C91" s="22" t="s">
        <v>1331</v>
      </c>
      <c r="E91" s="22">
        <v>1</v>
      </c>
      <c r="F91" s="22">
        <v>9000</v>
      </c>
      <c r="G91" s="30">
        <f>IF(OR(M91="",O91="",M91=0),"",(M91-O91)/M91)</f>
        <v>0.24113513513513513</v>
      </c>
      <c r="H91" s="22">
        <v>9000</v>
      </c>
      <c r="I91" s="22">
        <v>95</v>
      </c>
      <c r="J91" s="22">
        <v>1</v>
      </c>
      <c r="K91" s="22">
        <v>1</v>
      </c>
      <c r="L91" s="22">
        <v>18</v>
      </c>
      <c r="M91" s="22">
        <v>18500</v>
      </c>
      <c r="N91" s="22">
        <f>H91*1.18</f>
        <v>10620</v>
      </c>
      <c r="O91" s="22">
        <f>_xlfn.CEILING.MATH(F91*1.56)-1</f>
        <v>14039</v>
      </c>
    </row>
    <row r="92" spans="1:15" s="22" customFormat="1">
      <c r="A92" s="22">
        <v>91</v>
      </c>
      <c r="B92" s="22" t="s">
        <v>110</v>
      </c>
      <c r="C92" s="22" t="s">
        <v>1332</v>
      </c>
      <c r="E92" s="22">
        <v>1</v>
      </c>
      <c r="F92" s="22">
        <v>9000</v>
      </c>
      <c r="G92" s="30">
        <f>IF(OR(M92="",O92="",M92=0),"",(M92-O92)/M92)</f>
        <v>0.22862637362637361</v>
      </c>
      <c r="H92" s="22">
        <v>9000</v>
      </c>
      <c r="I92" s="22">
        <v>122</v>
      </c>
      <c r="J92" s="22">
        <v>1</v>
      </c>
      <c r="K92" s="22">
        <v>1</v>
      </c>
      <c r="L92" s="22">
        <v>18</v>
      </c>
      <c r="M92" s="22">
        <v>18200</v>
      </c>
      <c r="N92" s="22">
        <f>H92*1.18</f>
        <v>10620</v>
      </c>
      <c r="O92" s="22">
        <f>_xlfn.CEILING.MATH(F92*1.56)-1</f>
        <v>14039</v>
      </c>
    </row>
    <row r="93" spans="1:15" s="22" customFormat="1">
      <c r="A93" s="22">
        <v>92</v>
      </c>
      <c r="B93" s="22" t="s">
        <v>111</v>
      </c>
      <c r="C93" s="22" t="s">
        <v>1333</v>
      </c>
      <c r="E93" s="22">
        <v>1</v>
      </c>
      <c r="F93" s="22">
        <v>11400</v>
      </c>
      <c r="G93" s="30">
        <f>IF(OR(M93="",O93="",M93=0),"",(M93-O93)/M93)</f>
        <v>0.17288372093023255</v>
      </c>
      <c r="H93" s="22">
        <v>11400</v>
      </c>
      <c r="I93" s="22">
        <v>161</v>
      </c>
      <c r="J93" s="22">
        <v>1</v>
      </c>
      <c r="K93" s="22">
        <v>1</v>
      </c>
      <c r="L93" s="22">
        <v>18</v>
      </c>
      <c r="M93" s="22">
        <v>21500</v>
      </c>
      <c r="N93" s="22">
        <f>H93*1.18</f>
        <v>13452</v>
      </c>
      <c r="O93" s="22">
        <f>_xlfn.CEILING.MATH(F93*1.56)-1</f>
        <v>17783</v>
      </c>
    </row>
    <row r="94" spans="1:15" s="22" customFormat="1">
      <c r="A94" s="22">
        <v>93</v>
      </c>
      <c r="B94" s="22" t="s">
        <v>122</v>
      </c>
      <c r="C94" s="22" t="s">
        <v>1334</v>
      </c>
      <c r="E94" s="22">
        <v>1</v>
      </c>
      <c r="F94" s="22">
        <v>2880</v>
      </c>
      <c r="G94" s="30">
        <f>IF(OR(M94="",O94="",M94=0),"",(M94-O94)/M94)</f>
        <v>0.40894736842105261</v>
      </c>
      <c r="H94" s="22">
        <v>2880</v>
      </c>
      <c r="I94" s="22">
        <v>404</v>
      </c>
      <c r="J94" s="22">
        <v>1</v>
      </c>
      <c r="K94" s="22">
        <v>3</v>
      </c>
      <c r="L94" s="22">
        <v>18</v>
      </c>
      <c r="M94" s="22">
        <v>7600</v>
      </c>
      <c r="N94" s="22">
        <f>H94*1.18</f>
        <v>3398.3999999999996</v>
      </c>
      <c r="O94" s="22">
        <f>_xlfn.CEILING.MATH(F94*1.56)-1</f>
        <v>4492</v>
      </c>
    </row>
    <row r="95" spans="1:15" s="22" customFormat="1">
      <c r="A95" s="22">
        <v>94</v>
      </c>
      <c r="B95" s="22" t="s">
        <v>120</v>
      </c>
      <c r="C95" s="22" t="s">
        <v>1335</v>
      </c>
      <c r="E95" s="22">
        <v>1</v>
      </c>
      <c r="F95" s="22">
        <v>695</v>
      </c>
      <c r="G95" s="30">
        <f>IF(OR(M95="",O95="",M95=0),"",(M95-O95)/M95)</f>
        <v>0.66125</v>
      </c>
      <c r="H95" s="22">
        <v>695</v>
      </c>
      <c r="I95" s="22">
        <v>792</v>
      </c>
      <c r="J95" s="22">
        <v>1</v>
      </c>
      <c r="K95" s="22">
        <v>10</v>
      </c>
      <c r="L95" s="22">
        <v>18</v>
      </c>
      <c r="M95" s="22">
        <v>3200</v>
      </c>
      <c r="N95" s="22">
        <f>H95*1.18</f>
        <v>820.09999999999991</v>
      </c>
      <c r="O95" s="22">
        <f>_xlfn.CEILING.MATH(F95*1.56)-1</f>
        <v>1084</v>
      </c>
    </row>
    <row r="96" spans="1:15" s="22" customFormat="1">
      <c r="A96" s="22">
        <v>95</v>
      </c>
      <c r="B96" s="22" t="s">
        <v>119</v>
      </c>
      <c r="C96" s="22" t="s">
        <v>1336</v>
      </c>
      <c r="E96" s="22">
        <v>1</v>
      </c>
      <c r="F96" s="22">
        <v>960</v>
      </c>
      <c r="G96" s="30">
        <f>IF(OR(M96="",O96="",M96=0),"",(M96-O96)/M96)</f>
        <v>0.53218750000000004</v>
      </c>
      <c r="H96" s="22">
        <v>960</v>
      </c>
      <c r="I96" s="22">
        <v>6667</v>
      </c>
      <c r="J96" s="22">
        <v>1</v>
      </c>
      <c r="K96" s="22">
        <v>10</v>
      </c>
      <c r="L96" s="22">
        <v>18</v>
      </c>
      <c r="M96" s="22">
        <v>3200</v>
      </c>
      <c r="N96" s="22">
        <f>H96*1.18</f>
        <v>1132.8</v>
      </c>
      <c r="O96" s="22">
        <f>_xlfn.CEILING.MATH(F96*1.56)-1</f>
        <v>1497</v>
      </c>
    </row>
    <row r="97" spans="1:15" s="22" customFormat="1">
      <c r="A97" s="22">
        <v>96</v>
      </c>
      <c r="B97" s="22" t="s">
        <v>112</v>
      </c>
      <c r="C97" s="22" t="s">
        <v>1337</v>
      </c>
      <c r="E97" s="22">
        <v>1</v>
      </c>
      <c r="F97" s="22">
        <v>1140</v>
      </c>
      <c r="G97" s="30">
        <f>IF(OR(M97="",O97="",M97=0),"",(M97-O97)/M97)</f>
        <v>0.42645161290322581</v>
      </c>
      <c r="H97" s="22">
        <v>1140</v>
      </c>
      <c r="I97" s="22">
        <v>1503</v>
      </c>
      <c r="J97" s="22">
        <v>1</v>
      </c>
      <c r="K97" s="22">
        <v>10</v>
      </c>
      <c r="L97" s="22">
        <v>18</v>
      </c>
      <c r="M97" s="22">
        <v>3100</v>
      </c>
      <c r="N97" s="22">
        <f>H97*1.18</f>
        <v>1345.1999999999998</v>
      </c>
      <c r="O97" s="22">
        <f>_xlfn.CEILING.MATH(F97*1.56)-1</f>
        <v>1778</v>
      </c>
    </row>
    <row r="98" spans="1:15" s="22" customFormat="1">
      <c r="A98" s="22">
        <v>97</v>
      </c>
      <c r="B98" s="22" t="s">
        <v>113</v>
      </c>
      <c r="C98" s="22" t="s">
        <v>1338</v>
      </c>
      <c r="E98" s="22">
        <v>1</v>
      </c>
      <c r="F98" s="22">
        <v>2310</v>
      </c>
      <c r="G98" s="30">
        <f>IF(OR(M98="",O98="",M98=0),"",(M98-O98)/M98)</f>
        <v>0.33277777777777778</v>
      </c>
      <c r="H98" s="22">
        <v>2310</v>
      </c>
      <c r="I98" s="22">
        <v>810</v>
      </c>
      <c r="J98" s="22">
        <v>1</v>
      </c>
      <c r="K98" s="22">
        <v>6</v>
      </c>
      <c r="L98" s="22">
        <v>18</v>
      </c>
      <c r="M98" s="22">
        <v>5400</v>
      </c>
      <c r="N98" s="22">
        <f>H98*1.18</f>
        <v>2725.7999999999997</v>
      </c>
      <c r="O98" s="22">
        <f>_xlfn.CEILING.MATH(F98*1.56)-1</f>
        <v>3603</v>
      </c>
    </row>
    <row r="99" spans="1:15" s="22" customFormat="1">
      <c r="A99" s="22">
        <v>98</v>
      </c>
      <c r="B99" s="22" t="s">
        <v>118</v>
      </c>
      <c r="C99" s="22" t="s">
        <v>1339</v>
      </c>
      <c r="E99" s="22">
        <v>1</v>
      </c>
      <c r="F99" s="22">
        <v>31200</v>
      </c>
      <c r="G99" s="30">
        <f>IF(OR(M99="",O99="",M99=0),"",(M99-O99)/M99)</f>
        <v>0.10695412844036697</v>
      </c>
      <c r="H99" s="22">
        <v>31200</v>
      </c>
      <c r="I99" s="22">
        <v>20</v>
      </c>
      <c r="J99" s="22">
        <v>1</v>
      </c>
      <c r="K99" s="22">
        <v>1</v>
      </c>
      <c r="L99" s="22">
        <v>18</v>
      </c>
      <c r="M99" s="22">
        <v>54500</v>
      </c>
      <c r="N99" s="22">
        <f>H99*1.18</f>
        <v>36816</v>
      </c>
      <c r="O99" s="22">
        <f>_xlfn.CEILING.MATH(F99*1.56)-1</f>
        <v>48671</v>
      </c>
    </row>
    <row r="100" spans="1:15" s="22" customFormat="1">
      <c r="A100" s="22">
        <v>99</v>
      </c>
      <c r="B100" s="22" t="s">
        <v>116</v>
      </c>
      <c r="C100" s="22" t="s">
        <v>1340</v>
      </c>
      <c r="E100" s="22">
        <v>1</v>
      </c>
      <c r="F100" s="22">
        <v>13350</v>
      </c>
      <c r="G100" s="30">
        <f>IF(OR(M100="",O100="",M100=0),"",(M100-O100)/M100)</f>
        <v>0.11945031712473574</v>
      </c>
      <c r="H100" s="22">
        <v>13350</v>
      </c>
      <c r="I100" s="22">
        <v>25</v>
      </c>
      <c r="J100" s="22">
        <v>1</v>
      </c>
      <c r="K100" s="22">
        <v>1</v>
      </c>
      <c r="L100" s="22">
        <v>18</v>
      </c>
      <c r="M100" s="22">
        <v>23650</v>
      </c>
      <c r="N100" s="22">
        <f>H100*1.18</f>
        <v>15753</v>
      </c>
      <c r="O100" s="22">
        <f>_xlfn.CEILING.MATH(F100*1.56)-1</f>
        <v>20825</v>
      </c>
    </row>
    <row r="101" spans="1:15" s="22" customFormat="1">
      <c r="A101" s="22">
        <v>100</v>
      </c>
      <c r="B101" s="22" t="s">
        <v>117</v>
      </c>
      <c r="C101" s="22" t="s">
        <v>1341</v>
      </c>
      <c r="E101" s="22">
        <v>1</v>
      </c>
      <c r="F101" s="22">
        <v>14700</v>
      </c>
      <c r="G101" s="30">
        <f>IF(OR(M101="",O101="",M101=0),"",(M101-O101)/M101)</f>
        <v>0.21199312714776633</v>
      </c>
      <c r="H101" s="22">
        <v>14700</v>
      </c>
      <c r="I101" s="22">
        <v>34</v>
      </c>
      <c r="J101" s="22">
        <v>1</v>
      </c>
      <c r="K101" s="22">
        <v>1</v>
      </c>
      <c r="L101" s="22">
        <v>18</v>
      </c>
      <c r="M101" s="22">
        <v>29100</v>
      </c>
      <c r="N101" s="22">
        <f>H101*1.18</f>
        <v>17346</v>
      </c>
      <c r="O101" s="22">
        <f>_xlfn.CEILING.MATH(F101*1.56)-1</f>
        <v>22931</v>
      </c>
    </row>
    <row r="102" spans="1:15" s="22" customFormat="1">
      <c r="A102" s="22">
        <v>101</v>
      </c>
      <c r="B102" s="22" t="s">
        <v>115</v>
      </c>
      <c r="C102" s="22" t="s">
        <v>1342</v>
      </c>
      <c r="E102" s="22">
        <v>1</v>
      </c>
      <c r="F102" s="22">
        <v>6150</v>
      </c>
      <c r="G102" s="30">
        <f>IF(OR(M102="",O102="",M102=0),"",(M102-O102)/M102)</f>
        <v>0.2356175298804781</v>
      </c>
      <c r="H102" s="22">
        <v>6150</v>
      </c>
      <c r="I102" s="22">
        <v>367</v>
      </c>
      <c r="J102" s="22">
        <v>1</v>
      </c>
      <c r="K102" s="22">
        <v>1</v>
      </c>
      <c r="L102" s="22">
        <v>18</v>
      </c>
      <c r="M102" s="22">
        <v>12550</v>
      </c>
      <c r="N102" s="22">
        <f>H102*1.18</f>
        <v>7257</v>
      </c>
      <c r="O102" s="22">
        <f>_xlfn.CEILING.MATH(F102*1.56)-1</f>
        <v>9593</v>
      </c>
    </row>
    <row r="103" spans="1:15" s="22" customFormat="1">
      <c r="A103" s="22">
        <v>1</v>
      </c>
      <c r="B103" s="22" t="s">
        <v>134</v>
      </c>
      <c r="C103" s="22" t="s">
        <v>1343</v>
      </c>
      <c r="E103" s="22">
        <v>1</v>
      </c>
      <c r="F103" s="22">
        <v>585</v>
      </c>
      <c r="G103" s="30">
        <f>IF(OR(M103="",O103="",M103=0),"",(M103-O103)/M103)</f>
        <v>0.33720930232558138</v>
      </c>
      <c r="H103" s="22">
        <v>585</v>
      </c>
      <c r="I103" s="22">
        <v>1</v>
      </c>
      <c r="J103" s="22">
        <v>1</v>
      </c>
      <c r="K103" s="22">
        <v>1</v>
      </c>
      <c r="L103" s="22">
        <v>18</v>
      </c>
      <c r="M103" s="22">
        <f>_xlfn.CEILING.MATH(F103*2.35)+1</f>
        <v>1376</v>
      </c>
      <c r="N103" s="22">
        <f>H103*1.18</f>
        <v>690.3</v>
      </c>
      <c r="O103" s="22">
        <f>_xlfn.CEILING.MATH(F103*1.56)-1</f>
        <v>912</v>
      </c>
    </row>
    <row r="104" spans="1:15" s="22" customFormat="1">
      <c r="A104" s="22">
        <v>2</v>
      </c>
      <c r="B104" s="22" t="s">
        <v>135</v>
      </c>
      <c r="C104" s="22" t="s">
        <v>1344</v>
      </c>
      <c r="E104" s="22">
        <v>1</v>
      </c>
      <c r="F104" s="22">
        <v>645</v>
      </c>
      <c r="G104" s="30">
        <f>IF(OR(M104="",O104="",M104=0),"",(M104-O104)/M104)</f>
        <v>0.33684904416611733</v>
      </c>
      <c r="H104" s="22">
        <v>645</v>
      </c>
      <c r="I104" s="22">
        <v>0</v>
      </c>
      <c r="J104" s="22">
        <v>1</v>
      </c>
      <c r="K104" s="22">
        <v>1</v>
      </c>
      <c r="L104" s="22">
        <v>18</v>
      </c>
      <c r="M104" s="22">
        <f>_xlfn.CEILING.MATH(F104*2.35)+1</f>
        <v>1517</v>
      </c>
      <c r="N104" s="22">
        <f>H104*1.18</f>
        <v>761.09999999999991</v>
      </c>
      <c r="O104" s="22">
        <f>_xlfn.CEILING.MATH(F104*1.56)-1</f>
        <v>1006</v>
      </c>
    </row>
    <row r="105" spans="1:15" s="22" customFormat="1">
      <c r="A105" s="22">
        <v>3</v>
      </c>
      <c r="B105" s="22" t="s">
        <v>189</v>
      </c>
      <c r="C105" s="22" t="s">
        <v>1345</v>
      </c>
      <c r="E105" s="22">
        <v>1</v>
      </c>
      <c r="F105" s="22">
        <v>345</v>
      </c>
      <c r="G105" s="30">
        <f>IF(OR(M105="",O105="",M105=0),"",(M105-O105)/M105)</f>
        <v>0.33743842364532017</v>
      </c>
      <c r="H105" s="22">
        <v>345</v>
      </c>
      <c r="I105" s="22">
        <v>229</v>
      </c>
      <c r="J105" s="22">
        <v>5</v>
      </c>
      <c r="K105" s="22">
        <v>60</v>
      </c>
      <c r="L105" s="22">
        <v>18</v>
      </c>
      <c r="M105" s="22">
        <f>_xlfn.CEILING.MATH(F105*2.35)+1</f>
        <v>812</v>
      </c>
      <c r="N105" s="22">
        <f>H105*1.18</f>
        <v>407.09999999999997</v>
      </c>
      <c r="O105" s="22">
        <f>_xlfn.CEILING.MATH(F105*1.56)-1</f>
        <v>538</v>
      </c>
    </row>
    <row r="106" spans="1:15" s="22" customFormat="1">
      <c r="A106" s="22">
        <v>4</v>
      </c>
      <c r="B106" s="22" t="s">
        <v>190</v>
      </c>
      <c r="C106" s="22" t="s">
        <v>1346</v>
      </c>
      <c r="E106" s="22">
        <v>1</v>
      </c>
      <c r="F106" s="22">
        <v>645</v>
      </c>
      <c r="G106" s="30">
        <f>IF(OR(M106="",O106="",M106=0),"",(M106-O106)/M106)</f>
        <v>0.33684904416611733</v>
      </c>
      <c r="H106" s="22">
        <v>645</v>
      </c>
      <c r="I106" s="22">
        <v>5</v>
      </c>
      <c r="J106" s="22">
        <v>5</v>
      </c>
      <c r="K106" s="22">
        <v>50</v>
      </c>
      <c r="L106" s="22">
        <v>18</v>
      </c>
      <c r="M106" s="22">
        <f>_xlfn.CEILING.MATH(F106*2.35)+1</f>
        <v>1517</v>
      </c>
      <c r="N106" s="22">
        <f>H106*1.18</f>
        <v>761.09999999999991</v>
      </c>
      <c r="O106" s="22">
        <f>_xlfn.CEILING.MATH(F106*1.56)-1</f>
        <v>1006</v>
      </c>
    </row>
    <row r="107" spans="1:15" s="22" customFormat="1">
      <c r="A107" s="22">
        <v>5</v>
      </c>
      <c r="B107" s="22" t="s">
        <v>1347</v>
      </c>
      <c r="C107" s="22" t="s">
        <v>1348</v>
      </c>
      <c r="E107" s="22">
        <v>1</v>
      </c>
      <c r="F107" s="22">
        <v>396</v>
      </c>
      <c r="G107" s="30">
        <f>IF(OR(M107="",O107="",M107=0),"",(M107-O107)/M107)</f>
        <v>0.33798283261802575</v>
      </c>
      <c r="H107" s="22">
        <v>396</v>
      </c>
      <c r="I107" s="22">
        <v>824</v>
      </c>
      <c r="J107" s="22">
        <v>1</v>
      </c>
      <c r="K107" s="22">
        <v>30</v>
      </c>
      <c r="L107" s="22">
        <v>18</v>
      </c>
      <c r="M107" s="22">
        <f>_xlfn.CEILING.MATH(F107*2.35)+1</f>
        <v>932</v>
      </c>
      <c r="N107" s="22">
        <f>H107*1.18</f>
        <v>467.28</v>
      </c>
      <c r="O107" s="22">
        <f>_xlfn.CEILING.MATH(F107*1.56)-1</f>
        <v>617</v>
      </c>
    </row>
    <row r="108" spans="1:15" s="22" customFormat="1">
      <c r="A108" s="22">
        <v>6</v>
      </c>
      <c r="B108" s="22" t="s">
        <v>1349</v>
      </c>
      <c r="C108" s="22" t="s">
        <v>1350</v>
      </c>
      <c r="E108" s="22">
        <v>1</v>
      </c>
      <c r="F108" s="22">
        <v>990</v>
      </c>
      <c r="G108" s="30">
        <f>IF(OR(M108="",O108="",M108=0),"",(M108-O108)/M108)</f>
        <v>0.33676975945017185</v>
      </c>
      <c r="H108" s="22">
        <v>990</v>
      </c>
      <c r="I108" s="22">
        <v>0</v>
      </c>
      <c r="J108" s="22">
        <v>1</v>
      </c>
      <c r="K108" s="22">
        <v>5</v>
      </c>
      <c r="L108" s="22">
        <v>18</v>
      </c>
      <c r="M108" s="22">
        <f>_xlfn.CEILING.MATH(F108*2.35)+1</f>
        <v>2328</v>
      </c>
      <c r="N108" s="22">
        <f>H108*1.18</f>
        <v>1168.2</v>
      </c>
      <c r="O108" s="22">
        <f>_xlfn.CEILING.MATH(F108*1.56)-1</f>
        <v>1544</v>
      </c>
    </row>
    <row r="109" spans="1:15" s="22" customFormat="1">
      <c r="A109" s="22">
        <v>7</v>
      </c>
      <c r="B109" s="22" t="s">
        <v>1351</v>
      </c>
      <c r="C109" s="22" t="s">
        <v>1352</v>
      </c>
      <c r="E109" s="22">
        <v>1</v>
      </c>
      <c r="F109" s="22">
        <v>907.5</v>
      </c>
      <c r="G109" s="30">
        <f>IF(OR(M109="",O109="",M109=0),"",(M109-O109)/M109)</f>
        <v>0.33692596063730085</v>
      </c>
      <c r="H109" s="22">
        <v>907.5</v>
      </c>
      <c r="I109" s="22">
        <v>0</v>
      </c>
      <c r="J109" s="22">
        <v>1</v>
      </c>
      <c r="K109" s="22">
        <v>25</v>
      </c>
      <c r="L109" s="22">
        <v>18</v>
      </c>
      <c r="M109" s="22">
        <f>_xlfn.CEILING.MATH(F109*2.35)+1</f>
        <v>2134</v>
      </c>
      <c r="N109" s="22">
        <f>H109*1.18</f>
        <v>1070.8499999999999</v>
      </c>
      <c r="O109" s="22">
        <f>_xlfn.CEILING.MATH(F109*1.56)-1</f>
        <v>1415</v>
      </c>
    </row>
    <row r="110" spans="1:15" s="22" customFormat="1">
      <c r="A110" s="22">
        <v>8</v>
      </c>
      <c r="B110" s="22" t="s">
        <v>232</v>
      </c>
      <c r="C110" s="22" t="s">
        <v>1353</v>
      </c>
      <c r="E110" s="22">
        <v>1</v>
      </c>
      <c r="F110" s="22">
        <v>98</v>
      </c>
      <c r="G110" s="30">
        <f>IF(OR(M110="",O110="",M110=0),"",(M110-O110)/M110)</f>
        <v>0.36666666666666664</v>
      </c>
      <c r="H110" s="22">
        <v>98</v>
      </c>
      <c r="I110" s="22">
        <v>83</v>
      </c>
      <c r="J110" s="22">
        <v>10</v>
      </c>
      <c r="K110" s="22">
        <v>200</v>
      </c>
      <c r="L110" s="22">
        <v>18</v>
      </c>
      <c r="M110" s="22">
        <v>240</v>
      </c>
      <c r="N110" s="22">
        <f>H110*1.18</f>
        <v>115.64</v>
      </c>
      <c r="O110" s="22">
        <f>_xlfn.CEILING.MATH(F110*1.56)-1</f>
        <v>152</v>
      </c>
    </row>
    <row r="111" spans="1:15" s="22" customFormat="1">
      <c r="A111" s="22">
        <v>9</v>
      </c>
      <c r="B111" s="22" t="s">
        <v>233</v>
      </c>
      <c r="C111" s="22" t="s">
        <v>1354</v>
      </c>
      <c r="E111" s="22">
        <v>1</v>
      </c>
      <c r="F111" s="22">
        <v>111</v>
      </c>
      <c r="G111" s="30">
        <f>IF(OR(M111="",O111="",M111=0),"",(M111-O111)/M111)</f>
        <v>0.33461538461538459</v>
      </c>
      <c r="H111" s="22">
        <v>111</v>
      </c>
      <c r="I111" s="22">
        <v>3882</v>
      </c>
      <c r="J111" s="22">
        <v>10</v>
      </c>
      <c r="K111" s="22">
        <v>200</v>
      </c>
      <c r="L111" s="22">
        <v>18</v>
      </c>
      <c r="M111" s="22">
        <v>260</v>
      </c>
      <c r="N111" s="22">
        <f>H111*1.18</f>
        <v>130.97999999999999</v>
      </c>
      <c r="O111" s="22">
        <f>_xlfn.CEILING.MATH(F111*1.56)-1</f>
        <v>173</v>
      </c>
    </row>
    <row r="112" spans="1:15" s="22" customFormat="1">
      <c r="A112" s="22">
        <v>10</v>
      </c>
      <c r="B112" s="22" t="s">
        <v>234</v>
      </c>
      <c r="C112" s="22" t="s">
        <v>1355</v>
      </c>
      <c r="E112" s="22">
        <v>1</v>
      </c>
      <c r="F112" s="22">
        <v>114</v>
      </c>
      <c r="G112" s="30">
        <f>IF(OR(M112="",O112="",M112=0),"",(M112-O112)/M112)</f>
        <v>0.23043478260869565</v>
      </c>
      <c r="H112" s="22">
        <v>114</v>
      </c>
      <c r="I112" s="22">
        <v>1239</v>
      </c>
      <c r="J112" s="22">
        <v>10</v>
      </c>
      <c r="K112" s="22">
        <v>200</v>
      </c>
      <c r="L112" s="22">
        <v>18</v>
      </c>
      <c r="M112" s="22">
        <v>230</v>
      </c>
      <c r="N112" s="22">
        <f>H112*1.18</f>
        <v>134.51999999999998</v>
      </c>
      <c r="O112" s="22">
        <f>_xlfn.CEILING.MATH(F112*1.56)-1</f>
        <v>177</v>
      </c>
    </row>
    <row r="113" spans="1:15" s="22" customFormat="1">
      <c r="A113" s="22">
        <v>11</v>
      </c>
      <c r="B113" s="22" t="s">
        <v>235</v>
      </c>
      <c r="C113" s="22" t="s">
        <v>1356</v>
      </c>
      <c r="E113" s="22">
        <v>1</v>
      </c>
      <c r="F113" s="22">
        <v>123</v>
      </c>
      <c r="G113" s="30">
        <f>IF(OR(M113="",O113="",M113=0),"",(M113-O113)/M113)</f>
        <v>0.26538461538461539</v>
      </c>
      <c r="H113" s="22">
        <v>123</v>
      </c>
      <c r="I113" s="22">
        <v>1932</v>
      </c>
      <c r="J113" s="22">
        <v>10</v>
      </c>
      <c r="K113" s="22">
        <v>200</v>
      </c>
      <c r="L113" s="22">
        <v>18</v>
      </c>
      <c r="M113" s="22">
        <v>260</v>
      </c>
      <c r="N113" s="22">
        <f>H113*1.18</f>
        <v>145.13999999999999</v>
      </c>
      <c r="O113" s="22">
        <f>_xlfn.CEILING.MATH(F113*1.56)-1</f>
        <v>191</v>
      </c>
    </row>
    <row r="114" spans="1:15" s="22" customFormat="1">
      <c r="A114" s="22">
        <v>12</v>
      </c>
      <c r="B114" s="22" t="s">
        <v>237</v>
      </c>
      <c r="C114" s="22" t="s">
        <v>1357</v>
      </c>
      <c r="E114" s="22">
        <v>1</v>
      </c>
      <c r="F114" s="22">
        <v>255</v>
      </c>
      <c r="G114" s="30">
        <f>IF(OR(M114="",O114="",M114=0),"",(M114-O114)/M114)</f>
        <v>0.29107142857142859</v>
      </c>
      <c r="H114" s="22">
        <v>255</v>
      </c>
      <c r="I114" s="22">
        <v>589</v>
      </c>
      <c r="J114" s="22">
        <v>1</v>
      </c>
      <c r="K114" s="22">
        <v>50</v>
      </c>
      <c r="L114" s="22">
        <v>18</v>
      </c>
      <c r="M114" s="22">
        <v>560</v>
      </c>
      <c r="N114" s="22">
        <f>H114*1.18</f>
        <v>300.89999999999998</v>
      </c>
      <c r="O114" s="22">
        <f>_xlfn.CEILING.MATH(F114*1.56)-1</f>
        <v>397</v>
      </c>
    </row>
    <row r="115" spans="1:15" s="22" customFormat="1">
      <c r="A115" s="22">
        <v>13</v>
      </c>
      <c r="B115" s="22" t="s">
        <v>236</v>
      </c>
      <c r="C115" s="22" t="s">
        <v>1358</v>
      </c>
      <c r="E115" s="22">
        <v>1</v>
      </c>
      <c r="F115" s="22">
        <v>245</v>
      </c>
      <c r="G115" s="30">
        <f>IF(OR(M115="",O115="",M115=0),"",(M115-O115)/M115)</f>
        <v>0.13181818181818181</v>
      </c>
      <c r="H115" s="22">
        <v>245</v>
      </c>
      <c r="I115" s="22">
        <v>491</v>
      </c>
      <c r="J115" s="22">
        <v>1</v>
      </c>
      <c r="K115" s="22">
        <v>50</v>
      </c>
      <c r="L115" s="22">
        <v>18</v>
      </c>
      <c r="M115" s="22">
        <v>440</v>
      </c>
      <c r="N115" s="22">
        <f>H115*1.18</f>
        <v>289.09999999999997</v>
      </c>
      <c r="O115" s="22">
        <f>_xlfn.CEILING.MATH(F115*1.56)-1</f>
        <v>382</v>
      </c>
    </row>
    <row r="116" spans="1:15" s="22" customFormat="1">
      <c r="A116" s="22">
        <v>14</v>
      </c>
      <c r="B116" s="22" t="s">
        <v>238</v>
      </c>
      <c r="C116" s="22" t="s">
        <v>1359</v>
      </c>
      <c r="E116" s="22">
        <v>1</v>
      </c>
      <c r="F116" s="22">
        <v>300</v>
      </c>
      <c r="G116" s="30">
        <f>IF(OR(M116="",O116="",M116=0),"",(M116-O116)/M116)</f>
        <v>0.23442622950819672</v>
      </c>
      <c r="H116" s="22">
        <v>300</v>
      </c>
      <c r="I116" s="22">
        <v>619</v>
      </c>
      <c r="J116" s="22">
        <v>1</v>
      </c>
      <c r="K116" s="22">
        <v>50</v>
      </c>
      <c r="L116" s="22">
        <v>18</v>
      </c>
      <c r="M116" s="22">
        <v>610</v>
      </c>
      <c r="N116" s="22">
        <f>H116*1.18</f>
        <v>354</v>
      </c>
      <c r="O116" s="22">
        <f>_xlfn.CEILING.MATH(F116*1.56)-1</f>
        <v>467</v>
      </c>
    </row>
    <row r="117" spans="1:15" s="22" customFormat="1">
      <c r="A117" s="22">
        <v>15</v>
      </c>
      <c r="B117" s="22" t="s">
        <v>239</v>
      </c>
      <c r="C117" s="22" t="s">
        <v>1360</v>
      </c>
      <c r="E117" s="22">
        <v>1</v>
      </c>
      <c r="F117" s="22">
        <v>360</v>
      </c>
      <c r="G117" s="30">
        <f>IF(OR(M117="",O117="",M117=0),"",(M117-O117)/M117)</f>
        <v>0.18695652173913044</v>
      </c>
      <c r="H117" s="22">
        <v>360</v>
      </c>
      <c r="I117" s="22">
        <v>4</v>
      </c>
      <c r="J117" s="22">
        <v>1</v>
      </c>
      <c r="K117" s="22">
        <v>50</v>
      </c>
      <c r="L117" s="22">
        <v>18</v>
      </c>
      <c r="M117" s="22">
        <v>690</v>
      </c>
      <c r="N117" s="22">
        <f>H117*1.18</f>
        <v>424.79999999999995</v>
      </c>
      <c r="O117" s="22">
        <f>_xlfn.CEILING.MATH(F117*1.56)-1</f>
        <v>561</v>
      </c>
    </row>
    <row r="118" spans="1:15" s="22" customFormat="1">
      <c r="A118" s="22">
        <v>16</v>
      </c>
      <c r="B118" s="22" t="s">
        <v>1361</v>
      </c>
      <c r="C118" s="22" t="s">
        <v>1362</v>
      </c>
      <c r="E118" s="22">
        <v>1</v>
      </c>
      <c r="F118" s="22">
        <v>147</v>
      </c>
      <c r="G118" s="30">
        <f>IF(OR(M118="",O118="",M118=0),"",(M118-O118)/M118)</f>
        <v>0.34005763688760809</v>
      </c>
      <c r="H118" s="22">
        <v>147</v>
      </c>
      <c r="I118" s="22">
        <v>1495</v>
      </c>
      <c r="J118" s="22">
        <v>1</v>
      </c>
      <c r="K118" s="22">
        <v>50</v>
      </c>
      <c r="L118" s="22">
        <v>18</v>
      </c>
      <c r="M118" s="22">
        <f>_xlfn.CEILING.MATH(F118*2.35)+1</f>
        <v>347</v>
      </c>
      <c r="N118" s="22">
        <f>H118*1.18</f>
        <v>173.45999999999998</v>
      </c>
      <c r="O118" s="22">
        <f>_xlfn.CEILING.MATH(F118*1.56)-1</f>
        <v>229</v>
      </c>
    </row>
    <row r="119" spans="1:15" s="22" customFormat="1">
      <c r="A119" s="22">
        <v>17</v>
      </c>
      <c r="B119" s="22" t="s">
        <v>1363</v>
      </c>
      <c r="C119" s="22" t="s">
        <v>1364</v>
      </c>
      <c r="E119" s="22">
        <v>1</v>
      </c>
      <c r="F119" s="22">
        <v>98</v>
      </c>
      <c r="G119" s="30">
        <f>IF(OR(M119="",O119="",M119=0),"",(M119-O119)/M119)</f>
        <v>0.34482758620689657</v>
      </c>
      <c r="H119" s="22">
        <v>98</v>
      </c>
      <c r="I119" s="22">
        <v>65</v>
      </c>
      <c r="J119" s="22">
        <v>1</v>
      </c>
      <c r="K119" s="22">
        <v>80</v>
      </c>
      <c r="L119" s="22">
        <v>18</v>
      </c>
      <c r="M119" s="22">
        <f>_xlfn.CEILING.MATH(F119*2.35)+1</f>
        <v>232</v>
      </c>
      <c r="N119" s="22">
        <f>H119*1.18</f>
        <v>115.64</v>
      </c>
      <c r="O119" s="22">
        <f>_xlfn.CEILING.MATH(F119*1.56)-1</f>
        <v>152</v>
      </c>
    </row>
    <row r="120" spans="1:15" s="22" customFormat="1">
      <c r="A120" s="22">
        <v>18</v>
      </c>
      <c r="B120" s="22" t="s">
        <v>1365</v>
      </c>
      <c r="C120" s="22" t="s">
        <v>1366</v>
      </c>
      <c r="E120" s="22">
        <v>1</v>
      </c>
      <c r="F120" s="22">
        <v>98</v>
      </c>
      <c r="G120" s="30">
        <f>IF(OR(M120="",O120="",M120=0),"",(M120-O120)/M120)</f>
        <v>0.34482758620689657</v>
      </c>
      <c r="H120" s="22">
        <v>98</v>
      </c>
      <c r="I120" s="22">
        <v>13</v>
      </c>
      <c r="J120" s="22">
        <v>1</v>
      </c>
      <c r="K120" s="22">
        <v>80</v>
      </c>
      <c r="L120" s="22">
        <v>18</v>
      </c>
      <c r="M120" s="22">
        <f>_xlfn.CEILING.MATH(F120*2.35)+1</f>
        <v>232</v>
      </c>
      <c r="N120" s="22">
        <f>H120*1.18</f>
        <v>115.64</v>
      </c>
      <c r="O120" s="22">
        <f>_xlfn.CEILING.MATH(F120*1.56)-1</f>
        <v>152</v>
      </c>
    </row>
    <row r="121" spans="1:15" s="22" customFormat="1">
      <c r="A121" s="22">
        <v>19</v>
      </c>
      <c r="B121" s="22" t="s">
        <v>130</v>
      </c>
      <c r="C121" s="22" t="s">
        <v>1367</v>
      </c>
      <c r="E121" s="22">
        <v>1</v>
      </c>
      <c r="F121" s="22">
        <v>234</v>
      </c>
      <c r="G121" s="30">
        <f>IF(OR(M121="",O121="",M121=0),"",(M121-O121)/M121)</f>
        <v>0.33756805807622503</v>
      </c>
      <c r="H121" s="22">
        <v>234</v>
      </c>
      <c r="I121" s="22">
        <v>1072</v>
      </c>
      <c r="J121" s="22">
        <v>10</v>
      </c>
      <c r="K121" s="22">
        <v>10</v>
      </c>
      <c r="L121" s="22">
        <v>18</v>
      </c>
      <c r="M121" s="22">
        <f>_xlfn.CEILING.MATH(F121*2.35)+1</f>
        <v>551</v>
      </c>
      <c r="N121" s="22">
        <f>H121*1.18</f>
        <v>276.12</v>
      </c>
      <c r="O121" s="22">
        <f>_xlfn.CEILING.MATH(F121*1.56)-1</f>
        <v>365</v>
      </c>
    </row>
    <row r="122" spans="1:15" s="22" customFormat="1">
      <c r="A122" s="22">
        <v>20</v>
      </c>
      <c r="B122" s="22" t="s">
        <v>131</v>
      </c>
      <c r="C122" s="22" t="s">
        <v>1368</v>
      </c>
      <c r="E122" s="22">
        <v>1</v>
      </c>
      <c r="F122" s="22">
        <v>381</v>
      </c>
      <c r="G122" s="30">
        <f>IF(OR(M122="",O122="",M122=0),"",(M122-O122)/M122)</f>
        <v>0.33779264214046822</v>
      </c>
      <c r="H122" s="22">
        <v>381</v>
      </c>
      <c r="I122" s="22">
        <v>29</v>
      </c>
      <c r="J122" s="22">
        <v>10</v>
      </c>
      <c r="K122" s="22">
        <v>10</v>
      </c>
      <c r="L122" s="22">
        <v>18</v>
      </c>
      <c r="M122" s="22">
        <f>_xlfn.CEILING.MATH(F122*2.35)+1</f>
        <v>897</v>
      </c>
      <c r="N122" s="22">
        <f>H122*1.18</f>
        <v>449.58</v>
      </c>
      <c r="O122" s="22">
        <f>_xlfn.CEILING.MATH(F122*1.56)-1</f>
        <v>594</v>
      </c>
    </row>
    <row r="123" spans="1:15" s="22" customFormat="1">
      <c r="A123" s="22">
        <v>21</v>
      </c>
      <c r="B123" s="22" t="s">
        <v>129</v>
      </c>
      <c r="C123" s="22" t="s">
        <v>1369</v>
      </c>
      <c r="E123" s="22">
        <v>1</v>
      </c>
      <c r="F123" s="22">
        <v>174</v>
      </c>
      <c r="G123" s="30">
        <f>IF(OR(M123="",O123="",M123=0),"",(M123-O123)/M123)</f>
        <v>0.33902439024390246</v>
      </c>
      <c r="H123" s="22">
        <v>174</v>
      </c>
      <c r="I123" s="22">
        <v>1168</v>
      </c>
      <c r="J123" s="22">
        <v>10</v>
      </c>
      <c r="K123" s="22">
        <v>10</v>
      </c>
      <c r="L123" s="22">
        <v>18</v>
      </c>
      <c r="M123" s="22">
        <f>_xlfn.CEILING.MATH(F123*2.35)+1</f>
        <v>410</v>
      </c>
      <c r="N123" s="22">
        <f>H123*1.18</f>
        <v>205.32</v>
      </c>
      <c r="O123" s="22">
        <f>_xlfn.CEILING.MATH(F123*1.56)-1</f>
        <v>271</v>
      </c>
    </row>
    <row r="124" spans="1:15" s="22" customFormat="1">
      <c r="A124" s="22">
        <v>22</v>
      </c>
      <c r="B124" s="22" t="s">
        <v>132</v>
      </c>
      <c r="C124" s="22" t="s">
        <v>1370</v>
      </c>
      <c r="E124" s="22">
        <v>1</v>
      </c>
      <c r="F124" s="22">
        <v>174</v>
      </c>
      <c r="G124" s="30">
        <f>IF(OR(M124="",O124="",M124=0),"",(M124-O124)/M124)</f>
        <v>0.33902439024390246</v>
      </c>
      <c r="H124" s="22">
        <v>174</v>
      </c>
      <c r="I124" s="22">
        <v>503</v>
      </c>
      <c r="J124" s="22">
        <v>10</v>
      </c>
      <c r="K124" s="22">
        <v>10</v>
      </c>
      <c r="L124" s="22">
        <v>18</v>
      </c>
      <c r="M124" s="22">
        <f>_xlfn.CEILING.MATH(F124*2.35)+1</f>
        <v>410</v>
      </c>
      <c r="N124" s="22">
        <f>H124*1.18</f>
        <v>205.32</v>
      </c>
      <c r="O124" s="22">
        <f>_xlfn.CEILING.MATH(F124*1.56)-1</f>
        <v>271</v>
      </c>
    </row>
    <row r="125" spans="1:15" s="22" customFormat="1">
      <c r="A125" s="22">
        <v>23</v>
      </c>
      <c r="B125" s="22" t="s">
        <v>1371</v>
      </c>
      <c r="C125" s="22" t="s">
        <v>1372</v>
      </c>
      <c r="E125" s="22">
        <v>1</v>
      </c>
      <c r="F125" s="22">
        <v>150</v>
      </c>
      <c r="G125" s="30">
        <f>IF(OR(M125="",O125="",M125=0),"",(M125-O125)/M125)</f>
        <v>0.34180790960451979</v>
      </c>
      <c r="H125" s="22">
        <v>150</v>
      </c>
      <c r="I125" s="22">
        <v>1986</v>
      </c>
      <c r="J125" s="22">
        <v>10</v>
      </c>
      <c r="K125" s="22">
        <v>100</v>
      </c>
      <c r="L125" s="22">
        <v>18</v>
      </c>
      <c r="M125" s="22">
        <f>_xlfn.CEILING.MATH(F125*2.35)+1</f>
        <v>354</v>
      </c>
      <c r="N125" s="22">
        <f>H125*1.18</f>
        <v>177</v>
      </c>
      <c r="O125" s="22">
        <f>_xlfn.CEILING.MATH(F125*1.56)-1</f>
        <v>233</v>
      </c>
    </row>
    <row r="126" spans="1:15" s="22" customFormat="1">
      <c r="A126" s="22">
        <v>24</v>
      </c>
      <c r="B126" s="22" t="s">
        <v>133</v>
      </c>
      <c r="C126" s="22" t="s">
        <v>1373</v>
      </c>
      <c r="E126" s="22">
        <v>1</v>
      </c>
      <c r="F126" s="22">
        <v>150</v>
      </c>
      <c r="G126" s="30">
        <f>IF(OR(M126="",O126="",M126=0),"",(M126-O126)/M126)</f>
        <v>0.68933333333333335</v>
      </c>
      <c r="H126" s="22">
        <v>150</v>
      </c>
      <c r="I126" s="22">
        <v>585</v>
      </c>
      <c r="J126" s="22">
        <v>1</v>
      </c>
      <c r="K126" s="22">
        <v>10</v>
      </c>
      <c r="L126" s="22">
        <v>18</v>
      </c>
      <c r="M126" s="22">
        <f>_xlfn.CEILING.MATH(F126*5)</f>
        <v>750</v>
      </c>
      <c r="N126" s="22">
        <f>H126*1.18</f>
        <v>177</v>
      </c>
      <c r="O126" s="22">
        <f>_xlfn.CEILING.MATH(F126*1.56)-1</f>
        <v>233</v>
      </c>
    </row>
    <row r="127" spans="1:15" s="22" customFormat="1">
      <c r="A127" s="22">
        <v>25</v>
      </c>
      <c r="B127" s="22" t="s">
        <v>139</v>
      </c>
      <c r="C127" s="22" t="s">
        <v>1374</v>
      </c>
      <c r="E127" s="22">
        <v>1</v>
      </c>
      <c r="F127" s="22">
        <v>159</v>
      </c>
      <c r="G127" s="30">
        <f>IF(OR(M127="",O127="",M127=0),"",(M127-O127)/M127)</f>
        <v>0.33866666666666667</v>
      </c>
      <c r="H127" s="22">
        <v>159</v>
      </c>
      <c r="I127" s="22">
        <v>156</v>
      </c>
      <c r="J127" s="22">
        <v>1</v>
      </c>
      <c r="K127" s="22">
        <v>25</v>
      </c>
      <c r="L127" s="22">
        <v>18</v>
      </c>
      <c r="M127" s="22">
        <f>_xlfn.CEILING.MATH(F127*2.35)+1</f>
        <v>375</v>
      </c>
      <c r="N127" s="22">
        <f>H127*1.18</f>
        <v>187.61999999999998</v>
      </c>
      <c r="O127" s="22">
        <f>_xlfn.CEILING.MATH(F127*1.56)-1</f>
        <v>248</v>
      </c>
    </row>
    <row r="128" spans="1:15" s="22" customFormat="1">
      <c r="A128" s="22">
        <v>26</v>
      </c>
      <c r="B128" s="22" t="s">
        <v>136</v>
      </c>
      <c r="C128" s="22" t="s">
        <v>1375</v>
      </c>
      <c r="E128" s="22">
        <v>1</v>
      </c>
      <c r="F128" s="22">
        <v>279</v>
      </c>
      <c r="G128" s="30">
        <f>IF(OR(M128="",O128="",M128=0),"",(M128-O128)/M128)</f>
        <v>0.33789954337899542</v>
      </c>
      <c r="H128" s="22">
        <v>279</v>
      </c>
      <c r="I128" s="22">
        <v>328</v>
      </c>
      <c r="J128" s="22">
        <v>1</v>
      </c>
      <c r="K128" s="22">
        <v>5</v>
      </c>
      <c r="L128" s="22">
        <v>18</v>
      </c>
      <c r="M128" s="22">
        <f>_xlfn.CEILING.MATH(F128*2.35)+1</f>
        <v>657</v>
      </c>
      <c r="N128" s="22">
        <f>H128*1.18</f>
        <v>329.21999999999997</v>
      </c>
      <c r="O128" s="22">
        <f>_xlfn.CEILING.MATH(F128*1.56)-1</f>
        <v>435</v>
      </c>
    </row>
    <row r="129" spans="1:15" s="22" customFormat="1">
      <c r="A129" s="22">
        <v>27</v>
      </c>
      <c r="B129" s="22" t="s">
        <v>137</v>
      </c>
      <c r="C129" s="22" t="s">
        <v>1376</v>
      </c>
      <c r="E129" s="22">
        <v>1</v>
      </c>
      <c r="F129" s="22">
        <v>279</v>
      </c>
      <c r="G129" s="30">
        <f>IF(OR(M129="",O129="",M129=0),"",(M129-O129)/M129)</f>
        <v>0.33789954337899542</v>
      </c>
      <c r="H129" s="22">
        <v>279</v>
      </c>
      <c r="I129" s="22">
        <v>787</v>
      </c>
      <c r="J129" s="22">
        <v>1</v>
      </c>
      <c r="K129" s="22">
        <v>5</v>
      </c>
      <c r="L129" s="22">
        <v>18</v>
      </c>
      <c r="M129" s="22">
        <f>_xlfn.CEILING.MATH(F129*2.35)+1</f>
        <v>657</v>
      </c>
      <c r="N129" s="22">
        <f>H129*1.18</f>
        <v>329.21999999999997</v>
      </c>
      <c r="O129" s="22">
        <f>_xlfn.CEILING.MATH(F129*1.56)-1</f>
        <v>435</v>
      </c>
    </row>
    <row r="130" spans="1:15" s="22" customFormat="1">
      <c r="A130" s="22">
        <v>28</v>
      </c>
      <c r="B130" s="22" t="s">
        <v>140</v>
      </c>
      <c r="C130" s="22" t="s">
        <v>1377</v>
      </c>
      <c r="E130" s="22">
        <v>1</v>
      </c>
      <c r="F130" s="22">
        <v>130</v>
      </c>
      <c r="G130" s="30">
        <f>IF(OR(M130="",O130="",M130=0),"",(M130-O130)/M130)</f>
        <v>0.34201954397394135</v>
      </c>
      <c r="H130" s="22">
        <v>130</v>
      </c>
      <c r="I130" s="22">
        <v>293</v>
      </c>
      <c r="J130" s="22">
        <v>1</v>
      </c>
      <c r="K130" s="22">
        <v>25</v>
      </c>
      <c r="L130" s="22">
        <v>18</v>
      </c>
      <c r="M130" s="22">
        <f>_xlfn.CEILING.MATH(F130*2.35)+1</f>
        <v>307</v>
      </c>
      <c r="N130" s="22">
        <f>H130*1.18</f>
        <v>153.4</v>
      </c>
      <c r="O130" s="22">
        <f>_xlfn.CEILING.MATH(F130*1.56)-1</f>
        <v>202</v>
      </c>
    </row>
    <row r="131" spans="1:15" s="22" customFormat="1">
      <c r="A131" s="22">
        <v>29</v>
      </c>
      <c r="B131" s="22" t="s">
        <v>141</v>
      </c>
      <c r="C131" s="22" t="s">
        <v>1378</v>
      </c>
      <c r="E131" s="22">
        <v>1</v>
      </c>
      <c r="F131" s="22">
        <v>130</v>
      </c>
      <c r="G131" s="30">
        <f>IF(OR(M131="",O131="",M131=0),"",(M131-O131)/M131)</f>
        <v>0.34201954397394135</v>
      </c>
      <c r="H131" s="22">
        <v>130</v>
      </c>
      <c r="I131" s="22">
        <v>500</v>
      </c>
      <c r="J131" s="22">
        <v>1</v>
      </c>
      <c r="K131" s="22">
        <v>25</v>
      </c>
      <c r="L131" s="22">
        <v>18</v>
      </c>
      <c r="M131" s="22">
        <f>_xlfn.CEILING.MATH(F131*2.35)+1</f>
        <v>307</v>
      </c>
      <c r="N131" s="22">
        <f>H131*1.18</f>
        <v>153.4</v>
      </c>
      <c r="O131" s="22">
        <f>_xlfn.CEILING.MATH(F131*1.56)-1</f>
        <v>202</v>
      </c>
    </row>
    <row r="132" spans="1:15" s="22" customFormat="1">
      <c r="A132" s="22">
        <v>30</v>
      </c>
      <c r="B132" s="22" t="s">
        <v>142</v>
      </c>
      <c r="C132" s="22" t="s">
        <v>1379</v>
      </c>
      <c r="E132" s="22">
        <v>1</v>
      </c>
      <c r="F132" s="22">
        <v>90</v>
      </c>
      <c r="G132" s="30">
        <f>IF(OR(M132="",O132="",M132=0),"",(M132-O132)/M132)</f>
        <v>0.34272300469483569</v>
      </c>
      <c r="H132" s="22">
        <v>90</v>
      </c>
      <c r="I132" s="22">
        <v>1422</v>
      </c>
      <c r="J132" s="22">
        <v>1</v>
      </c>
      <c r="K132" s="22">
        <v>50</v>
      </c>
      <c r="L132" s="22">
        <v>18</v>
      </c>
      <c r="M132" s="22">
        <f>_xlfn.CEILING.MATH(F132*2.35)+1</f>
        <v>213</v>
      </c>
      <c r="N132" s="22">
        <f>H132*1.18</f>
        <v>106.19999999999999</v>
      </c>
      <c r="O132" s="22">
        <f>_xlfn.CEILING.MATH(F132*1.56)-1</f>
        <v>140</v>
      </c>
    </row>
    <row r="133" spans="1:15" s="22" customFormat="1">
      <c r="A133" s="22">
        <v>31</v>
      </c>
      <c r="B133" s="22" t="s">
        <v>143</v>
      </c>
      <c r="C133" s="22" t="s">
        <v>1380</v>
      </c>
      <c r="E133" s="22">
        <v>1</v>
      </c>
      <c r="F133" s="22">
        <v>90</v>
      </c>
      <c r="G133" s="30">
        <f>IF(OR(M133="",O133="",M133=0),"",(M133-O133)/M133)</f>
        <v>0.34272300469483569</v>
      </c>
      <c r="H133" s="22">
        <v>90</v>
      </c>
      <c r="I133" s="22">
        <v>32</v>
      </c>
      <c r="J133" s="22">
        <v>1</v>
      </c>
      <c r="K133" s="22">
        <v>50</v>
      </c>
      <c r="L133" s="22">
        <v>18</v>
      </c>
      <c r="M133" s="22">
        <f>_xlfn.CEILING.MATH(F133*2.35)+1</f>
        <v>213</v>
      </c>
      <c r="N133" s="22">
        <f>H133*1.18</f>
        <v>106.19999999999999</v>
      </c>
      <c r="O133" s="22">
        <f>_xlfn.CEILING.MATH(F133*1.56)-1</f>
        <v>140</v>
      </c>
    </row>
    <row r="134" spans="1:15" s="22" customFormat="1">
      <c r="A134" s="22">
        <v>32</v>
      </c>
      <c r="B134" s="22" t="s">
        <v>1381</v>
      </c>
      <c r="C134" s="22" t="s">
        <v>1382</v>
      </c>
      <c r="E134" s="22">
        <v>1</v>
      </c>
      <c r="F134" s="22">
        <v>8</v>
      </c>
      <c r="G134" s="30">
        <f>IF(OR(M134="",O134="",M134=0),"",(M134-O134)/M134)</f>
        <v>0.4</v>
      </c>
      <c r="H134" s="22">
        <v>8</v>
      </c>
      <c r="I134" s="22">
        <v>0</v>
      </c>
      <c r="J134" s="22">
        <v>50</v>
      </c>
      <c r="K134" s="22">
        <v>800</v>
      </c>
      <c r="L134" s="22">
        <v>18</v>
      </c>
      <c r="M134" s="22">
        <f>_xlfn.CEILING.MATH(F134*2.35)+1</f>
        <v>20</v>
      </c>
      <c r="N134" s="22">
        <f>H134*1.18</f>
        <v>9.44</v>
      </c>
      <c r="O134" s="22">
        <f>_xlfn.CEILING.MATH(F134*1.56)-1</f>
        <v>12</v>
      </c>
    </row>
    <row r="135" spans="1:15" s="22" customFormat="1">
      <c r="A135" s="22">
        <v>33</v>
      </c>
      <c r="B135" s="22" t="s">
        <v>145</v>
      </c>
      <c r="C135" s="22" t="s">
        <v>1383</v>
      </c>
      <c r="E135" s="22">
        <v>1</v>
      </c>
      <c r="F135" s="22">
        <v>9</v>
      </c>
      <c r="G135" s="30">
        <f>IF(OR(M135="",O135="",M135=0),"",(M135-O135)/M135)</f>
        <v>0.39130434782608697</v>
      </c>
      <c r="H135" s="22">
        <v>9</v>
      </c>
      <c r="I135" s="22">
        <v>305042</v>
      </c>
      <c r="J135" s="22">
        <v>50</v>
      </c>
      <c r="K135" s="22">
        <v>800</v>
      </c>
      <c r="L135" s="22">
        <v>18</v>
      </c>
      <c r="M135" s="22">
        <f>_xlfn.CEILING.MATH(F135*2.35)+1</f>
        <v>23</v>
      </c>
      <c r="N135" s="22">
        <f>H135*1.18</f>
        <v>10.62</v>
      </c>
      <c r="O135" s="22">
        <f>_xlfn.CEILING.MATH(F135*1.56)-1</f>
        <v>14</v>
      </c>
    </row>
    <row r="136" spans="1:15" s="22" customFormat="1">
      <c r="A136" s="22">
        <v>34</v>
      </c>
      <c r="B136" s="22" t="s">
        <v>146</v>
      </c>
      <c r="C136" s="22" t="s">
        <v>1384</v>
      </c>
      <c r="E136" s="22">
        <v>1</v>
      </c>
      <c r="F136" s="22">
        <v>9</v>
      </c>
      <c r="G136" s="30">
        <f>IF(OR(M136="",O136="",M136=0),"",(M136-O136)/M136)</f>
        <v>0.39130434782608697</v>
      </c>
      <c r="H136" s="22">
        <v>9</v>
      </c>
      <c r="I136" s="22">
        <v>477206</v>
      </c>
      <c r="J136" s="22">
        <v>50</v>
      </c>
      <c r="K136" s="22">
        <v>800</v>
      </c>
      <c r="L136" s="22">
        <v>18</v>
      </c>
      <c r="M136" s="22">
        <f>_xlfn.CEILING.MATH(F136*2.35)+1</f>
        <v>23</v>
      </c>
      <c r="N136" s="22">
        <f>H136*1.18</f>
        <v>10.62</v>
      </c>
      <c r="O136" s="22">
        <f>_xlfn.CEILING.MATH(F136*1.56)-1</f>
        <v>14</v>
      </c>
    </row>
    <row r="137" spans="1:15" s="22" customFormat="1">
      <c r="A137" s="22">
        <v>35</v>
      </c>
      <c r="B137" s="22" t="s">
        <v>144</v>
      </c>
      <c r="C137" s="22" t="s">
        <v>1385</v>
      </c>
      <c r="E137" s="22">
        <v>1</v>
      </c>
      <c r="F137" s="22">
        <v>8.5</v>
      </c>
      <c r="G137" s="30">
        <f>IF(OR(M137="",O137="",M137=0),"",(M137-O137)/M137)</f>
        <v>0.38095238095238093</v>
      </c>
      <c r="H137" s="22">
        <v>8.5</v>
      </c>
      <c r="I137" s="22">
        <v>277270</v>
      </c>
      <c r="J137" s="22">
        <v>50</v>
      </c>
      <c r="K137" s="22">
        <v>800</v>
      </c>
      <c r="L137" s="22">
        <v>18</v>
      </c>
      <c r="M137" s="22">
        <f>_xlfn.CEILING.MATH(F137*2.35)+1</f>
        <v>21</v>
      </c>
      <c r="N137" s="22">
        <f>H137*1.18</f>
        <v>10.029999999999999</v>
      </c>
      <c r="O137" s="22">
        <f>_xlfn.CEILING.MATH(F137*1.56)-1</f>
        <v>13</v>
      </c>
    </row>
    <row r="138" spans="1:15" s="22" customFormat="1">
      <c r="A138" s="22">
        <v>36</v>
      </c>
      <c r="B138" s="22" t="s">
        <v>147</v>
      </c>
      <c r="C138" s="22" t="s">
        <v>1386</v>
      </c>
      <c r="E138" s="22">
        <v>1</v>
      </c>
      <c r="F138" s="22">
        <v>16</v>
      </c>
      <c r="G138" s="30">
        <f>IF(OR(M138="",O138="",M138=0),"",(M138-O138)/M138)</f>
        <v>0.38461538461538464</v>
      </c>
      <c r="H138" s="22">
        <v>16</v>
      </c>
      <c r="I138" s="22">
        <v>97328</v>
      </c>
      <c r="J138" s="22">
        <v>50</v>
      </c>
      <c r="K138" s="22">
        <v>400</v>
      </c>
      <c r="L138" s="22">
        <v>18</v>
      </c>
      <c r="M138" s="22">
        <f>_xlfn.CEILING.MATH(F138*2.35)+1</f>
        <v>39</v>
      </c>
      <c r="N138" s="22">
        <f>H138*1.18</f>
        <v>18.88</v>
      </c>
      <c r="O138" s="22">
        <f>_xlfn.CEILING.MATH(F138*1.56)-1</f>
        <v>24</v>
      </c>
    </row>
    <row r="139" spans="1:15" s="22" customFormat="1">
      <c r="A139" s="22">
        <v>37</v>
      </c>
      <c r="B139" s="22" t="s">
        <v>148</v>
      </c>
      <c r="C139" s="22" t="s">
        <v>1387</v>
      </c>
      <c r="E139" s="22">
        <v>1</v>
      </c>
      <c r="F139" s="22">
        <v>37</v>
      </c>
      <c r="G139" s="30">
        <f>IF(OR(M139="",O139="",M139=0),"",(M139-O139)/M139)</f>
        <v>0.35227272727272729</v>
      </c>
      <c r="H139" s="22">
        <v>37</v>
      </c>
      <c r="I139" s="22">
        <v>9809</v>
      </c>
      <c r="J139" s="22">
        <v>50</v>
      </c>
      <c r="K139" s="22">
        <v>200</v>
      </c>
      <c r="L139" s="22">
        <v>18</v>
      </c>
      <c r="M139" s="22">
        <f>_xlfn.CEILING.MATH(F139*2.35)+1</f>
        <v>88</v>
      </c>
      <c r="N139" s="22">
        <f>H139*1.18</f>
        <v>43.66</v>
      </c>
      <c r="O139" s="22">
        <f>_xlfn.CEILING.MATH(F139*1.56)-1</f>
        <v>57</v>
      </c>
    </row>
    <row r="140" spans="1:15" s="22" customFormat="1">
      <c r="A140" s="22">
        <v>38</v>
      </c>
      <c r="B140" s="22" t="s">
        <v>149</v>
      </c>
      <c r="C140" s="22" t="s">
        <v>1388</v>
      </c>
      <c r="E140" s="22">
        <v>1</v>
      </c>
      <c r="F140" s="22">
        <v>99</v>
      </c>
      <c r="G140" s="30">
        <f>IF(OR(M140="",O140="",M140=0),"",(M140-O140)/M140)</f>
        <v>0.34188034188034189</v>
      </c>
      <c r="H140" s="22">
        <v>99</v>
      </c>
      <c r="I140" s="22">
        <v>6436</v>
      </c>
      <c r="J140" s="22">
        <v>5</v>
      </c>
      <c r="K140" s="22">
        <v>25</v>
      </c>
      <c r="L140" s="22">
        <v>18</v>
      </c>
      <c r="M140" s="22">
        <f>_xlfn.CEILING.MATH(F140*2.35)+1</f>
        <v>234</v>
      </c>
      <c r="N140" s="22">
        <f>H140*1.18</f>
        <v>116.82</v>
      </c>
      <c r="O140" s="22">
        <f>_xlfn.CEILING.MATH(F140*1.56)-1</f>
        <v>154</v>
      </c>
    </row>
    <row r="141" spans="1:15" s="22" customFormat="1">
      <c r="A141" s="22">
        <v>39</v>
      </c>
      <c r="B141" s="22" t="s">
        <v>1389</v>
      </c>
      <c r="C141" s="22" t="s">
        <v>1390</v>
      </c>
      <c r="E141" s="22">
        <v>1</v>
      </c>
      <c r="F141" s="22">
        <v>81</v>
      </c>
      <c r="G141" s="30">
        <f>IF(OR(M141="",O141="",M141=0),"",(M141-O141)/M141)</f>
        <v>0.34375</v>
      </c>
      <c r="H141" s="22">
        <v>81</v>
      </c>
      <c r="I141" s="22">
        <v>0</v>
      </c>
      <c r="J141" s="22">
        <v>5</v>
      </c>
      <c r="K141" s="22">
        <v>25</v>
      </c>
      <c r="L141" s="22">
        <v>18</v>
      </c>
      <c r="M141" s="22">
        <f>_xlfn.CEILING.MATH(F141*2.35)+1</f>
        <v>192</v>
      </c>
      <c r="N141" s="22">
        <f>H141*1.18</f>
        <v>95.58</v>
      </c>
      <c r="O141" s="22">
        <f>_xlfn.CEILING.MATH(F141*1.56)-1</f>
        <v>126</v>
      </c>
    </row>
    <row r="142" spans="1:15" s="22" customFormat="1">
      <c r="A142" s="22">
        <v>40</v>
      </c>
      <c r="B142" s="22" t="s">
        <v>150</v>
      </c>
      <c r="C142" s="22" t="s">
        <v>1391</v>
      </c>
      <c r="E142" s="22">
        <v>1</v>
      </c>
      <c r="F142" s="22">
        <v>87</v>
      </c>
      <c r="G142" s="30">
        <f>IF(OR(M142="",O142="",M142=0),"",(M142-O142)/M142)</f>
        <v>0.3446601941747573</v>
      </c>
      <c r="H142" s="22">
        <v>87</v>
      </c>
      <c r="I142" s="22">
        <v>33635</v>
      </c>
      <c r="J142" s="22">
        <v>5</v>
      </c>
      <c r="K142" s="22">
        <v>25</v>
      </c>
      <c r="L142" s="22">
        <v>18</v>
      </c>
      <c r="M142" s="22">
        <f>_xlfn.CEILING.MATH(F142*2.35)+1</f>
        <v>206</v>
      </c>
      <c r="N142" s="22">
        <f>H142*1.18</f>
        <v>102.66</v>
      </c>
      <c r="O142" s="22">
        <f>_xlfn.CEILING.MATH(F142*1.56)-1</f>
        <v>135</v>
      </c>
    </row>
    <row r="143" spans="1:15" s="22" customFormat="1">
      <c r="A143" s="22">
        <v>41</v>
      </c>
      <c r="B143" s="22" t="s">
        <v>1392</v>
      </c>
      <c r="C143" s="22" t="s">
        <v>1393</v>
      </c>
      <c r="E143" s="22">
        <v>1</v>
      </c>
      <c r="F143" s="22">
        <v>84.6</v>
      </c>
      <c r="G143" s="30">
        <f>IF(OR(M143="",O143="",M143=0),"",(M143-O143)/M143)</f>
        <v>0.34499999999999997</v>
      </c>
      <c r="H143" s="22">
        <v>84.6</v>
      </c>
      <c r="I143" s="22">
        <v>0</v>
      </c>
      <c r="J143" s="22">
        <v>5</v>
      </c>
      <c r="K143" s="22">
        <v>25</v>
      </c>
      <c r="L143" s="22">
        <v>18</v>
      </c>
      <c r="M143" s="22">
        <f>_xlfn.CEILING.MATH(F143*2.35)+1</f>
        <v>200</v>
      </c>
      <c r="N143" s="22">
        <f>H143*1.18</f>
        <v>99.827999999999989</v>
      </c>
      <c r="O143" s="22">
        <f>_xlfn.CEILING.MATH(F143*1.56)-1</f>
        <v>131</v>
      </c>
    </row>
    <row r="144" spans="1:15" s="22" customFormat="1">
      <c r="A144" s="22">
        <v>42</v>
      </c>
      <c r="B144" s="22" t="s">
        <v>151</v>
      </c>
      <c r="C144" s="22" t="s">
        <v>1394</v>
      </c>
      <c r="E144" s="22">
        <v>1</v>
      </c>
      <c r="F144" s="22">
        <v>91</v>
      </c>
      <c r="G144" s="30">
        <f>IF(OR(M144="",O144="",M144=0),"",(M144-O144)/M144)</f>
        <v>0.34418604651162793</v>
      </c>
      <c r="H144" s="22">
        <v>91</v>
      </c>
      <c r="I144" s="22">
        <v>35656</v>
      </c>
      <c r="J144" s="22">
        <v>5</v>
      </c>
      <c r="K144" s="22">
        <v>25</v>
      </c>
      <c r="L144" s="22">
        <v>18</v>
      </c>
      <c r="M144" s="22">
        <f>_xlfn.CEILING.MATH(F144*2.35)+1</f>
        <v>215</v>
      </c>
      <c r="N144" s="22">
        <f>H144*1.18</f>
        <v>107.38</v>
      </c>
      <c r="O144" s="22">
        <f>_xlfn.CEILING.MATH(F144*1.56)-1</f>
        <v>141</v>
      </c>
    </row>
    <row r="145" spans="1:15" s="22" customFormat="1">
      <c r="A145" s="22">
        <v>43</v>
      </c>
      <c r="B145" s="22" t="s">
        <v>152</v>
      </c>
      <c r="C145" s="22" t="s">
        <v>1395</v>
      </c>
      <c r="E145" s="22">
        <v>1</v>
      </c>
      <c r="F145" s="22">
        <v>99</v>
      </c>
      <c r="G145" s="30">
        <f>IF(OR(M145="",O145="",M145=0),"",(M145-O145)/M145)</f>
        <v>0.34188034188034189</v>
      </c>
      <c r="H145" s="22">
        <v>99</v>
      </c>
      <c r="I145" s="22">
        <v>25889</v>
      </c>
      <c r="J145" s="22">
        <v>5</v>
      </c>
      <c r="K145" s="22">
        <v>25</v>
      </c>
      <c r="L145" s="22">
        <v>18</v>
      </c>
      <c r="M145" s="22">
        <f>_xlfn.CEILING.MATH(F145*2.35)+1</f>
        <v>234</v>
      </c>
      <c r="N145" s="22">
        <f>H145*1.18</f>
        <v>116.82</v>
      </c>
      <c r="O145" s="22">
        <f>_xlfn.CEILING.MATH(F145*1.56)-1</f>
        <v>154</v>
      </c>
    </row>
    <row r="146" spans="1:15" s="22" customFormat="1">
      <c r="A146" s="22">
        <v>44</v>
      </c>
      <c r="B146" s="22" t="s">
        <v>153</v>
      </c>
      <c r="C146" s="22" t="s">
        <v>1396</v>
      </c>
      <c r="E146" s="22">
        <v>1</v>
      </c>
      <c r="F146" s="22">
        <v>81</v>
      </c>
      <c r="G146" s="30">
        <f>IF(OR(M146="",O146="",M146=0),"",(M146-O146)/M146)</f>
        <v>0.34375</v>
      </c>
      <c r="H146" s="22">
        <v>81</v>
      </c>
      <c r="I146" s="22">
        <v>2186</v>
      </c>
      <c r="J146" s="22">
        <v>10</v>
      </c>
      <c r="K146" s="22">
        <v>200</v>
      </c>
      <c r="L146" s="22">
        <v>18</v>
      </c>
      <c r="M146" s="22">
        <f>_xlfn.CEILING.MATH(F146*2.35)+1</f>
        <v>192</v>
      </c>
      <c r="N146" s="22">
        <f>H146*1.18</f>
        <v>95.58</v>
      </c>
      <c r="O146" s="22">
        <f>_xlfn.CEILING.MATH(F146*1.56)-1</f>
        <v>126</v>
      </c>
    </row>
    <row r="147" spans="1:15" s="22" customFormat="1">
      <c r="A147" s="22">
        <v>45</v>
      </c>
      <c r="B147" s="22" t="s">
        <v>154</v>
      </c>
      <c r="C147" s="22" t="s">
        <v>1397</v>
      </c>
      <c r="E147" s="22">
        <v>1</v>
      </c>
      <c r="F147" s="22">
        <v>114</v>
      </c>
      <c r="G147" s="30">
        <f>IF(OR(M147="",O147="",M147=0),"",(M147-O147)/M147)</f>
        <v>0.34200743494423791</v>
      </c>
      <c r="H147" s="22">
        <v>114</v>
      </c>
      <c r="I147" s="22">
        <v>592</v>
      </c>
      <c r="J147" s="22">
        <v>1</v>
      </c>
      <c r="K147" s="22">
        <v>100</v>
      </c>
      <c r="L147" s="22">
        <v>18</v>
      </c>
      <c r="M147" s="22">
        <f>_xlfn.CEILING.MATH(F147*2.35)+1</f>
        <v>269</v>
      </c>
      <c r="N147" s="22">
        <f>H147*1.18</f>
        <v>134.51999999999998</v>
      </c>
      <c r="O147" s="22">
        <f>_xlfn.CEILING.MATH(F147*1.56)-1</f>
        <v>177</v>
      </c>
    </row>
    <row r="148" spans="1:15" s="22" customFormat="1">
      <c r="A148" s="22">
        <v>46</v>
      </c>
      <c r="B148" s="22" t="s">
        <v>155</v>
      </c>
      <c r="C148" s="22" t="s">
        <v>1398</v>
      </c>
      <c r="E148" s="22">
        <v>1</v>
      </c>
      <c r="F148" s="22">
        <v>75</v>
      </c>
      <c r="G148" s="30">
        <f>IF(OR(M148="",O148="",M148=0),"",(M148-O148)/M148)</f>
        <v>0.34831460674157305</v>
      </c>
      <c r="H148" s="22">
        <v>75</v>
      </c>
      <c r="I148" s="22">
        <v>2917</v>
      </c>
      <c r="J148" s="22">
        <v>1</v>
      </c>
      <c r="K148" s="22">
        <v>100</v>
      </c>
      <c r="L148" s="22">
        <v>18</v>
      </c>
      <c r="M148" s="22">
        <f>_xlfn.CEILING.MATH(F148*2.35)+1</f>
        <v>178</v>
      </c>
      <c r="N148" s="22">
        <f>H148*1.18</f>
        <v>88.5</v>
      </c>
      <c r="O148" s="22">
        <f>_xlfn.CEILING.MATH(F148*1.56)-1</f>
        <v>116</v>
      </c>
    </row>
    <row r="149" spans="1:15" s="22" customFormat="1">
      <c r="A149" s="22">
        <v>47</v>
      </c>
      <c r="B149" s="22" t="s">
        <v>156</v>
      </c>
      <c r="C149" s="22" t="s">
        <v>1399</v>
      </c>
      <c r="E149" s="22">
        <v>1</v>
      </c>
      <c r="F149" s="22">
        <v>75</v>
      </c>
      <c r="G149" s="30">
        <f>IF(OR(M149="",O149="",M149=0),"",(M149-O149)/M149)</f>
        <v>0.34831460674157305</v>
      </c>
      <c r="H149" s="22">
        <v>75</v>
      </c>
      <c r="I149" s="22">
        <v>4521</v>
      </c>
      <c r="J149" s="22">
        <v>1</v>
      </c>
      <c r="K149" s="22">
        <v>100</v>
      </c>
      <c r="L149" s="22">
        <v>18</v>
      </c>
      <c r="M149" s="22">
        <f>_xlfn.CEILING.MATH(F149*2.35)+1</f>
        <v>178</v>
      </c>
      <c r="N149" s="22">
        <f>H149*1.18</f>
        <v>88.5</v>
      </c>
      <c r="O149" s="22">
        <f>_xlfn.CEILING.MATH(F149*1.56)-1</f>
        <v>116</v>
      </c>
    </row>
    <row r="150" spans="1:15" s="22" customFormat="1">
      <c r="A150" s="22">
        <v>48</v>
      </c>
      <c r="B150" s="22" t="s">
        <v>1400</v>
      </c>
      <c r="C150" s="22" t="s">
        <v>1401</v>
      </c>
      <c r="E150" s="22">
        <v>1</v>
      </c>
      <c r="F150" s="22">
        <v>63</v>
      </c>
      <c r="G150" s="30">
        <f>IF(OR(M150="",O150="",M150=0),"",(M150-O150)/M150)</f>
        <v>0.34666666666666668</v>
      </c>
      <c r="H150" s="22">
        <v>63</v>
      </c>
      <c r="I150" s="22">
        <v>0</v>
      </c>
      <c r="J150" s="22">
        <v>1</v>
      </c>
      <c r="K150" s="22">
        <v>200</v>
      </c>
      <c r="L150" s="22">
        <v>18</v>
      </c>
      <c r="M150" s="22">
        <f>_xlfn.CEILING.MATH(F150*2.35)+1</f>
        <v>150</v>
      </c>
      <c r="N150" s="22">
        <f>H150*1.18</f>
        <v>74.339999999999989</v>
      </c>
      <c r="O150" s="22">
        <f>_xlfn.CEILING.MATH(F150*1.56)-1</f>
        <v>98</v>
      </c>
    </row>
    <row r="151" spans="1:15" s="22" customFormat="1">
      <c r="A151" s="22">
        <v>49</v>
      </c>
      <c r="B151" s="22" t="s">
        <v>157</v>
      </c>
      <c r="C151" s="22" t="s">
        <v>1402</v>
      </c>
      <c r="E151" s="22">
        <v>1</v>
      </c>
      <c r="F151" s="22">
        <v>75</v>
      </c>
      <c r="G151" s="30">
        <f>IF(OR(M151="",O151="",M151=0),"",(M151-O151)/M151)</f>
        <v>0.34831460674157305</v>
      </c>
      <c r="H151" s="22">
        <v>75</v>
      </c>
      <c r="I151" s="22">
        <v>9438</v>
      </c>
      <c r="J151" s="22">
        <v>10</v>
      </c>
      <c r="K151" s="22">
        <v>200</v>
      </c>
      <c r="L151" s="22">
        <v>18</v>
      </c>
      <c r="M151" s="22">
        <f>_xlfn.CEILING.MATH(F151*2.35)+1</f>
        <v>178</v>
      </c>
      <c r="N151" s="22">
        <f>H151*1.18</f>
        <v>88.5</v>
      </c>
      <c r="O151" s="22">
        <f>_xlfn.CEILING.MATH(F151*1.56)-1</f>
        <v>116</v>
      </c>
    </row>
    <row r="152" spans="1:15" s="22" customFormat="1">
      <c r="A152" s="22">
        <v>50</v>
      </c>
      <c r="B152" s="22" t="s">
        <v>158</v>
      </c>
      <c r="C152" s="22" t="s">
        <v>159</v>
      </c>
      <c r="E152" s="22">
        <v>1</v>
      </c>
      <c r="F152" s="22">
        <v>93</v>
      </c>
      <c r="G152" s="30">
        <f>IF(OR(M152="",O152="",M152=0),"",(M152-O152)/M152)</f>
        <v>0.34090909090909088</v>
      </c>
      <c r="H152" s="22">
        <v>93</v>
      </c>
      <c r="I152" s="22">
        <v>8158</v>
      </c>
      <c r="J152" s="22">
        <v>10</v>
      </c>
      <c r="K152" s="22">
        <v>100</v>
      </c>
      <c r="L152" s="22">
        <v>18</v>
      </c>
      <c r="M152" s="22">
        <f>_xlfn.CEILING.MATH(F152*2.35)+1</f>
        <v>220</v>
      </c>
      <c r="N152" s="22">
        <f>H152*1.18</f>
        <v>109.74</v>
      </c>
      <c r="O152" s="22">
        <f>_xlfn.CEILING.MATH(F152*1.56)-1</f>
        <v>145</v>
      </c>
    </row>
    <row r="153" spans="1:15" s="22" customFormat="1">
      <c r="A153" s="22">
        <v>51</v>
      </c>
      <c r="B153" s="22" t="s">
        <v>163</v>
      </c>
      <c r="C153" s="22" t="s">
        <v>1403</v>
      </c>
      <c r="E153" s="22">
        <v>1</v>
      </c>
      <c r="F153" s="22">
        <v>76</v>
      </c>
      <c r="G153" s="30">
        <f>IF(OR(M153="",O153="",M153=0),"",(M153-O153)/M153)</f>
        <v>0.34444444444444444</v>
      </c>
      <c r="H153" s="22">
        <v>76</v>
      </c>
      <c r="I153" s="22">
        <v>12020</v>
      </c>
      <c r="J153" s="22">
        <v>10</v>
      </c>
      <c r="K153" s="22">
        <v>200</v>
      </c>
      <c r="L153" s="22">
        <v>18</v>
      </c>
      <c r="M153" s="22">
        <f>_xlfn.CEILING.MATH(F153*2.35)+1</f>
        <v>180</v>
      </c>
      <c r="N153" s="22">
        <f>H153*1.18</f>
        <v>89.679999999999993</v>
      </c>
      <c r="O153" s="22">
        <f>_xlfn.CEILING.MATH(F153*1.56)-1</f>
        <v>118</v>
      </c>
    </row>
    <row r="154" spans="1:15" s="22" customFormat="1">
      <c r="A154" s="22">
        <v>52</v>
      </c>
      <c r="B154" s="22" t="s">
        <v>160</v>
      </c>
      <c r="C154" s="22" t="s">
        <v>161</v>
      </c>
      <c r="E154" s="22">
        <v>1</v>
      </c>
      <c r="F154" s="22">
        <v>72</v>
      </c>
      <c r="G154" s="30">
        <f>IF(OR(M154="",O154="",M154=0),"",(M154-O154)/M154)</f>
        <v>0.34502923976608185</v>
      </c>
      <c r="H154" s="22">
        <v>72</v>
      </c>
      <c r="I154" s="22">
        <v>5674</v>
      </c>
      <c r="J154" s="22">
        <v>10</v>
      </c>
      <c r="K154" s="22">
        <v>200</v>
      </c>
      <c r="L154" s="22">
        <v>18</v>
      </c>
      <c r="M154" s="22">
        <f>_xlfn.CEILING.MATH(F154*2.35)+1</f>
        <v>171</v>
      </c>
      <c r="N154" s="22">
        <f>H154*1.18</f>
        <v>84.96</v>
      </c>
      <c r="O154" s="22">
        <f>_xlfn.CEILING.MATH(F154*1.56)-1</f>
        <v>112</v>
      </c>
    </row>
    <row r="155" spans="1:15" s="22" customFormat="1">
      <c r="A155" s="22">
        <v>53</v>
      </c>
      <c r="B155" s="22" t="s">
        <v>162</v>
      </c>
      <c r="C155" s="22" t="s">
        <v>1404</v>
      </c>
      <c r="E155" s="22">
        <v>1</v>
      </c>
      <c r="F155" s="22">
        <v>95</v>
      </c>
      <c r="G155" s="30">
        <f>IF(OR(M155="",O155="",M155=0),"",(M155-O155)/M155)</f>
        <v>0.34222222222222221</v>
      </c>
      <c r="H155" s="22">
        <v>95</v>
      </c>
      <c r="I155" s="22">
        <v>8386</v>
      </c>
      <c r="J155" s="22">
        <v>10</v>
      </c>
      <c r="K155" s="22">
        <v>200</v>
      </c>
      <c r="L155" s="22">
        <v>18</v>
      </c>
      <c r="M155" s="22">
        <f>_xlfn.CEILING.MATH(F155*2.35)+1</f>
        <v>225</v>
      </c>
      <c r="N155" s="22">
        <f>H155*1.18</f>
        <v>112.1</v>
      </c>
      <c r="O155" s="22">
        <f>_xlfn.CEILING.MATH(F155*1.56)-1</f>
        <v>148</v>
      </c>
    </row>
    <row r="156" spans="1:15" s="22" customFormat="1">
      <c r="A156" s="22">
        <v>54</v>
      </c>
      <c r="B156" s="22" t="s">
        <v>164</v>
      </c>
      <c r="C156" s="22" t="s">
        <v>1405</v>
      </c>
      <c r="E156" s="22">
        <v>1</v>
      </c>
      <c r="F156" s="22">
        <v>72</v>
      </c>
      <c r="G156" s="30">
        <f>IF(OR(M156="",O156="",M156=0),"",(M156-O156)/M156)</f>
        <v>0.34502923976608185</v>
      </c>
      <c r="H156" s="22">
        <v>72</v>
      </c>
      <c r="I156" s="22">
        <v>3574</v>
      </c>
      <c r="J156" s="22">
        <v>10</v>
      </c>
      <c r="K156" s="22">
        <v>200</v>
      </c>
      <c r="L156" s="22">
        <v>18</v>
      </c>
      <c r="M156" s="22">
        <f>_xlfn.CEILING.MATH(F156*2.35)+1</f>
        <v>171</v>
      </c>
      <c r="N156" s="22">
        <f>H156*1.18</f>
        <v>84.96</v>
      </c>
      <c r="O156" s="22">
        <f>_xlfn.CEILING.MATH(F156*1.56)-1</f>
        <v>112</v>
      </c>
    </row>
    <row r="157" spans="1:15" s="22" customFormat="1">
      <c r="A157" s="22">
        <v>55</v>
      </c>
      <c r="B157" s="22" t="s">
        <v>165</v>
      </c>
      <c r="C157" s="22" t="s">
        <v>1406</v>
      </c>
      <c r="E157" s="22">
        <v>1</v>
      </c>
      <c r="F157" s="22">
        <v>585</v>
      </c>
      <c r="G157" s="30">
        <f>IF(OR(M157="",O157="",M157=0),"",(M157-O157)/M157)</f>
        <v>0.33720930232558138</v>
      </c>
      <c r="H157" s="22">
        <v>585</v>
      </c>
      <c r="I157" s="22">
        <v>1284</v>
      </c>
      <c r="J157" s="22">
        <v>1</v>
      </c>
      <c r="K157" s="22">
        <v>20</v>
      </c>
      <c r="L157" s="22">
        <v>18</v>
      </c>
      <c r="M157" s="22">
        <f>_xlfn.CEILING.MATH(F157*2.35)+1</f>
        <v>1376</v>
      </c>
      <c r="N157" s="22">
        <f>H157*1.18</f>
        <v>690.3</v>
      </c>
      <c r="O157" s="22">
        <f>_xlfn.CEILING.MATH(F157*1.56)-1</f>
        <v>912</v>
      </c>
    </row>
    <row r="158" spans="1:15" s="22" customFormat="1">
      <c r="A158" s="22">
        <v>56</v>
      </c>
      <c r="B158" s="22" t="s">
        <v>166</v>
      </c>
      <c r="C158" s="22" t="s">
        <v>1407</v>
      </c>
      <c r="E158" s="22">
        <v>1</v>
      </c>
      <c r="F158" s="22">
        <v>585</v>
      </c>
      <c r="G158" s="30">
        <f>IF(OR(M158="",O158="",M158=0),"",(M158-O158)/M158)</f>
        <v>0.33720930232558138</v>
      </c>
      <c r="H158" s="22">
        <v>585</v>
      </c>
      <c r="I158" s="22">
        <v>1116</v>
      </c>
      <c r="J158" s="22">
        <v>1</v>
      </c>
      <c r="K158" s="22">
        <v>20</v>
      </c>
      <c r="L158" s="22">
        <v>18</v>
      </c>
      <c r="M158" s="22">
        <f>_xlfn.CEILING.MATH(F158*2.35)+1</f>
        <v>1376</v>
      </c>
      <c r="N158" s="22">
        <f>H158*1.18</f>
        <v>690.3</v>
      </c>
      <c r="O158" s="22">
        <f>_xlfn.CEILING.MATH(F158*1.56)-1</f>
        <v>912</v>
      </c>
    </row>
    <row r="159" spans="1:15" s="22" customFormat="1">
      <c r="A159" s="22">
        <v>57</v>
      </c>
      <c r="B159" s="22" t="s">
        <v>1408</v>
      </c>
      <c r="C159" s="22" t="s">
        <v>1409</v>
      </c>
      <c r="E159" s="22">
        <v>1</v>
      </c>
      <c r="F159" s="22">
        <v>390</v>
      </c>
      <c r="G159" s="30">
        <f>IF(OR(M159="",O159="",M159=0),"",(M159-O159)/M159)</f>
        <v>0.33769063180827885</v>
      </c>
      <c r="H159" s="22">
        <v>390</v>
      </c>
      <c r="I159" s="22">
        <v>1612</v>
      </c>
      <c r="J159" s="22">
        <v>1</v>
      </c>
      <c r="K159" s="22">
        <v>30</v>
      </c>
      <c r="L159" s="22">
        <v>18</v>
      </c>
      <c r="M159" s="22">
        <f>_xlfn.CEILING.MATH(F159*2.35)+1</f>
        <v>918</v>
      </c>
      <c r="N159" s="22">
        <f>H159*1.18</f>
        <v>460.2</v>
      </c>
      <c r="O159" s="22">
        <f>_xlfn.CEILING.MATH(F159*1.56)-1</f>
        <v>608</v>
      </c>
    </row>
    <row r="160" spans="1:15" s="22" customFormat="1">
      <c r="A160" s="22">
        <v>58</v>
      </c>
      <c r="B160" s="22" t="s">
        <v>167</v>
      </c>
      <c r="C160" s="22" t="s">
        <v>168</v>
      </c>
      <c r="E160" s="22">
        <v>1</v>
      </c>
      <c r="F160" s="22">
        <v>96</v>
      </c>
      <c r="G160" s="30">
        <f>IF(OR(M160="",O160="",M160=0),"",(M160-O160)/M160)</f>
        <v>0.34361233480176212</v>
      </c>
      <c r="H160" s="22">
        <v>96</v>
      </c>
      <c r="I160" s="22">
        <v>5821</v>
      </c>
      <c r="J160" s="22">
        <v>1</v>
      </c>
      <c r="K160" s="22">
        <v>50</v>
      </c>
      <c r="L160" s="22">
        <v>18</v>
      </c>
      <c r="M160" s="22">
        <f>_xlfn.CEILING.MATH(F160*2.35)+1</f>
        <v>227</v>
      </c>
      <c r="N160" s="22">
        <f>H160*1.18</f>
        <v>113.28</v>
      </c>
      <c r="O160" s="22">
        <f>_xlfn.CEILING.MATH(F160*1.56)-1</f>
        <v>149</v>
      </c>
    </row>
    <row r="161" spans="1:15" s="22" customFormat="1">
      <c r="A161" s="22">
        <v>59</v>
      </c>
      <c r="B161" s="22" t="s">
        <v>169</v>
      </c>
      <c r="C161" s="22" t="s">
        <v>170</v>
      </c>
      <c r="E161" s="22">
        <v>1</v>
      </c>
      <c r="F161" s="22">
        <v>111</v>
      </c>
      <c r="G161" s="30">
        <f>IF(OR(M161="",O161="",M161=0),"",(M161-O161)/M161)</f>
        <v>0.33969465648854963</v>
      </c>
      <c r="H161" s="22">
        <v>111</v>
      </c>
      <c r="I161" s="22">
        <v>9070</v>
      </c>
      <c r="J161" s="22">
        <v>1</v>
      </c>
      <c r="K161" s="22">
        <v>50</v>
      </c>
      <c r="L161" s="22">
        <v>18</v>
      </c>
      <c r="M161" s="22">
        <f>_xlfn.CEILING.MATH(F161*2.35)+1</f>
        <v>262</v>
      </c>
      <c r="N161" s="22">
        <f>H161*1.18</f>
        <v>130.97999999999999</v>
      </c>
      <c r="O161" s="22">
        <f>_xlfn.CEILING.MATH(F161*1.56)-1</f>
        <v>173</v>
      </c>
    </row>
    <row r="162" spans="1:15" s="22" customFormat="1">
      <c r="A162" s="22">
        <v>60</v>
      </c>
      <c r="B162" s="22" t="s">
        <v>171</v>
      </c>
      <c r="C162" s="22" t="s">
        <v>172</v>
      </c>
      <c r="E162" s="22">
        <v>1</v>
      </c>
      <c r="F162" s="22">
        <v>21</v>
      </c>
      <c r="G162" s="30">
        <f>IF(OR(M162="",O162="",M162=0),"",(M162-O162)/M162)</f>
        <v>0.37254901960784315</v>
      </c>
      <c r="H162" s="22">
        <v>21</v>
      </c>
      <c r="I162" s="22">
        <v>3093</v>
      </c>
      <c r="J162" s="22">
        <v>20</v>
      </c>
      <c r="K162" s="22">
        <v>200</v>
      </c>
      <c r="L162" s="22">
        <v>18</v>
      </c>
      <c r="M162" s="22">
        <f>_xlfn.CEILING.MATH(F162*2.35)+1</f>
        <v>51</v>
      </c>
      <c r="N162" s="22">
        <f>H162*1.18</f>
        <v>24.779999999999998</v>
      </c>
      <c r="O162" s="22">
        <f>_xlfn.CEILING.MATH(F162*1.56)-1</f>
        <v>32</v>
      </c>
    </row>
    <row r="163" spans="1:15" s="22" customFormat="1">
      <c r="A163" s="22">
        <v>61</v>
      </c>
      <c r="B163" s="22" t="s">
        <v>173</v>
      </c>
      <c r="C163" s="22" t="s">
        <v>174</v>
      </c>
      <c r="E163" s="22">
        <v>1</v>
      </c>
      <c r="F163" s="22">
        <v>21</v>
      </c>
      <c r="G163" s="30">
        <f>IF(OR(M163="",O163="",M163=0),"",(M163-O163)/M163)</f>
        <v>0.37254901960784315</v>
      </c>
      <c r="H163" s="22">
        <v>21</v>
      </c>
      <c r="I163" s="22">
        <v>28884</v>
      </c>
      <c r="J163" s="22">
        <v>20</v>
      </c>
      <c r="K163" s="22">
        <v>200</v>
      </c>
      <c r="L163" s="22">
        <v>18</v>
      </c>
      <c r="M163" s="22">
        <f>_xlfn.CEILING.MATH(F163*2.35)+1</f>
        <v>51</v>
      </c>
      <c r="N163" s="22">
        <f>H163*1.18</f>
        <v>24.779999999999998</v>
      </c>
      <c r="O163" s="22">
        <f>_xlfn.CEILING.MATH(F163*1.56)-1</f>
        <v>32</v>
      </c>
    </row>
    <row r="164" spans="1:15" s="22" customFormat="1">
      <c r="A164" s="22">
        <v>62</v>
      </c>
      <c r="B164" s="22" t="s">
        <v>175</v>
      </c>
      <c r="C164" s="22" t="s">
        <v>176</v>
      </c>
      <c r="E164" s="22">
        <v>1</v>
      </c>
      <c r="F164" s="22">
        <v>21</v>
      </c>
      <c r="G164" s="30">
        <f>IF(OR(M164="",O164="",M164=0),"",(M164-O164)/M164)</f>
        <v>0.37254901960784315</v>
      </c>
      <c r="H164" s="22">
        <v>21</v>
      </c>
      <c r="I164" s="22">
        <v>17604</v>
      </c>
      <c r="J164" s="22">
        <v>20</v>
      </c>
      <c r="K164" s="22">
        <v>200</v>
      </c>
      <c r="L164" s="22">
        <v>18</v>
      </c>
      <c r="M164" s="22">
        <f>_xlfn.CEILING.MATH(F164*2.35)+1</f>
        <v>51</v>
      </c>
      <c r="N164" s="22">
        <f>H164*1.18</f>
        <v>24.779999999999998</v>
      </c>
      <c r="O164" s="22">
        <f>_xlfn.CEILING.MATH(F164*1.56)-1</f>
        <v>32</v>
      </c>
    </row>
    <row r="165" spans="1:15" s="22" customFormat="1">
      <c r="A165" s="22">
        <v>63</v>
      </c>
      <c r="B165" s="22" t="s">
        <v>177</v>
      </c>
      <c r="C165" s="22" t="s">
        <v>1410</v>
      </c>
      <c r="E165" s="22">
        <v>1</v>
      </c>
      <c r="F165" s="22">
        <v>19.2</v>
      </c>
      <c r="G165" s="30">
        <f>IF(OR(M165="",O165="",M165=0),"",(M165-O165)/M165)</f>
        <v>0.38297872340425532</v>
      </c>
      <c r="H165" s="22">
        <v>19.2</v>
      </c>
      <c r="I165" s="22">
        <v>5703</v>
      </c>
      <c r="J165" s="22">
        <v>30</v>
      </c>
      <c r="K165" s="22">
        <v>300</v>
      </c>
      <c r="L165" s="22">
        <v>18</v>
      </c>
      <c r="M165" s="22">
        <f>_xlfn.CEILING.MATH(F165*2.35)+1</f>
        <v>47</v>
      </c>
      <c r="N165" s="22">
        <f>H165*1.18</f>
        <v>22.655999999999999</v>
      </c>
      <c r="O165" s="22">
        <f>_xlfn.CEILING.MATH(F165*1.56)-1</f>
        <v>29</v>
      </c>
    </row>
    <row r="166" spans="1:15" s="22" customFormat="1">
      <c r="A166" s="22">
        <v>64</v>
      </c>
      <c r="B166" s="22" t="s">
        <v>178</v>
      </c>
      <c r="C166" s="22" t="s">
        <v>1411</v>
      </c>
      <c r="E166" s="22">
        <v>1</v>
      </c>
      <c r="F166" s="22">
        <v>19.2</v>
      </c>
      <c r="G166" s="30">
        <f>IF(OR(M166="",O166="",M166=0),"",(M166-O166)/M166)</f>
        <v>0.38297872340425532</v>
      </c>
      <c r="H166" s="22">
        <v>19.2</v>
      </c>
      <c r="I166" s="22">
        <v>1797</v>
      </c>
      <c r="J166" s="22">
        <v>30</v>
      </c>
      <c r="K166" s="22">
        <v>300</v>
      </c>
      <c r="L166" s="22">
        <v>18</v>
      </c>
      <c r="M166" s="22">
        <f>_xlfn.CEILING.MATH(F166*2.35)+1</f>
        <v>47</v>
      </c>
      <c r="N166" s="22">
        <f>H166*1.18</f>
        <v>22.655999999999999</v>
      </c>
      <c r="O166" s="22">
        <f>_xlfn.CEILING.MATH(F166*1.56)-1</f>
        <v>29</v>
      </c>
    </row>
    <row r="167" spans="1:15" s="22" customFormat="1">
      <c r="A167" s="22">
        <v>65</v>
      </c>
      <c r="B167" s="22" t="s">
        <v>179</v>
      </c>
      <c r="C167" s="22" t="s">
        <v>1412</v>
      </c>
      <c r="E167" s="22">
        <v>1</v>
      </c>
      <c r="F167" s="22">
        <v>19.2</v>
      </c>
      <c r="G167" s="30">
        <f>IF(OR(M167="",O167="",M167=0),"",(M167-O167)/M167)</f>
        <v>0.38297872340425532</v>
      </c>
      <c r="H167" s="22">
        <v>19.2</v>
      </c>
      <c r="I167" s="22">
        <v>3131</v>
      </c>
      <c r="J167" s="22">
        <v>30</v>
      </c>
      <c r="K167" s="22">
        <v>300</v>
      </c>
      <c r="L167" s="22">
        <v>18</v>
      </c>
      <c r="M167" s="22">
        <f>_xlfn.CEILING.MATH(F167*2.35)+1</f>
        <v>47</v>
      </c>
      <c r="N167" s="22">
        <f>H167*1.18</f>
        <v>22.655999999999999</v>
      </c>
      <c r="O167" s="22">
        <f>_xlfn.CEILING.MATH(F167*1.56)-1</f>
        <v>29</v>
      </c>
    </row>
    <row r="168" spans="1:15" s="22" customFormat="1">
      <c r="A168" s="22">
        <v>66</v>
      </c>
      <c r="B168" s="22" t="s">
        <v>1413</v>
      </c>
      <c r="C168" s="22" t="s">
        <v>1414</v>
      </c>
      <c r="E168" s="22">
        <v>1</v>
      </c>
      <c r="F168" s="22">
        <v>24.6</v>
      </c>
      <c r="G168" s="30">
        <f>IF(OR(M168="",O168="",M168=0),"",(M168-O168)/M168)</f>
        <v>0.3559322033898305</v>
      </c>
      <c r="H168" s="22">
        <v>24.6</v>
      </c>
      <c r="I168" s="22">
        <v>0</v>
      </c>
      <c r="J168" s="22">
        <v>25</v>
      </c>
      <c r="K168" s="22">
        <v>100</v>
      </c>
      <c r="L168" s="22">
        <v>18</v>
      </c>
      <c r="M168" s="22">
        <f>_xlfn.CEILING.MATH(F168*2.35)+1</f>
        <v>59</v>
      </c>
      <c r="N168" s="22">
        <f>H168*1.18</f>
        <v>29.027999999999999</v>
      </c>
      <c r="O168" s="22">
        <f>_xlfn.CEILING.MATH(F168*1.56)-1</f>
        <v>38</v>
      </c>
    </row>
    <row r="169" spans="1:15" s="22" customFormat="1">
      <c r="A169" s="22">
        <v>67</v>
      </c>
      <c r="B169" s="22" t="s">
        <v>180</v>
      </c>
      <c r="C169" s="22" t="s">
        <v>1415</v>
      </c>
      <c r="E169" s="22">
        <v>1</v>
      </c>
      <c r="F169" s="22">
        <v>15.6</v>
      </c>
      <c r="G169" s="30">
        <f>IF(OR(M169="",O169="",M169=0),"",(M169-O169)/M169)</f>
        <v>0.36842105263157893</v>
      </c>
      <c r="H169" s="22">
        <v>15.6</v>
      </c>
      <c r="I169" s="22">
        <v>64759</v>
      </c>
      <c r="J169" s="22">
        <v>25</v>
      </c>
      <c r="K169" s="22">
        <v>200</v>
      </c>
      <c r="L169" s="22">
        <v>18</v>
      </c>
      <c r="M169" s="22">
        <f>_xlfn.CEILING.MATH(F169*2.35)+1</f>
        <v>38</v>
      </c>
      <c r="N169" s="22">
        <f>H169*1.18</f>
        <v>18.407999999999998</v>
      </c>
      <c r="O169" s="22">
        <f>_xlfn.CEILING.MATH(F169*1.56)-1</f>
        <v>24</v>
      </c>
    </row>
    <row r="170" spans="1:15" s="22" customFormat="1">
      <c r="A170" s="22">
        <v>68</v>
      </c>
      <c r="B170" s="22" t="s">
        <v>181</v>
      </c>
      <c r="C170" s="22" t="s">
        <v>1416</v>
      </c>
      <c r="E170" s="22">
        <v>1</v>
      </c>
      <c r="F170" s="22">
        <v>27</v>
      </c>
      <c r="G170" s="30">
        <f>IF(OR(M170="",O170="",M170=0),"",(M170-O170)/M170)</f>
        <v>0.35384615384615387</v>
      </c>
      <c r="H170" s="22">
        <v>27</v>
      </c>
      <c r="I170" s="22">
        <v>15626</v>
      </c>
      <c r="J170" s="22">
        <v>25</v>
      </c>
      <c r="K170" s="22">
        <v>100</v>
      </c>
      <c r="L170" s="22">
        <v>18</v>
      </c>
      <c r="M170" s="22">
        <f>_xlfn.CEILING.MATH(F170*2.35)+1</f>
        <v>65</v>
      </c>
      <c r="N170" s="22">
        <f>H170*1.18</f>
        <v>31.86</v>
      </c>
      <c r="O170" s="22">
        <f>_xlfn.CEILING.MATH(F170*1.56)-1</f>
        <v>42</v>
      </c>
    </row>
    <row r="171" spans="1:15" s="22" customFormat="1">
      <c r="A171" s="22">
        <v>69</v>
      </c>
      <c r="B171" s="22" t="s">
        <v>182</v>
      </c>
      <c r="C171" s="22" t="s">
        <v>1417</v>
      </c>
      <c r="E171" s="22">
        <v>1</v>
      </c>
      <c r="F171" s="22">
        <v>63</v>
      </c>
      <c r="G171" s="30">
        <f>IF(OR(M171="",O171="",M171=0),"",(M171-O171)/M171)</f>
        <v>0.34666666666666668</v>
      </c>
      <c r="H171" s="22">
        <v>63</v>
      </c>
      <c r="I171" s="22">
        <v>7560</v>
      </c>
      <c r="J171" s="22">
        <v>25</v>
      </c>
      <c r="K171" s="22">
        <v>50</v>
      </c>
      <c r="L171" s="22">
        <v>18</v>
      </c>
      <c r="M171" s="22">
        <f>_xlfn.CEILING.MATH(F171*2.35)+1</f>
        <v>150</v>
      </c>
      <c r="N171" s="22">
        <f>H171*1.18</f>
        <v>74.339999999999989</v>
      </c>
      <c r="O171" s="22">
        <f>_xlfn.CEILING.MATH(F171*1.56)-1</f>
        <v>98</v>
      </c>
    </row>
    <row r="172" spans="1:15" s="22" customFormat="1">
      <c r="A172" s="22">
        <v>70</v>
      </c>
      <c r="B172" s="22" t="s">
        <v>183</v>
      </c>
      <c r="C172" s="22" t="s">
        <v>1418</v>
      </c>
      <c r="E172" s="22">
        <v>1</v>
      </c>
      <c r="F172" s="22">
        <v>19.2</v>
      </c>
      <c r="G172" s="30">
        <f>IF(OR(M172="",O172="",M172=0),"",(M172-O172)/M172)</f>
        <v>0.38297872340425532</v>
      </c>
      <c r="H172" s="22">
        <v>19.2</v>
      </c>
      <c r="I172" s="22">
        <v>22089</v>
      </c>
      <c r="J172" s="22">
        <v>25</v>
      </c>
      <c r="K172" s="22">
        <v>200</v>
      </c>
      <c r="L172" s="22">
        <v>18</v>
      </c>
      <c r="M172" s="22">
        <f>_xlfn.CEILING.MATH(F172*2.35)+1</f>
        <v>47</v>
      </c>
      <c r="N172" s="22">
        <f>H172*1.18</f>
        <v>22.655999999999999</v>
      </c>
      <c r="O172" s="22">
        <f>_xlfn.CEILING.MATH(F172*1.56)-1</f>
        <v>29</v>
      </c>
    </row>
    <row r="173" spans="1:15" s="22" customFormat="1">
      <c r="A173" s="22">
        <v>71</v>
      </c>
      <c r="B173" s="22" t="s">
        <v>184</v>
      </c>
      <c r="C173" s="22" t="s">
        <v>1419</v>
      </c>
      <c r="E173" s="22">
        <v>1</v>
      </c>
      <c r="F173" s="22">
        <v>30</v>
      </c>
      <c r="G173" s="30">
        <f>IF(OR(M173="",O173="",M173=0),"",(M173-O173)/M173)</f>
        <v>0.3611111111111111</v>
      </c>
      <c r="H173" s="22">
        <v>30</v>
      </c>
      <c r="I173" s="22">
        <v>14409</v>
      </c>
      <c r="J173" s="22">
        <v>25</v>
      </c>
      <c r="K173" s="22">
        <v>150</v>
      </c>
      <c r="L173" s="22">
        <v>18</v>
      </c>
      <c r="M173" s="22">
        <f>_xlfn.CEILING.MATH(F173*2.35)+1</f>
        <v>72</v>
      </c>
      <c r="N173" s="22">
        <f>H173*1.18</f>
        <v>35.4</v>
      </c>
      <c r="O173" s="22">
        <f>_xlfn.CEILING.MATH(F173*1.56)-1</f>
        <v>46</v>
      </c>
    </row>
    <row r="174" spans="1:15" s="22" customFormat="1">
      <c r="A174" s="22">
        <v>72</v>
      </c>
      <c r="B174" s="22" t="s">
        <v>1420</v>
      </c>
      <c r="C174" s="22" t="s">
        <v>1421</v>
      </c>
      <c r="E174" s="22">
        <v>1</v>
      </c>
      <c r="F174" s="22">
        <v>207</v>
      </c>
      <c r="G174" s="30">
        <f>IF(OR(M174="",O174="",M174=0),"",(M174-O174)/M174)</f>
        <v>0.3401639344262295</v>
      </c>
      <c r="H174" s="22">
        <v>207</v>
      </c>
      <c r="I174" s="22">
        <v>774</v>
      </c>
      <c r="J174" s="22">
        <v>25</v>
      </c>
      <c r="K174" s="22">
        <v>100</v>
      </c>
      <c r="L174" s="22">
        <v>18</v>
      </c>
      <c r="M174" s="22">
        <f>_xlfn.CEILING.MATH(F174*2.35)+1</f>
        <v>488</v>
      </c>
      <c r="N174" s="22">
        <f>H174*1.18</f>
        <v>244.26</v>
      </c>
      <c r="O174" s="22">
        <f>_xlfn.CEILING.MATH(F174*1.56)-1</f>
        <v>322</v>
      </c>
    </row>
    <row r="175" spans="1:15" s="22" customFormat="1">
      <c r="A175" s="22">
        <v>73</v>
      </c>
      <c r="B175" s="22" t="s">
        <v>1422</v>
      </c>
      <c r="C175" s="22" t="s">
        <v>1423</v>
      </c>
      <c r="E175" s="22">
        <v>1</v>
      </c>
      <c r="F175" s="22">
        <v>189</v>
      </c>
      <c r="G175" s="30">
        <f>IF(OR(M175="",O175="",M175=0),"",(M175-O175)/M175)</f>
        <v>0.34080717488789236</v>
      </c>
      <c r="H175" s="22">
        <v>189</v>
      </c>
      <c r="I175" s="22">
        <v>1957</v>
      </c>
      <c r="J175" s="22">
        <v>25</v>
      </c>
      <c r="K175" s="22">
        <v>100</v>
      </c>
      <c r="L175" s="22">
        <v>18</v>
      </c>
      <c r="M175" s="22">
        <f>_xlfn.CEILING.MATH(F175*2.35)+1</f>
        <v>446</v>
      </c>
      <c r="N175" s="22">
        <f>H175*1.18</f>
        <v>223.01999999999998</v>
      </c>
      <c r="O175" s="22">
        <f>_xlfn.CEILING.MATH(F175*1.56)-1</f>
        <v>294</v>
      </c>
    </row>
    <row r="176" spans="1:15" s="22" customFormat="1">
      <c r="A176" s="22">
        <v>74</v>
      </c>
      <c r="B176" s="22" t="s">
        <v>1424</v>
      </c>
      <c r="C176" s="22" t="s">
        <v>1425</v>
      </c>
      <c r="E176" s="22">
        <v>1</v>
      </c>
      <c r="F176" s="22">
        <v>66</v>
      </c>
      <c r="G176" s="30">
        <f>IF(OR(M176="",O176="",M176=0),"",(M176-O176)/M176)</f>
        <v>0.3503184713375796</v>
      </c>
      <c r="H176" s="22">
        <v>66</v>
      </c>
      <c r="I176" s="22">
        <v>1999</v>
      </c>
      <c r="J176" s="22">
        <v>30</v>
      </c>
      <c r="K176" s="22">
        <v>120</v>
      </c>
      <c r="L176" s="22">
        <v>18</v>
      </c>
      <c r="M176" s="22">
        <f>_xlfn.CEILING.MATH(F176*2.35)+1</f>
        <v>157</v>
      </c>
      <c r="N176" s="22">
        <f>H176*1.18</f>
        <v>77.88</v>
      </c>
      <c r="O176" s="22">
        <f>_xlfn.CEILING.MATH(F176*1.56)-1</f>
        <v>102</v>
      </c>
    </row>
    <row r="177" spans="1:15" s="22" customFormat="1">
      <c r="A177" s="22">
        <v>75</v>
      </c>
      <c r="B177" s="22" t="s">
        <v>1426</v>
      </c>
      <c r="C177" s="22" t="s">
        <v>1427</v>
      </c>
      <c r="E177" s="22">
        <v>1</v>
      </c>
      <c r="F177" s="22">
        <v>123</v>
      </c>
      <c r="G177" s="30">
        <f>IF(OR(M177="",O177="",M177=0),"",(M177-O177)/M177)</f>
        <v>0.3436426116838488</v>
      </c>
      <c r="H177" s="22">
        <v>123</v>
      </c>
      <c r="I177" s="22">
        <v>2023</v>
      </c>
      <c r="J177" s="22">
        <v>50</v>
      </c>
      <c r="K177" s="22">
        <v>200</v>
      </c>
      <c r="L177" s="22">
        <v>18</v>
      </c>
      <c r="M177" s="22">
        <f>_xlfn.CEILING.MATH(F177*2.35)+1</f>
        <v>291</v>
      </c>
      <c r="N177" s="22">
        <f>H177*1.18</f>
        <v>145.13999999999999</v>
      </c>
      <c r="O177" s="22">
        <f>_xlfn.CEILING.MATH(F177*1.56)-1</f>
        <v>191</v>
      </c>
    </row>
    <row r="178" spans="1:15" s="22" customFormat="1">
      <c r="A178" s="22">
        <v>76</v>
      </c>
      <c r="B178" s="22" t="s">
        <v>1428</v>
      </c>
      <c r="C178" s="22" t="s">
        <v>1429</v>
      </c>
      <c r="E178" s="22">
        <v>1</v>
      </c>
      <c r="F178" s="22">
        <v>85</v>
      </c>
      <c r="G178" s="30">
        <f>IF(OR(M178="",O178="",M178=0),"",(M178-O178)/M178)</f>
        <v>0.62285714285714289</v>
      </c>
      <c r="H178" s="22">
        <v>85</v>
      </c>
      <c r="I178" s="22">
        <v>0</v>
      </c>
      <c r="J178" s="22">
        <v>10</v>
      </c>
      <c r="K178" s="22">
        <v>200</v>
      </c>
      <c r="L178" s="22">
        <v>18</v>
      </c>
      <c r="M178" s="22">
        <v>350</v>
      </c>
      <c r="N178" s="22">
        <f>H178*1.18</f>
        <v>100.3</v>
      </c>
      <c r="O178" s="22">
        <f>_xlfn.CEILING.MATH(F178*1.56)-1</f>
        <v>132</v>
      </c>
    </row>
    <row r="179" spans="1:15" s="22" customFormat="1">
      <c r="A179" s="22">
        <v>77</v>
      </c>
      <c r="B179" s="22" t="s">
        <v>185</v>
      </c>
      <c r="C179" s="22" t="s">
        <v>1430</v>
      </c>
      <c r="E179" s="22">
        <v>1</v>
      </c>
      <c r="F179" s="22">
        <v>87</v>
      </c>
      <c r="G179" s="30">
        <f>IF(OR(M179="",O179="",M179=0),"",(M179-O179)/M179)</f>
        <v>0.50909090909090904</v>
      </c>
      <c r="H179" s="22">
        <v>87</v>
      </c>
      <c r="I179" s="22">
        <v>2547</v>
      </c>
      <c r="J179" s="22">
        <v>10</v>
      </c>
      <c r="K179" s="22">
        <v>100</v>
      </c>
      <c r="L179" s="22">
        <v>18</v>
      </c>
      <c r="M179" s="22">
        <v>275</v>
      </c>
      <c r="N179" s="22">
        <f>H179*1.18</f>
        <v>102.66</v>
      </c>
      <c r="O179" s="22">
        <f>_xlfn.CEILING.MATH(F179*1.56)-1</f>
        <v>135</v>
      </c>
    </row>
    <row r="180" spans="1:15" s="22" customFormat="1">
      <c r="A180" s="22">
        <v>78</v>
      </c>
      <c r="B180" s="22" t="s">
        <v>186</v>
      </c>
      <c r="C180" s="22" t="s">
        <v>1431</v>
      </c>
      <c r="E180" s="22">
        <v>1</v>
      </c>
      <c r="F180" s="22">
        <v>108</v>
      </c>
      <c r="G180" s="30">
        <f>IF(OR(M180="",O180="",M180=0),"",(M180-O180)/M180)</f>
        <v>0.40438871473354232</v>
      </c>
      <c r="H180" s="22">
        <v>108</v>
      </c>
      <c r="I180" s="22">
        <v>1904</v>
      </c>
      <c r="J180" s="22">
        <v>25</v>
      </c>
      <c r="K180" s="22">
        <v>25</v>
      </c>
      <c r="L180" s="22">
        <v>18</v>
      </c>
      <c r="M180" s="22">
        <v>319</v>
      </c>
      <c r="N180" s="22">
        <f>H180*1.18</f>
        <v>127.44</v>
      </c>
      <c r="O180" s="22">
        <f>_xlfn.CEILING.MATH(F180*1.76)-1</f>
        <v>190</v>
      </c>
    </row>
    <row r="181" spans="1:15" s="22" customFormat="1">
      <c r="A181" s="22">
        <v>79</v>
      </c>
      <c r="B181" s="22" t="s">
        <v>187</v>
      </c>
      <c r="C181" s="22" t="s">
        <v>1432</v>
      </c>
      <c r="E181" s="22">
        <v>1</v>
      </c>
      <c r="F181" s="22">
        <v>207</v>
      </c>
      <c r="G181" s="30">
        <f>IF(OR(M181="",O181="",M181=0),"",(M181-O181)/M181)</f>
        <v>0.47230769230769232</v>
      </c>
      <c r="H181" s="22">
        <v>207</v>
      </c>
      <c r="I181" s="22">
        <v>1782</v>
      </c>
      <c r="J181" s="22">
        <v>25</v>
      </c>
      <c r="K181" s="22">
        <v>25</v>
      </c>
      <c r="L181" s="22">
        <v>18</v>
      </c>
      <c r="M181" s="22">
        <v>650</v>
      </c>
      <c r="N181" s="22">
        <f>H181*1.18</f>
        <v>244.26</v>
      </c>
      <c r="O181" s="22">
        <f>_xlfn.CEILING.MATH(F181*1.66)-1</f>
        <v>343</v>
      </c>
    </row>
    <row r="182" spans="1:15" s="22" customFormat="1">
      <c r="A182" s="22">
        <v>80</v>
      </c>
      <c r="B182" s="22" t="s">
        <v>188</v>
      </c>
      <c r="C182" s="22" t="s">
        <v>1433</v>
      </c>
      <c r="E182" s="22">
        <v>1</v>
      </c>
      <c r="F182" s="22">
        <v>306</v>
      </c>
      <c r="G182" s="30">
        <f>IF(OR(M182="",O182="",M182=0),"",(M182-O182)/M182)</f>
        <v>0.29680998613037446</v>
      </c>
      <c r="H182" s="22">
        <v>306</v>
      </c>
      <c r="I182" s="22">
        <v>28</v>
      </c>
      <c r="J182" s="22">
        <v>1</v>
      </c>
      <c r="K182" s="22">
        <v>60</v>
      </c>
      <c r="L182" s="22">
        <v>18</v>
      </c>
      <c r="M182" s="22">
        <f>_xlfn.CEILING.MATH(F182*2.35)+1</f>
        <v>721</v>
      </c>
      <c r="N182" s="22">
        <f>H182*1.18</f>
        <v>361.08</v>
      </c>
      <c r="O182" s="22">
        <f>_xlfn.CEILING.MATH(F182*1.66)-1</f>
        <v>507</v>
      </c>
    </row>
    <row r="183" spans="1:15" s="22" customFormat="1">
      <c r="A183" s="22">
        <v>81</v>
      </c>
      <c r="B183" s="22" t="s">
        <v>1434</v>
      </c>
      <c r="C183" s="22" t="s">
        <v>1435</v>
      </c>
      <c r="E183" s="22">
        <v>1</v>
      </c>
      <c r="F183" s="22">
        <v>500</v>
      </c>
      <c r="G183" s="30">
        <f>IF(OR(M183="",O183="",M183=0),"",(M183-O183)/M183)</f>
        <v>0.33758503401360546</v>
      </c>
      <c r="H183" s="22">
        <v>500</v>
      </c>
      <c r="I183" s="22">
        <v>0</v>
      </c>
      <c r="J183" s="22">
        <v>5</v>
      </c>
      <c r="K183" s="22">
        <v>50</v>
      </c>
      <c r="L183" s="22">
        <v>18</v>
      </c>
      <c r="M183" s="22">
        <f>_xlfn.CEILING.MATH(F183*2.35)+1</f>
        <v>1176</v>
      </c>
      <c r="N183" s="22">
        <f>H183*1.18</f>
        <v>590</v>
      </c>
      <c r="O183" s="22">
        <f>_xlfn.CEILING.MATH(F183*1.56)-1</f>
        <v>779</v>
      </c>
    </row>
    <row r="184" spans="1:15" s="22" customFormat="1">
      <c r="A184" s="22">
        <v>82</v>
      </c>
      <c r="B184" s="22" t="s">
        <v>191</v>
      </c>
      <c r="C184" s="22" t="s">
        <v>192</v>
      </c>
      <c r="E184" s="22">
        <v>1</v>
      </c>
      <c r="F184" s="22">
        <v>690</v>
      </c>
      <c r="G184" s="30">
        <f>IF(OR(M184="",O184="",M184=0),"",(M184-O184)/M184)</f>
        <v>0.33703019100431297</v>
      </c>
      <c r="H184" s="22">
        <v>690</v>
      </c>
      <c r="I184" s="22">
        <v>0</v>
      </c>
      <c r="J184" s="22">
        <v>1</v>
      </c>
      <c r="K184" s="22">
        <v>6</v>
      </c>
      <c r="L184" s="22">
        <v>18</v>
      </c>
      <c r="M184" s="22">
        <f>_xlfn.CEILING.MATH(F184*2.35)+1</f>
        <v>1623</v>
      </c>
      <c r="N184" s="22">
        <f>H184*1.18</f>
        <v>814.19999999999993</v>
      </c>
      <c r="O184" s="22">
        <f>_xlfn.CEILING.MATH(F184*1.56)-1</f>
        <v>1076</v>
      </c>
    </row>
    <row r="185" spans="1:15" s="22" customFormat="1">
      <c r="A185" s="22">
        <v>83</v>
      </c>
      <c r="B185" s="22" t="s">
        <v>193</v>
      </c>
      <c r="C185" s="22" t="s">
        <v>1436</v>
      </c>
      <c r="E185" s="22">
        <v>1</v>
      </c>
      <c r="F185" s="22">
        <v>930</v>
      </c>
      <c r="G185" s="30">
        <f>IF(OR(M185="",O185="",M185=0),"",(M185-O185)/M185)</f>
        <v>0.33699131229995427</v>
      </c>
      <c r="H185" s="22">
        <v>930</v>
      </c>
      <c r="I185" s="22">
        <v>5</v>
      </c>
      <c r="J185" s="22">
        <v>1</v>
      </c>
      <c r="K185" s="22">
        <v>5</v>
      </c>
      <c r="L185" s="22">
        <v>18</v>
      </c>
      <c r="M185" s="22">
        <f>_xlfn.CEILING.MATH(F185*2.35)+1</f>
        <v>2187</v>
      </c>
      <c r="N185" s="22">
        <f>H185*1.18</f>
        <v>1097.3999999999999</v>
      </c>
      <c r="O185" s="22">
        <f>_xlfn.CEILING.MATH(F185*1.56)-1</f>
        <v>1450</v>
      </c>
    </row>
    <row r="186" spans="1:15" s="22" customFormat="1">
      <c r="A186" s="22">
        <v>84</v>
      </c>
      <c r="B186" s="22" t="s">
        <v>194</v>
      </c>
      <c r="C186" s="22" t="s">
        <v>1437</v>
      </c>
      <c r="E186" s="22">
        <v>1</v>
      </c>
      <c r="F186" s="22">
        <v>1650</v>
      </c>
      <c r="G186" s="30">
        <f>IF(OR(M186="",O186="",M186=0),"",(M186-O186)/M186)</f>
        <v>0.33668471255478216</v>
      </c>
      <c r="H186" s="22">
        <v>1650</v>
      </c>
      <c r="I186" s="22">
        <v>36</v>
      </c>
      <c r="J186" s="22">
        <v>1</v>
      </c>
      <c r="K186" s="22">
        <v>5</v>
      </c>
      <c r="L186" s="22">
        <v>18</v>
      </c>
      <c r="M186" s="22">
        <f>_xlfn.CEILING.MATH(F186*2.35)+1</f>
        <v>3879</v>
      </c>
      <c r="N186" s="22">
        <f>H186*1.18</f>
        <v>1947</v>
      </c>
      <c r="O186" s="22">
        <f>_xlfn.CEILING.MATH(F186*1.56)-1</f>
        <v>2573</v>
      </c>
    </row>
    <row r="187" spans="1:15" s="22" customFormat="1">
      <c r="A187" s="22">
        <v>85</v>
      </c>
      <c r="B187" s="22" t="s">
        <v>195</v>
      </c>
      <c r="C187" s="22" t="s">
        <v>1438</v>
      </c>
      <c r="E187" s="22">
        <v>1</v>
      </c>
      <c r="F187" s="22">
        <v>3.21</v>
      </c>
      <c r="G187" s="30">
        <f>IF(OR(M187="",O187="",M187=0),"",(M187-O187)/M187)</f>
        <v>0.70588235294117652</v>
      </c>
      <c r="H187" s="22">
        <v>3.21</v>
      </c>
      <c r="I187" s="22">
        <v>20966</v>
      </c>
      <c r="J187" s="22">
        <v>300</v>
      </c>
      <c r="K187" s="22">
        <v>1200</v>
      </c>
      <c r="L187" s="22">
        <v>18</v>
      </c>
      <c r="M187" s="22">
        <f>_xlfn.CEILING.MATH(F187*5)</f>
        <v>17</v>
      </c>
      <c r="N187" s="22">
        <f>H187*1.18</f>
        <v>3.7877999999999998</v>
      </c>
      <c r="O187" s="22">
        <f>_xlfn.CEILING.MATH(F187*1.56)-1</f>
        <v>5</v>
      </c>
    </row>
    <row r="188" spans="1:15" s="22" customFormat="1">
      <c r="A188" s="22">
        <v>86</v>
      </c>
      <c r="B188" s="22" t="s">
        <v>196</v>
      </c>
      <c r="C188" s="22" t="s">
        <v>1439</v>
      </c>
      <c r="E188" s="22">
        <v>1</v>
      </c>
      <c r="F188" s="22">
        <v>3.21</v>
      </c>
      <c r="G188" s="30">
        <f>IF(OR(M188="",O188="",M188=0),"",(M188-O188)/M188)</f>
        <v>0.70588235294117652</v>
      </c>
      <c r="H188" s="22">
        <v>3.21</v>
      </c>
      <c r="I188" s="22">
        <v>674</v>
      </c>
      <c r="J188" s="22">
        <v>300</v>
      </c>
      <c r="K188" s="22">
        <v>1200</v>
      </c>
      <c r="L188" s="22">
        <v>18</v>
      </c>
      <c r="M188" s="22">
        <f>_xlfn.CEILING.MATH(F188*5)</f>
        <v>17</v>
      </c>
      <c r="N188" s="22">
        <f>H188*1.18</f>
        <v>3.7877999999999998</v>
      </c>
      <c r="O188" s="22">
        <f>_xlfn.CEILING.MATH(F188*1.56)-1</f>
        <v>5</v>
      </c>
    </row>
    <row r="189" spans="1:15" s="22" customFormat="1">
      <c r="A189" s="22">
        <v>87</v>
      </c>
      <c r="B189" s="22" t="s">
        <v>197</v>
      </c>
      <c r="C189" s="22" t="s">
        <v>1440</v>
      </c>
      <c r="E189" s="22">
        <v>1</v>
      </c>
      <c r="F189" s="22">
        <v>3.21</v>
      </c>
      <c r="G189" s="30">
        <f>IF(OR(M189="",O189="",M189=0),"",(M189-O189)/M189)</f>
        <v>0.70588235294117652</v>
      </c>
      <c r="H189" s="22">
        <v>3.21</v>
      </c>
      <c r="I189" s="22">
        <v>20543</v>
      </c>
      <c r="J189" s="22">
        <v>300</v>
      </c>
      <c r="K189" s="22">
        <v>1200</v>
      </c>
      <c r="L189" s="22">
        <v>18</v>
      </c>
      <c r="M189" s="22">
        <f>_xlfn.CEILING.MATH(F189*5)</f>
        <v>17</v>
      </c>
      <c r="N189" s="22">
        <f>H189*1.18</f>
        <v>3.7877999999999998</v>
      </c>
      <c r="O189" s="22">
        <f>_xlfn.CEILING.MATH(F189*1.56)-1</f>
        <v>5</v>
      </c>
    </row>
    <row r="190" spans="1:15" s="22" customFormat="1">
      <c r="A190" s="22">
        <v>88</v>
      </c>
      <c r="B190" s="22" t="s">
        <v>198</v>
      </c>
      <c r="C190" s="22" t="s">
        <v>1441</v>
      </c>
      <c r="E190" s="22">
        <v>1</v>
      </c>
      <c r="F190" s="22">
        <v>3.21</v>
      </c>
      <c r="G190" s="30">
        <f>IF(OR(M190="",O190="",M190=0),"",(M190-O190)/M190)</f>
        <v>0.70588235294117652</v>
      </c>
      <c r="H190" s="22">
        <v>3.21</v>
      </c>
      <c r="I190" s="22">
        <v>68199</v>
      </c>
      <c r="J190" s="22">
        <v>300</v>
      </c>
      <c r="K190" s="22">
        <v>1200</v>
      </c>
      <c r="L190" s="22">
        <v>18</v>
      </c>
      <c r="M190" s="22">
        <f>_xlfn.CEILING.MATH(F190*5)</f>
        <v>17</v>
      </c>
      <c r="N190" s="22">
        <f>H190*1.18</f>
        <v>3.7877999999999998</v>
      </c>
      <c r="O190" s="22">
        <f>_xlfn.CEILING.MATH(F190*1.56)-1</f>
        <v>5</v>
      </c>
    </row>
    <row r="191" spans="1:15" s="22" customFormat="1">
      <c r="A191" s="22">
        <v>89</v>
      </c>
      <c r="B191" s="22" t="s">
        <v>199</v>
      </c>
      <c r="C191" s="22" t="s">
        <v>1442</v>
      </c>
      <c r="E191" s="22">
        <v>1</v>
      </c>
      <c r="F191" s="22">
        <v>3.21</v>
      </c>
      <c r="G191" s="30">
        <f>IF(OR(M191="",O191="",M191=0),"",(M191-O191)/M191)</f>
        <v>0.70588235294117652</v>
      </c>
      <c r="H191" s="22">
        <v>3.21</v>
      </c>
      <c r="I191" s="22">
        <v>69824</v>
      </c>
      <c r="J191" s="22">
        <v>300</v>
      </c>
      <c r="K191" s="22">
        <v>1200</v>
      </c>
      <c r="L191" s="22">
        <v>18</v>
      </c>
      <c r="M191" s="22">
        <f>_xlfn.CEILING.MATH(F191*5)</f>
        <v>17</v>
      </c>
      <c r="N191" s="22">
        <f>H191*1.18</f>
        <v>3.7877999999999998</v>
      </c>
      <c r="O191" s="22">
        <f>_xlfn.CEILING.MATH(F191*1.56)-1</f>
        <v>5</v>
      </c>
    </row>
    <row r="192" spans="1:15" s="22" customFormat="1">
      <c r="A192" s="22">
        <v>90</v>
      </c>
      <c r="B192" s="22" t="s">
        <v>200</v>
      </c>
      <c r="C192" s="22" t="s">
        <v>201</v>
      </c>
      <c r="E192" s="22">
        <v>1</v>
      </c>
      <c r="F192" s="22">
        <v>48</v>
      </c>
      <c r="G192" s="30">
        <f>IF(OR(M192="",O192="",M192=0),"",(M192-O192)/M192)</f>
        <v>0.35087719298245612</v>
      </c>
      <c r="H192" s="22">
        <v>48</v>
      </c>
      <c r="I192" s="22">
        <v>5</v>
      </c>
      <c r="J192" s="22">
        <v>1</v>
      </c>
      <c r="K192" s="22">
        <v>10</v>
      </c>
      <c r="L192" s="22">
        <v>18</v>
      </c>
      <c r="M192" s="22">
        <f>_xlfn.CEILING.MATH(F192*2.35)+1</f>
        <v>114</v>
      </c>
      <c r="N192" s="22">
        <f>H192*1.18</f>
        <v>56.64</v>
      </c>
      <c r="O192" s="22">
        <f>_xlfn.CEILING.MATH(F192*1.56)-1</f>
        <v>74</v>
      </c>
    </row>
    <row r="193" spans="1:15" s="22" customFormat="1">
      <c r="A193" s="22">
        <v>91</v>
      </c>
      <c r="B193" s="22" t="s">
        <v>202</v>
      </c>
      <c r="C193" s="22" t="s">
        <v>203</v>
      </c>
      <c r="E193" s="22">
        <v>1</v>
      </c>
      <c r="F193" s="22">
        <v>46</v>
      </c>
      <c r="G193" s="30">
        <f>IF(OR(M193="",O193="",M193=0),"",(M193-O193)/M193)</f>
        <v>0.35454545454545455</v>
      </c>
      <c r="H193" s="22">
        <v>46</v>
      </c>
      <c r="I193" s="22">
        <v>2084</v>
      </c>
      <c r="J193" s="22">
        <v>1</v>
      </c>
      <c r="K193" s="22">
        <v>10</v>
      </c>
      <c r="L193" s="22">
        <v>18</v>
      </c>
      <c r="M193" s="22">
        <f>_xlfn.CEILING.MATH(F193*2.35)+1</f>
        <v>110</v>
      </c>
      <c r="N193" s="22">
        <f>H193*1.18</f>
        <v>54.279999999999994</v>
      </c>
      <c r="O193" s="22">
        <f>_xlfn.CEILING.MATH(F193*1.56)-1</f>
        <v>71</v>
      </c>
    </row>
    <row r="194" spans="1:15" s="22" customFormat="1">
      <c r="A194" s="22">
        <v>92</v>
      </c>
      <c r="B194" s="22" t="s">
        <v>204</v>
      </c>
      <c r="C194" s="22" t="s">
        <v>205</v>
      </c>
      <c r="E194" s="22">
        <v>1</v>
      </c>
      <c r="F194" s="22">
        <v>57</v>
      </c>
      <c r="G194" s="30">
        <f>IF(OR(M194="",O194="",M194=0),"",(M194-O194)/M194)</f>
        <v>0.34814814814814815</v>
      </c>
      <c r="H194" s="22">
        <v>57</v>
      </c>
      <c r="I194" s="22">
        <v>13</v>
      </c>
      <c r="J194" s="22">
        <v>1</v>
      </c>
      <c r="K194" s="22">
        <v>10</v>
      </c>
      <c r="L194" s="22">
        <v>18</v>
      </c>
      <c r="M194" s="22">
        <f>_xlfn.CEILING.MATH(F194*2.35)+1</f>
        <v>135</v>
      </c>
      <c r="N194" s="22">
        <f>H194*1.18</f>
        <v>67.259999999999991</v>
      </c>
      <c r="O194" s="22">
        <f>_xlfn.CEILING.MATH(F194*1.56)-1</f>
        <v>88</v>
      </c>
    </row>
    <row r="195" spans="1:15" s="22" customFormat="1">
      <c r="A195" s="22">
        <v>93</v>
      </c>
      <c r="B195" s="22" t="s">
        <v>206</v>
      </c>
      <c r="C195" s="22" t="s">
        <v>207</v>
      </c>
      <c r="E195" s="22">
        <v>1</v>
      </c>
      <c r="F195" s="22">
        <v>66</v>
      </c>
      <c r="G195" s="30">
        <f>IF(OR(M195="",O195="",M195=0),"",(M195-O195)/M195)</f>
        <v>0.3503184713375796</v>
      </c>
      <c r="H195" s="22">
        <v>66</v>
      </c>
      <c r="I195" s="22">
        <v>25</v>
      </c>
      <c r="J195" s="22">
        <v>1</v>
      </c>
      <c r="K195" s="22">
        <v>10</v>
      </c>
      <c r="L195" s="22">
        <v>18</v>
      </c>
      <c r="M195" s="22">
        <f>_xlfn.CEILING.MATH(F195*2.35)+1</f>
        <v>157</v>
      </c>
      <c r="N195" s="22">
        <f>H195*1.18</f>
        <v>77.88</v>
      </c>
      <c r="O195" s="22">
        <f>_xlfn.CEILING.MATH(F195*1.56)-1</f>
        <v>102</v>
      </c>
    </row>
    <row r="196" spans="1:15" s="22" customFormat="1">
      <c r="A196" s="22">
        <v>94</v>
      </c>
      <c r="B196" s="22" t="s">
        <v>208</v>
      </c>
      <c r="C196" s="22" t="s">
        <v>209</v>
      </c>
      <c r="E196" s="22">
        <v>1</v>
      </c>
      <c r="F196" s="22">
        <v>78</v>
      </c>
      <c r="G196" s="30">
        <f>IF(OR(M196="",O196="",M196=0),"",(M196-O196)/M196)</f>
        <v>0.34594594594594597</v>
      </c>
      <c r="H196" s="22">
        <v>78</v>
      </c>
      <c r="I196" s="22">
        <v>9</v>
      </c>
      <c r="J196" s="22">
        <v>1</v>
      </c>
      <c r="K196" s="22">
        <v>10</v>
      </c>
      <c r="L196" s="22">
        <v>18</v>
      </c>
      <c r="M196" s="22">
        <f>_xlfn.CEILING.MATH(F196*2.35)+1</f>
        <v>185</v>
      </c>
      <c r="N196" s="22">
        <f>H196*1.18</f>
        <v>92.039999999999992</v>
      </c>
      <c r="O196" s="22">
        <f>_xlfn.CEILING.MATH(F196*1.56)-1</f>
        <v>121</v>
      </c>
    </row>
    <row r="197" spans="1:15" s="22" customFormat="1">
      <c r="A197" s="22">
        <v>95</v>
      </c>
      <c r="B197" s="22" t="s">
        <v>210</v>
      </c>
      <c r="C197" s="22" t="s">
        <v>211</v>
      </c>
      <c r="E197" s="22">
        <v>1</v>
      </c>
      <c r="F197" s="22">
        <v>82</v>
      </c>
      <c r="G197" s="30">
        <f>IF(OR(M197="",O197="",M197=0),"",(M197-O197)/M197)</f>
        <v>0.34536082474226804</v>
      </c>
      <c r="H197" s="22">
        <v>82</v>
      </c>
      <c r="I197" s="22">
        <v>17</v>
      </c>
      <c r="J197" s="22">
        <v>1</v>
      </c>
      <c r="K197" s="22">
        <v>10</v>
      </c>
      <c r="L197" s="22">
        <v>18</v>
      </c>
      <c r="M197" s="22">
        <f>_xlfn.CEILING.MATH(F197*2.35)+1</f>
        <v>194</v>
      </c>
      <c r="N197" s="22">
        <f>H197*1.18</f>
        <v>96.759999999999991</v>
      </c>
      <c r="O197" s="22">
        <f>_xlfn.CEILING.MATH(F197*1.56)-1</f>
        <v>127</v>
      </c>
    </row>
    <row r="198" spans="1:15" s="22" customFormat="1">
      <c r="A198" s="22">
        <v>96</v>
      </c>
      <c r="B198" s="22" t="s">
        <v>212</v>
      </c>
      <c r="C198" s="22" t="s">
        <v>213</v>
      </c>
      <c r="E198" s="22">
        <v>1</v>
      </c>
      <c r="F198" s="22">
        <v>120</v>
      </c>
      <c r="G198" s="30">
        <f>IF(OR(M198="",O198="",M198=0),"",(M198-O198)/M198)</f>
        <v>0.33922261484098942</v>
      </c>
      <c r="H198" s="22">
        <v>120</v>
      </c>
      <c r="I198" s="22">
        <v>143</v>
      </c>
      <c r="J198" s="22">
        <v>1</v>
      </c>
      <c r="K198" s="22">
        <v>10</v>
      </c>
      <c r="L198" s="22">
        <v>18</v>
      </c>
      <c r="M198" s="22">
        <f>_xlfn.CEILING.MATH(F198*2.35)+1</f>
        <v>283</v>
      </c>
      <c r="N198" s="22">
        <f>H198*1.18</f>
        <v>141.6</v>
      </c>
      <c r="O198" s="22">
        <f>_xlfn.CEILING.MATH(F198*1.56)-1</f>
        <v>187</v>
      </c>
    </row>
    <row r="199" spans="1:15" s="22" customFormat="1">
      <c r="A199" s="22">
        <v>97</v>
      </c>
      <c r="B199" s="22" t="s">
        <v>214</v>
      </c>
      <c r="C199" s="22" t="s">
        <v>215</v>
      </c>
      <c r="E199" s="22">
        <v>1</v>
      </c>
      <c r="F199" s="22">
        <v>100</v>
      </c>
      <c r="G199" s="30">
        <f>IF(OR(M199="",O199="",M199=0),"",(M199-O199)/M199)</f>
        <v>0.34322033898305082</v>
      </c>
      <c r="H199" s="22">
        <v>100</v>
      </c>
      <c r="I199" s="22">
        <v>19</v>
      </c>
      <c r="J199" s="22">
        <v>1</v>
      </c>
      <c r="K199" s="22">
        <v>10</v>
      </c>
      <c r="L199" s="22">
        <v>18</v>
      </c>
      <c r="M199" s="22">
        <f>_xlfn.CEILING.MATH(F199*2.35)+1</f>
        <v>236</v>
      </c>
      <c r="N199" s="22">
        <f>H199*1.18</f>
        <v>118</v>
      </c>
      <c r="O199" s="22">
        <f>_xlfn.CEILING.MATH(F199*1.56)-1</f>
        <v>155</v>
      </c>
    </row>
    <row r="200" spans="1:15" s="22" customFormat="1">
      <c r="A200" s="22">
        <v>98</v>
      </c>
      <c r="B200" s="22" t="s">
        <v>216</v>
      </c>
      <c r="C200" s="22" t="s">
        <v>217</v>
      </c>
      <c r="E200" s="22">
        <v>1</v>
      </c>
      <c r="F200" s="22">
        <v>147</v>
      </c>
      <c r="G200" s="30">
        <f>IF(OR(M200="",O200="",M200=0),"",(M200-O200)/M200)</f>
        <v>0.34005763688760809</v>
      </c>
      <c r="H200" s="22">
        <v>147</v>
      </c>
      <c r="I200" s="22">
        <v>245</v>
      </c>
      <c r="J200" s="22">
        <v>1</v>
      </c>
      <c r="K200" s="22">
        <v>10</v>
      </c>
      <c r="L200" s="22">
        <v>18</v>
      </c>
      <c r="M200" s="22">
        <f>_xlfn.CEILING.MATH(F200*2.35)+1</f>
        <v>347</v>
      </c>
      <c r="N200" s="22">
        <f>H200*1.18</f>
        <v>173.45999999999998</v>
      </c>
      <c r="O200" s="22">
        <f>_xlfn.CEILING.MATH(F200*1.56)-1</f>
        <v>229</v>
      </c>
    </row>
    <row r="201" spans="1:15" s="22" customFormat="1">
      <c r="A201" s="22">
        <v>99</v>
      </c>
      <c r="B201" s="22" t="s">
        <v>218</v>
      </c>
      <c r="C201" s="22" t="s">
        <v>219</v>
      </c>
      <c r="E201" s="22">
        <v>1</v>
      </c>
      <c r="F201" s="22">
        <v>177</v>
      </c>
      <c r="G201" s="30">
        <f>IF(OR(M201="",O201="",M201=0),"",(M201-O201)/M201)</f>
        <v>0.33812949640287771</v>
      </c>
      <c r="H201" s="22">
        <v>177</v>
      </c>
      <c r="I201" s="22">
        <v>385</v>
      </c>
      <c r="J201" s="22">
        <v>1</v>
      </c>
      <c r="K201" s="22">
        <v>10</v>
      </c>
      <c r="L201" s="22">
        <v>18</v>
      </c>
      <c r="M201" s="22">
        <f>_xlfn.CEILING.MATH(F201*2.35)+1</f>
        <v>417</v>
      </c>
      <c r="N201" s="22">
        <f>H201*1.18</f>
        <v>208.85999999999999</v>
      </c>
      <c r="O201" s="22">
        <f>_xlfn.CEILING.MATH(F201*1.56)-1</f>
        <v>276</v>
      </c>
    </row>
    <row r="202" spans="1:15" s="22" customFormat="1">
      <c r="A202" s="22">
        <v>100</v>
      </c>
      <c r="B202" s="22" t="s">
        <v>220</v>
      </c>
      <c r="C202" s="22" t="s">
        <v>221</v>
      </c>
      <c r="E202" s="22">
        <v>1</v>
      </c>
      <c r="F202" s="22">
        <v>33</v>
      </c>
      <c r="G202" s="30">
        <f>IF(OR(M202="",O202="",M202=0),"",(M202-O202)/M202)</f>
        <v>0.35443037974683544</v>
      </c>
      <c r="H202" s="22">
        <v>33</v>
      </c>
      <c r="I202" s="22">
        <v>16</v>
      </c>
      <c r="J202" s="22">
        <v>1</v>
      </c>
      <c r="K202" s="22">
        <v>10</v>
      </c>
      <c r="L202" s="22">
        <v>18</v>
      </c>
      <c r="M202" s="22">
        <f>_xlfn.CEILING.MATH(F202*2.35)+1</f>
        <v>79</v>
      </c>
      <c r="N202" s="22">
        <f>H202*1.18</f>
        <v>38.94</v>
      </c>
      <c r="O202" s="22">
        <f>_xlfn.CEILING.MATH(F202*1.56)-1</f>
        <v>51</v>
      </c>
    </row>
    <row r="203" spans="1:15" s="22" customFormat="1">
      <c r="A203" s="22">
        <v>101</v>
      </c>
      <c r="B203" s="22" t="s">
        <v>222</v>
      </c>
      <c r="C203" s="22" t="s">
        <v>223</v>
      </c>
      <c r="E203" s="22">
        <v>1</v>
      </c>
      <c r="F203" s="22">
        <v>36</v>
      </c>
      <c r="G203" s="30">
        <f>IF(OR(M203="",O203="",M203=0),"",(M203-O203)/M203)</f>
        <v>0.34883720930232559</v>
      </c>
      <c r="H203" s="22">
        <v>36</v>
      </c>
      <c r="I203" s="22">
        <v>5</v>
      </c>
      <c r="J203" s="22">
        <v>1</v>
      </c>
      <c r="K203" s="22">
        <v>10</v>
      </c>
      <c r="L203" s="22">
        <v>18</v>
      </c>
      <c r="M203" s="22">
        <f>_xlfn.CEILING.MATH(F203*2.35)+1</f>
        <v>86</v>
      </c>
      <c r="N203" s="22">
        <f>H203*1.18</f>
        <v>42.48</v>
      </c>
      <c r="O203" s="22">
        <f>_xlfn.CEILING.MATH(F203*1.56)-1</f>
        <v>56</v>
      </c>
    </row>
    <row r="204" spans="1:15" s="22" customFormat="1">
      <c r="A204" s="22">
        <v>102</v>
      </c>
      <c r="B204" s="22" t="s">
        <v>224</v>
      </c>
      <c r="C204" s="22" t="s">
        <v>225</v>
      </c>
      <c r="E204" s="22">
        <v>1</v>
      </c>
      <c r="F204" s="22">
        <v>37</v>
      </c>
      <c r="G204" s="30">
        <f>IF(OR(M204="",O204="",M204=0),"",(M204-O204)/M204)</f>
        <v>0.35227272727272729</v>
      </c>
      <c r="H204" s="22">
        <v>37</v>
      </c>
      <c r="I204" s="22">
        <v>2</v>
      </c>
      <c r="J204" s="22">
        <v>1</v>
      </c>
      <c r="K204" s="22">
        <v>10</v>
      </c>
      <c r="L204" s="22">
        <v>18</v>
      </c>
      <c r="M204" s="22">
        <f>_xlfn.CEILING.MATH(F204*2.35)+1</f>
        <v>88</v>
      </c>
      <c r="N204" s="22">
        <f>H204*1.18</f>
        <v>43.66</v>
      </c>
      <c r="O204" s="22">
        <f>_xlfn.CEILING.MATH(F204*1.56)-1</f>
        <v>57</v>
      </c>
    </row>
    <row r="205" spans="1:15" s="22" customFormat="1">
      <c r="A205" s="22">
        <v>103</v>
      </c>
      <c r="B205" s="22" t="s">
        <v>226</v>
      </c>
      <c r="C205" s="22" t="s">
        <v>227</v>
      </c>
      <c r="E205" s="22">
        <v>1</v>
      </c>
      <c r="F205" s="22">
        <v>34</v>
      </c>
      <c r="G205" s="30">
        <f>IF(OR(M205="",O205="",M205=0),"",(M205-O205)/M205)</f>
        <v>0.34567901234567899</v>
      </c>
      <c r="H205" s="22">
        <v>34</v>
      </c>
      <c r="I205" s="22">
        <v>8</v>
      </c>
      <c r="J205" s="22">
        <v>1</v>
      </c>
      <c r="K205" s="22">
        <v>10</v>
      </c>
      <c r="L205" s="22">
        <v>18</v>
      </c>
      <c r="M205" s="22">
        <f>_xlfn.CEILING.MATH(F205*2.35)+1</f>
        <v>81</v>
      </c>
      <c r="N205" s="22">
        <f>H205*1.18</f>
        <v>40.119999999999997</v>
      </c>
      <c r="O205" s="22">
        <f>_xlfn.CEILING.MATH(F205*1.56)-1</f>
        <v>53</v>
      </c>
    </row>
    <row r="206" spans="1:15" s="22" customFormat="1">
      <c r="A206" s="22">
        <v>104</v>
      </c>
      <c r="B206" s="22" t="s">
        <v>228</v>
      </c>
      <c r="C206" s="22" t="s">
        <v>229</v>
      </c>
      <c r="E206" s="22">
        <v>1</v>
      </c>
      <c r="F206" s="22">
        <v>42</v>
      </c>
      <c r="G206" s="30">
        <f>IF(OR(M206="",O206="",M206=0),"",(M206-O206)/M206)</f>
        <v>0.35</v>
      </c>
      <c r="H206" s="22">
        <v>42</v>
      </c>
      <c r="I206" s="22">
        <v>7</v>
      </c>
      <c r="J206" s="22">
        <v>1</v>
      </c>
      <c r="K206" s="22">
        <v>10</v>
      </c>
      <c r="L206" s="22">
        <v>18</v>
      </c>
      <c r="M206" s="22">
        <f>_xlfn.CEILING.MATH(F206*2.35)+1</f>
        <v>100</v>
      </c>
      <c r="N206" s="22">
        <f>H206*1.18</f>
        <v>49.559999999999995</v>
      </c>
      <c r="O206" s="22">
        <f>_xlfn.CEILING.MATH(F206*1.56)-1</f>
        <v>65</v>
      </c>
    </row>
    <row r="207" spans="1:15" s="22" customFormat="1">
      <c r="A207" s="22">
        <v>105</v>
      </c>
      <c r="B207" s="22" t="s">
        <v>230</v>
      </c>
      <c r="C207" s="22" t="s">
        <v>231</v>
      </c>
      <c r="E207" s="22">
        <v>1</v>
      </c>
      <c r="F207" s="22">
        <v>41</v>
      </c>
      <c r="G207" s="30">
        <f>IF(OR(M207="",O207="",M207=0),"",(M207-O207)/M207)</f>
        <v>0.35714285714285715</v>
      </c>
      <c r="H207" s="22">
        <v>41</v>
      </c>
      <c r="I207" s="22">
        <v>6473</v>
      </c>
      <c r="J207" s="22">
        <v>1</v>
      </c>
      <c r="K207" s="22">
        <v>10</v>
      </c>
      <c r="L207" s="22">
        <v>18</v>
      </c>
      <c r="M207" s="22">
        <f>_xlfn.CEILING.MATH(F207*2.35)+1</f>
        <v>98</v>
      </c>
      <c r="N207" s="22">
        <f>H207*1.18</f>
        <v>48.379999999999995</v>
      </c>
      <c r="O207" s="22">
        <f>_xlfn.CEILING.MATH(F207*1.56)-1</f>
        <v>63</v>
      </c>
    </row>
    <row r="208" spans="1:15" s="22" customFormat="1">
      <c r="A208" s="22">
        <v>106</v>
      </c>
      <c r="B208" s="22" t="s">
        <v>138</v>
      </c>
      <c r="C208" s="22" t="s">
        <v>1443</v>
      </c>
      <c r="E208" s="22">
        <v>1</v>
      </c>
      <c r="F208" s="22">
        <v>159</v>
      </c>
      <c r="G208" s="30">
        <f>IF(OR(M208="",O208="",M208=0),"",(M208-O208)/M208)</f>
        <v>0.33866666666666667</v>
      </c>
      <c r="H208" s="22">
        <v>159</v>
      </c>
      <c r="I208" s="22">
        <v>0</v>
      </c>
      <c r="J208" s="22">
        <v>1</v>
      </c>
      <c r="K208" s="22">
        <v>25</v>
      </c>
      <c r="L208" s="22">
        <v>18</v>
      </c>
      <c r="M208" s="22">
        <f>_xlfn.CEILING.MATH(F208*2.35)+1</f>
        <v>375</v>
      </c>
      <c r="N208" s="22">
        <f>H208*1.18</f>
        <v>187.61999999999998</v>
      </c>
      <c r="O208" s="22">
        <f>_xlfn.CEILING.MATH(F208*1.56)-1</f>
        <v>248</v>
      </c>
    </row>
    <row r="209" spans="1:15" s="22" customFormat="1">
      <c r="A209" s="22">
        <v>107</v>
      </c>
      <c r="B209" s="22" t="s">
        <v>240</v>
      </c>
      <c r="C209" s="22" t="s">
        <v>1444</v>
      </c>
      <c r="E209" s="22">
        <v>1</v>
      </c>
      <c r="F209" s="22">
        <v>450</v>
      </c>
      <c r="G209" s="30">
        <f>IF(OR(M209="",O209="",M209=0),"",(M209-O209)/M209)</f>
        <v>0.33805476864966949</v>
      </c>
      <c r="H209" s="22">
        <v>450</v>
      </c>
      <c r="I209" s="22">
        <v>0</v>
      </c>
      <c r="J209" s="22">
        <v>1</v>
      </c>
      <c r="K209" s="22">
        <v>30</v>
      </c>
      <c r="L209" s="22">
        <v>18</v>
      </c>
      <c r="M209" s="22">
        <f>_xlfn.CEILING.MATH(F209*2.35)+1</f>
        <v>1059</v>
      </c>
      <c r="N209" s="22">
        <f>H209*1.18</f>
        <v>531</v>
      </c>
      <c r="O209" s="22">
        <f>_xlfn.CEILING.MATH(F209*1.56)-1</f>
        <v>701</v>
      </c>
    </row>
    <row r="210" spans="1:15" s="22" customFormat="1">
      <c r="A210" s="22">
        <v>108</v>
      </c>
      <c r="B210" s="22" t="s">
        <v>1445</v>
      </c>
      <c r="C210" s="22" t="s">
        <v>1446</v>
      </c>
      <c r="E210" s="22">
        <v>1</v>
      </c>
      <c r="F210" s="22">
        <v>96</v>
      </c>
      <c r="G210" s="30">
        <f>IF(OR(M210="",O210="",M210=0),"",(M210-O210)/M210)</f>
        <v>0.34361233480176212</v>
      </c>
      <c r="H210" s="22">
        <v>96</v>
      </c>
      <c r="I210" s="22">
        <v>2392</v>
      </c>
      <c r="J210" s="22">
        <v>10</v>
      </c>
      <c r="K210" s="22">
        <v>50</v>
      </c>
      <c r="L210" s="22">
        <v>18</v>
      </c>
      <c r="M210" s="22">
        <f>_xlfn.CEILING.MATH(F210*2.35)+1</f>
        <v>227</v>
      </c>
      <c r="N210" s="22">
        <f>H210*1.18</f>
        <v>113.28</v>
      </c>
      <c r="O210" s="22">
        <f>_xlfn.CEILING.MATH(F210*1.56)-1</f>
        <v>149</v>
      </c>
    </row>
    <row r="211" spans="1:15" s="22" customFormat="1">
      <c r="A211" s="22">
        <v>109</v>
      </c>
      <c r="B211" s="22" t="s">
        <v>1447</v>
      </c>
      <c r="C211" s="22" t="s">
        <v>1448</v>
      </c>
      <c r="E211" s="22">
        <v>1</v>
      </c>
      <c r="F211" s="22">
        <v>120</v>
      </c>
      <c r="G211" s="30">
        <f>IF(OR(M211="",O211="",M211=0),"",(M211-O211)/M211)</f>
        <v>0.33922261484098942</v>
      </c>
      <c r="H211" s="22">
        <v>120</v>
      </c>
      <c r="I211" s="22">
        <v>28</v>
      </c>
      <c r="J211" s="22">
        <v>10</v>
      </c>
      <c r="K211" s="22">
        <v>50</v>
      </c>
      <c r="L211" s="22">
        <v>18</v>
      </c>
      <c r="M211" s="22">
        <f>_xlfn.CEILING.MATH(F211*2.35)+1</f>
        <v>283</v>
      </c>
      <c r="N211" s="22">
        <f>H211*1.18</f>
        <v>141.6</v>
      </c>
      <c r="O211" s="22">
        <f>_xlfn.CEILING.MATH(F211*1.56)-1</f>
        <v>187</v>
      </c>
    </row>
    <row r="212" spans="1:15" s="22" customFormat="1">
      <c r="A212" s="22">
        <v>110</v>
      </c>
      <c r="B212" s="22" t="s">
        <v>1449</v>
      </c>
      <c r="C212" s="22" t="s">
        <v>1450</v>
      </c>
      <c r="E212" s="22">
        <v>1</v>
      </c>
      <c r="F212" s="22">
        <v>132</v>
      </c>
      <c r="G212" s="30">
        <f>IF(OR(M212="",O212="",M212=0),"",(M212-O212)/M212)</f>
        <v>0.34294871794871795</v>
      </c>
      <c r="H212" s="22">
        <v>132</v>
      </c>
      <c r="I212" s="22">
        <v>16</v>
      </c>
      <c r="J212" s="22">
        <v>10</v>
      </c>
      <c r="K212" s="22">
        <v>50</v>
      </c>
      <c r="L212" s="22">
        <v>18</v>
      </c>
      <c r="M212" s="22">
        <f>_xlfn.CEILING.MATH(F212*2.35)+1</f>
        <v>312</v>
      </c>
      <c r="N212" s="22">
        <f>H212*1.18</f>
        <v>155.76</v>
      </c>
      <c r="O212" s="22">
        <f>_xlfn.CEILING.MATH(F212*1.56)-1</f>
        <v>205</v>
      </c>
    </row>
    <row r="213" spans="1:15" s="22" customFormat="1">
      <c r="A213" s="22">
        <v>111</v>
      </c>
      <c r="B213" s="22" t="s">
        <v>1451</v>
      </c>
      <c r="C213" s="22" t="s">
        <v>1452</v>
      </c>
      <c r="E213" s="22">
        <v>1</v>
      </c>
      <c r="F213" s="22">
        <v>108</v>
      </c>
      <c r="G213" s="30">
        <f>IF(OR(M213="",O213="",M213=0),"",(M213-O213)/M213)</f>
        <v>0.3411764705882353</v>
      </c>
      <c r="H213" s="22">
        <v>108</v>
      </c>
      <c r="I213" s="22">
        <v>1931</v>
      </c>
      <c r="J213" s="22">
        <v>10</v>
      </c>
      <c r="K213" s="22">
        <v>50</v>
      </c>
      <c r="L213" s="22">
        <v>18</v>
      </c>
      <c r="M213" s="22">
        <f>_xlfn.CEILING.MATH(F213*2.35)+1</f>
        <v>255</v>
      </c>
      <c r="N213" s="22">
        <f>H213*1.18</f>
        <v>127.44</v>
      </c>
      <c r="O213" s="22">
        <f>_xlfn.CEILING.MATH(F213*1.56)-1</f>
        <v>168</v>
      </c>
    </row>
    <row r="214" spans="1:15" s="22" customFormat="1">
      <c r="A214" s="22">
        <v>112</v>
      </c>
      <c r="B214" s="22" t="s">
        <v>1453</v>
      </c>
      <c r="C214" s="22" t="s">
        <v>1454</v>
      </c>
      <c r="E214" s="22">
        <v>1</v>
      </c>
      <c r="F214" s="22">
        <v>132</v>
      </c>
      <c r="G214" s="30">
        <f>IF(OR(M214="",O214="",M214=0),"",(M214-O214)/M214)</f>
        <v>0.34294871794871795</v>
      </c>
      <c r="H214" s="22">
        <v>132</v>
      </c>
      <c r="I214" s="22">
        <v>11</v>
      </c>
      <c r="J214" s="22">
        <v>10</v>
      </c>
      <c r="K214" s="22">
        <v>50</v>
      </c>
      <c r="L214" s="22">
        <v>18</v>
      </c>
      <c r="M214" s="22">
        <f>_xlfn.CEILING.MATH(F214*2.35)+1</f>
        <v>312</v>
      </c>
      <c r="N214" s="22">
        <f>H214*1.18</f>
        <v>155.76</v>
      </c>
      <c r="O214" s="22">
        <f>_xlfn.CEILING.MATH(F214*1.56)-1</f>
        <v>205</v>
      </c>
    </row>
    <row r="215" spans="1:15" s="22" customFormat="1">
      <c r="A215" s="22">
        <v>113</v>
      </c>
      <c r="B215" s="22" t="s">
        <v>1455</v>
      </c>
      <c r="C215" s="22" t="s">
        <v>1456</v>
      </c>
      <c r="E215" s="22">
        <v>1</v>
      </c>
      <c r="F215" s="22">
        <v>37</v>
      </c>
      <c r="G215" s="30">
        <f>IF(OR(M215="",O215="",M215=0),"",(M215-O215)/M215)</f>
        <v>0.35227272727272729</v>
      </c>
      <c r="H215" s="22">
        <v>37</v>
      </c>
      <c r="I215" s="22">
        <v>2464</v>
      </c>
      <c r="J215" s="22">
        <v>1</v>
      </c>
      <c r="K215" s="22">
        <v>100</v>
      </c>
      <c r="L215" s="22">
        <v>18</v>
      </c>
      <c r="M215" s="22">
        <f>_xlfn.CEILING.MATH(F215*2.35)+1</f>
        <v>88</v>
      </c>
      <c r="N215" s="22">
        <f>H215*1.18</f>
        <v>43.66</v>
      </c>
      <c r="O215" s="22">
        <f>_xlfn.CEILING.MATH(F215*1.56)-1</f>
        <v>57</v>
      </c>
    </row>
    <row r="216" spans="1:15" s="22" customFormat="1">
      <c r="A216" s="22">
        <v>114</v>
      </c>
      <c r="B216" s="22" t="s">
        <v>1457</v>
      </c>
      <c r="C216" s="22" t="s">
        <v>1458</v>
      </c>
      <c r="E216" s="22">
        <v>1</v>
      </c>
      <c r="F216" s="22">
        <v>39</v>
      </c>
      <c r="G216" s="30">
        <f>IF(OR(M216="",O216="",M216=0),"",(M216-O216)/M216)</f>
        <v>0.35483870967741937</v>
      </c>
      <c r="H216" s="22">
        <v>39</v>
      </c>
      <c r="I216" s="22">
        <v>1874</v>
      </c>
      <c r="J216" s="22">
        <v>1</v>
      </c>
      <c r="K216" s="22">
        <v>100</v>
      </c>
      <c r="L216" s="22">
        <v>18</v>
      </c>
      <c r="M216" s="22">
        <f>_xlfn.CEILING.MATH(F216*2.35)+1</f>
        <v>93</v>
      </c>
      <c r="N216" s="22">
        <f>H216*1.18</f>
        <v>46.019999999999996</v>
      </c>
      <c r="O216" s="22">
        <f>_xlfn.CEILING.MATH(F216*1.56)-1</f>
        <v>60</v>
      </c>
    </row>
    <row r="217" spans="1:15" s="22" customFormat="1">
      <c r="A217" s="22">
        <v>1</v>
      </c>
      <c r="B217" s="22" t="s">
        <v>1459</v>
      </c>
      <c r="C217" s="22" t="s">
        <v>1460</v>
      </c>
      <c r="E217" s="22">
        <v>1</v>
      </c>
      <c r="F217" s="22">
        <v>907.5</v>
      </c>
      <c r="G217" s="30">
        <f>IF(OR(M217="",O217="",M217=0),"",(M217-O217)/M217)</f>
        <v>0.22038567493112948</v>
      </c>
      <c r="H217" s="22">
        <v>907.5</v>
      </c>
      <c r="I217" s="22">
        <v>263</v>
      </c>
      <c r="J217" s="22">
        <v>1</v>
      </c>
      <c r="K217" s="22">
        <v>20</v>
      </c>
      <c r="L217" s="22">
        <v>18</v>
      </c>
      <c r="M217" s="22">
        <f>_xlfn.CEILING.MATH(F217*2)</f>
        <v>1815</v>
      </c>
      <c r="N217" s="22">
        <f>H217*1.18</f>
        <v>1070.8499999999999</v>
      </c>
      <c r="O217" s="22">
        <f>_xlfn.CEILING.MATH(F217*1.56)-1</f>
        <v>1415</v>
      </c>
    </row>
    <row r="218" spans="1:15" s="22" customFormat="1">
      <c r="A218" s="22">
        <v>2</v>
      </c>
      <c r="B218" s="22" t="s">
        <v>1461</v>
      </c>
      <c r="C218" s="22" t="s">
        <v>1462</v>
      </c>
      <c r="E218" s="22">
        <v>1</v>
      </c>
      <c r="F218" s="22">
        <v>127.5</v>
      </c>
      <c r="G218" s="30">
        <f>IF(OR(M218="",O218="",M218=0),"",(M218-O218)/M218)</f>
        <v>0.22352941176470589</v>
      </c>
      <c r="H218" s="22">
        <v>127.5</v>
      </c>
      <c r="I218" s="22">
        <v>54</v>
      </c>
      <c r="J218" s="22">
        <v>6</v>
      </c>
      <c r="K218" s="22">
        <v>60</v>
      </c>
      <c r="L218" s="22">
        <v>18</v>
      </c>
      <c r="M218" s="22">
        <f>_xlfn.CEILING.MATH(F218*2)</f>
        <v>255</v>
      </c>
      <c r="N218" s="22">
        <f>H218*1.18</f>
        <v>150.44999999999999</v>
      </c>
      <c r="O218" s="22">
        <f>_xlfn.CEILING.MATH(F218*1.56)-1</f>
        <v>198</v>
      </c>
    </row>
    <row r="219" spans="1:15" s="22" customFormat="1">
      <c r="A219" s="22">
        <v>3</v>
      </c>
      <c r="B219" s="22" t="s">
        <v>1463</v>
      </c>
      <c r="C219" s="22" t="s">
        <v>1464</v>
      </c>
      <c r="E219" s="22">
        <v>1</v>
      </c>
      <c r="F219" s="22">
        <v>127.5</v>
      </c>
      <c r="G219" s="30">
        <f>IF(OR(M219="",O219="",M219=0),"",(M219-O219)/M219)</f>
        <v>0.22352941176470589</v>
      </c>
      <c r="H219" s="22">
        <v>127.5</v>
      </c>
      <c r="I219" s="22">
        <v>11</v>
      </c>
      <c r="J219" s="22">
        <v>6</v>
      </c>
      <c r="K219" s="22">
        <v>60</v>
      </c>
      <c r="L219" s="22">
        <v>18</v>
      </c>
      <c r="M219" s="22">
        <f>_xlfn.CEILING.MATH(F219*2)</f>
        <v>255</v>
      </c>
      <c r="N219" s="22">
        <f>H219*1.18</f>
        <v>150.44999999999999</v>
      </c>
      <c r="O219" s="22">
        <f>_xlfn.CEILING.MATH(F219*1.56)-1</f>
        <v>198</v>
      </c>
    </row>
    <row r="220" spans="1:15" s="22" customFormat="1">
      <c r="A220" s="22">
        <v>4</v>
      </c>
      <c r="B220" s="22" t="s">
        <v>1465</v>
      </c>
      <c r="C220" s="22" t="s">
        <v>1466</v>
      </c>
      <c r="E220" s="22">
        <v>1</v>
      </c>
      <c r="F220" s="22">
        <v>127.5</v>
      </c>
      <c r="G220" s="30">
        <f>IF(OR(M220="",O220="",M220=0),"",(M220-O220)/M220)</f>
        <v>0.22352941176470589</v>
      </c>
      <c r="H220" s="22">
        <v>127.5</v>
      </c>
      <c r="I220" s="22">
        <v>52</v>
      </c>
      <c r="J220" s="22">
        <v>6</v>
      </c>
      <c r="K220" s="22">
        <v>60</v>
      </c>
      <c r="L220" s="22">
        <v>18</v>
      </c>
      <c r="M220" s="22">
        <f>_xlfn.CEILING.MATH(F220*2)</f>
        <v>255</v>
      </c>
      <c r="N220" s="22">
        <f>H220*1.18</f>
        <v>150.44999999999999</v>
      </c>
      <c r="O220" s="22">
        <f>_xlfn.CEILING.MATH(F220*1.56)-1</f>
        <v>198</v>
      </c>
    </row>
    <row r="221" spans="1:15" s="22" customFormat="1">
      <c r="A221" s="22">
        <v>5</v>
      </c>
      <c r="B221" s="22" t="s">
        <v>1467</v>
      </c>
      <c r="C221" s="22" t="s">
        <v>1468</v>
      </c>
      <c r="E221" s="22">
        <v>1</v>
      </c>
      <c r="F221" s="22">
        <v>127.5</v>
      </c>
      <c r="G221" s="30">
        <f>IF(OR(M221="",O221="",M221=0),"",(M221-O221)/M221)</f>
        <v>0.22352941176470589</v>
      </c>
      <c r="H221" s="22">
        <v>127.5</v>
      </c>
      <c r="I221" s="22">
        <v>442</v>
      </c>
      <c r="J221" s="22">
        <v>6</v>
      </c>
      <c r="K221" s="22">
        <v>60</v>
      </c>
      <c r="L221" s="22">
        <v>18</v>
      </c>
      <c r="M221" s="22">
        <f>_xlfn.CEILING.MATH(F221*2)</f>
        <v>255</v>
      </c>
      <c r="N221" s="22">
        <f>H221*1.18</f>
        <v>150.44999999999999</v>
      </c>
      <c r="O221" s="22">
        <f>_xlfn.CEILING.MATH(F221*1.56)-1</f>
        <v>198</v>
      </c>
    </row>
    <row r="222" spans="1:15" s="22" customFormat="1">
      <c r="A222" s="22">
        <v>6</v>
      </c>
      <c r="B222" s="22" t="s">
        <v>1469</v>
      </c>
      <c r="C222" s="22" t="s">
        <v>1470</v>
      </c>
      <c r="E222" s="22">
        <v>1</v>
      </c>
      <c r="F222" s="22">
        <v>127.5</v>
      </c>
      <c r="G222" s="30">
        <f>IF(OR(M222="",O222="",M222=0),"",(M222-O222)/M222)</f>
        <v>0.22352941176470589</v>
      </c>
      <c r="H222" s="22">
        <v>127.5</v>
      </c>
      <c r="I222" s="22">
        <v>624</v>
      </c>
      <c r="J222" s="22">
        <v>6</v>
      </c>
      <c r="K222" s="22">
        <v>60</v>
      </c>
      <c r="L222" s="22">
        <v>18</v>
      </c>
      <c r="M222" s="22">
        <f>_xlfn.CEILING.MATH(F222*2)</f>
        <v>255</v>
      </c>
      <c r="N222" s="22">
        <f>H222*1.18</f>
        <v>150.44999999999999</v>
      </c>
      <c r="O222" s="22">
        <f>_xlfn.CEILING.MATH(F222*1.56)-1</f>
        <v>198</v>
      </c>
    </row>
    <row r="223" spans="1:15" s="22" customFormat="1">
      <c r="A223" s="22">
        <v>7</v>
      </c>
      <c r="B223" s="22" t="s">
        <v>1471</v>
      </c>
      <c r="C223" s="22" t="s">
        <v>1472</v>
      </c>
      <c r="E223" s="22">
        <v>1</v>
      </c>
      <c r="F223" s="22">
        <v>135</v>
      </c>
      <c r="G223" s="30">
        <f>IF(OR(M223="",O223="",M223=0),"",(M223-O223)/M223)</f>
        <v>0.22222222222222221</v>
      </c>
      <c r="H223" s="22">
        <v>135</v>
      </c>
      <c r="I223" s="22">
        <v>457</v>
      </c>
      <c r="J223" s="22">
        <v>6</v>
      </c>
      <c r="K223" s="22">
        <v>48</v>
      </c>
      <c r="L223" s="22">
        <v>18</v>
      </c>
      <c r="M223" s="22">
        <f>_xlfn.CEILING.MATH(F223*2)</f>
        <v>270</v>
      </c>
      <c r="N223" s="22">
        <f>H223*1.18</f>
        <v>159.29999999999998</v>
      </c>
      <c r="O223" s="22">
        <f>_xlfn.CEILING.MATH(F223*1.56)-1</f>
        <v>210</v>
      </c>
    </row>
    <row r="224" spans="1:15" s="22" customFormat="1">
      <c r="A224" s="22">
        <v>8</v>
      </c>
      <c r="B224" s="22" t="s">
        <v>1473</v>
      </c>
      <c r="C224" s="22" t="s">
        <v>1474</v>
      </c>
      <c r="E224" s="22">
        <v>1</v>
      </c>
      <c r="F224" s="22">
        <v>139.5</v>
      </c>
      <c r="G224" s="30">
        <f>IF(OR(M224="",O224="",M224=0),"",(M224-O224)/M224)</f>
        <v>0.22222222222222221</v>
      </c>
      <c r="H224" s="22">
        <v>139.5</v>
      </c>
      <c r="I224" s="22">
        <v>682</v>
      </c>
      <c r="J224" s="22">
        <v>6</v>
      </c>
      <c r="K224" s="22">
        <v>48</v>
      </c>
      <c r="L224" s="22">
        <v>18</v>
      </c>
      <c r="M224" s="22">
        <f>_xlfn.CEILING.MATH(F224*2)</f>
        <v>279</v>
      </c>
      <c r="N224" s="22">
        <f>H224*1.18</f>
        <v>164.60999999999999</v>
      </c>
      <c r="O224" s="22">
        <f>_xlfn.CEILING.MATH(F224*1.56)-1</f>
        <v>217</v>
      </c>
    </row>
    <row r="225" spans="1:15" s="22" customFormat="1">
      <c r="A225" s="22">
        <v>9</v>
      </c>
      <c r="B225" s="22" t="s">
        <v>1475</v>
      </c>
      <c r="C225" s="22" t="s">
        <v>1476</v>
      </c>
      <c r="E225" s="22">
        <v>1</v>
      </c>
      <c r="F225" s="22">
        <v>148.5</v>
      </c>
      <c r="G225" s="30">
        <f>IF(OR(M225="",O225="",M225=0),"",(M225-O225)/M225)</f>
        <v>0.22222222222222221</v>
      </c>
      <c r="H225" s="22">
        <v>148.5</v>
      </c>
      <c r="I225" s="22">
        <v>207</v>
      </c>
      <c r="J225" s="22">
        <v>6</v>
      </c>
      <c r="K225" s="22">
        <v>48</v>
      </c>
      <c r="L225" s="22">
        <v>18</v>
      </c>
      <c r="M225" s="22">
        <f>_xlfn.CEILING.MATH(F225*2)</f>
        <v>297</v>
      </c>
      <c r="N225" s="22">
        <f>H225*1.18</f>
        <v>175.23</v>
      </c>
      <c r="O225" s="22">
        <f>_xlfn.CEILING.MATH(F225*1.56)-1</f>
        <v>231</v>
      </c>
    </row>
    <row r="226" spans="1:15" s="22" customFormat="1">
      <c r="A226" s="22">
        <v>10</v>
      </c>
      <c r="B226" s="22" t="s">
        <v>241</v>
      </c>
      <c r="C226" s="22" t="s">
        <v>1477</v>
      </c>
      <c r="E226" s="22">
        <v>1</v>
      </c>
      <c r="F226" s="22">
        <v>159</v>
      </c>
      <c r="G226" s="30">
        <f>IF(OR(M226="",O226="",M226=0),"",(M226-O226)/M226)</f>
        <v>0.22012578616352202</v>
      </c>
      <c r="H226" s="22">
        <v>159</v>
      </c>
      <c r="I226" s="22">
        <v>5</v>
      </c>
      <c r="J226" s="22">
        <v>6</v>
      </c>
      <c r="K226" s="22">
        <v>48</v>
      </c>
      <c r="L226" s="22">
        <v>18</v>
      </c>
      <c r="M226" s="22">
        <f>_xlfn.CEILING.MATH(F226*2)</f>
        <v>318</v>
      </c>
      <c r="N226" s="22">
        <f>H226*1.18</f>
        <v>187.61999999999998</v>
      </c>
      <c r="O226" s="22">
        <f>_xlfn.CEILING.MATH(F226*1.56)-1</f>
        <v>248</v>
      </c>
    </row>
    <row r="227" spans="1:15" s="22" customFormat="1">
      <c r="A227" s="22">
        <v>11</v>
      </c>
      <c r="B227" s="22" t="s">
        <v>242</v>
      </c>
      <c r="C227" s="22" t="s">
        <v>1478</v>
      </c>
      <c r="E227" s="22">
        <v>1</v>
      </c>
      <c r="F227" s="22">
        <v>187.5</v>
      </c>
      <c r="G227" s="30">
        <f>IF(OR(M227="",O227="",M227=0),"",(M227-O227)/M227)</f>
        <v>0.22133333333333333</v>
      </c>
      <c r="H227" s="22">
        <v>187.5</v>
      </c>
      <c r="I227" s="22">
        <v>349</v>
      </c>
      <c r="J227" s="22">
        <v>6</v>
      </c>
      <c r="K227" s="22">
        <v>48</v>
      </c>
      <c r="L227" s="22">
        <v>18</v>
      </c>
      <c r="M227" s="22">
        <f>_xlfn.CEILING.MATH(F227*2)</f>
        <v>375</v>
      </c>
      <c r="N227" s="22">
        <f>H227*1.18</f>
        <v>221.25</v>
      </c>
      <c r="O227" s="22">
        <f>_xlfn.CEILING.MATH(F227*1.56)-1</f>
        <v>292</v>
      </c>
    </row>
    <row r="228" spans="1:15" s="22" customFormat="1">
      <c r="A228" s="22">
        <v>12</v>
      </c>
      <c r="B228" s="22" t="s">
        <v>243</v>
      </c>
      <c r="C228" s="22" t="s">
        <v>1479</v>
      </c>
      <c r="E228" s="22">
        <v>1</v>
      </c>
      <c r="F228" s="22">
        <v>255</v>
      </c>
      <c r="G228" s="30">
        <f>IF(OR(M228="",O228="",M228=0),"",(M228-O228)/M228)</f>
        <v>0.22156862745098038</v>
      </c>
      <c r="H228" s="22">
        <v>255</v>
      </c>
      <c r="I228" s="22">
        <v>342</v>
      </c>
      <c r="J228" s="22">
        <v>6</v>
      </c>
      <c r="K228" s="22">
        <v>48</v>
      </c>
      <c r="L228" s="22">
        <v>18</v>
      </c>
      <c r="M228" s="22">
        <f>_xlfn.CEILING.MATH(F228*2)</f>
        <v>510</v>
      </c>
      <c r="N228" s="22">
        <f>H228*1.18</f>
        <v>300.89999999999998</v>
      </c>
      <c r="O228" s="22">
        <f>_xlfn.CEILING.MATH(F228*1.56)-1</f>
        <v>397</v>
      </c>
    </row>
    <row r="229" spans="1:15" s="22" customFormat="1">
      <c r="A229" s="22">
        <v>13</v>
      </c>
      <c r="B229" s="22" t="s">
        <v>1480</v>
      </c>
      <c r="C229" s="22" t="s">
        <v>1481</v>
      </c>
      <c r="E229" s="22">
        <v>1</v>
      </c>
      <c r="F229" s="22">
        <v>181.79</v>
      </c>
      <c r="G229" s="30">
        <f>IF(OR(M229="",O229="",M229=0),"",(M229-O229)/M229)</f>
        <v>0.22252747252747251</v>
      </c>
      <c r="H229" s="22">
        <v>181.79</v>
      </c>
      <c r="I229" s="22">
        <v>0</v>
      </c>
      <c r="J229" s="22">
        <v>6</v>
      </c>
      <c r="K229" s="22">
        <v>48</v>
      </c>
      <c r="L229" s="22">
        <v>18</v>
      </c>
      <c r="M229" s="22">
        <f>_xlfn.CEILING.MATH(F229*2)</f>
        <v>364</v>
      </c>
      <c r="N229" s="22">
        <f>H229*1.18</f>
        <v>214.51219999999998</v>
      </c>
      <c r="O229" s="22">
        <f>_xlfn.CEILING.MATH(F229*1.56)-1</f>
        <v>283</v>
      </c>
    </row>
    <row r="230" spans="1:15" s="22" customFormat="1">
      <c r="A230" s="22">
        <v>14</v>
      </c>
      <c r="B230" s="22" t="s">
        <v>244</v>
      </c>
      <c r="C230" s="22" t="s">
        <v>1482</v>
      </c>
      <c r="E230" s="22">
        <v>1</v>
      </c>
      <c r="F230" s="22">
        <v>127.5</v>
      </c>
      <c r="G230" s="30">
        <f>IF(OR(M230="",O230="",M230=0),"",(M230-O230)/M230)</f>
        <v>0.22352941176470589</v>
      </c>
      <c r="H230" s="22">
        <v>127.5</v>
      </c>
      <c r="I230" s="22">
        <v>64</v>
      </c>
      <c r="J230" s="22">
        <v>10</v>
      </c>
      <c r="K230" s="22">
        <v>60</v>
      </c>
      <c r="L230" s="22">
        <v>18</v>
      </c>
      <c r="M230" s="22">
        <f>_xlfn.CEILING.MATH(F230*2)</f>
        <v>255</v>
      </c>
      <c r="N230" s="22">
        <f>H230*1.18</f>
        <v>150.44999999999999</v>
      </c>
      <c r="O230" s="22">
        <f>_xlfn.CEILING.MATH(F230*1.56)-1</f>
        <v>198</v>
      </c>
    </row>
    <row r="231" spans="1:15" s="22" customFormat="1">
      <c r="A231" s="22">
        <v>15</v>
      </c>
      <c r="B231" s="22" t="s">
        <v>245</v>
      </c>
      <c r="C231" s="22" t="s">
        <v>1483</v>
      </c>
      <c r="E231" s="22">
        <v>1</v>
      </c>
      <c r="F231" s="22">
        <v>127.5</v>
      </c>
      <c r="G231" s="30">
        <f>IF(OR(M231="",O231="",M231=0),"",(M231-O231)/M231)</f>
        <v>0.22352941176470589</v>
      </c>
      <c r="H231" s="22">
        <v>127.5</v>
      </c>
      <c r="I231" s="22">
        <v>160</v>
      </c>
      <c r="J231" s="22">
        <v>10</v>
      </c>
      <c r="K231" s="22">
        <v>60</v>
      </c>
      <c r="L231" s="22">
        <v>18</v>
      </c>
      <c r="M231" s="22">
        <f>_xlfn.CEILING.MATH(F231*2)</f>
        <v>255</v>
      </c>
      <c r="N231" s="22">
        <f>H231*1.18</f>
        <v>150.44999999999999</v>
      </c>
      <c r="O231" s="22">
        <f>_xlfn.CEILING.MATH(F231*1.56)-1</f>
        <v>198</v>
      </c>
    </row>
    <row r="232" spans="1:15" s="22" customFormat="1">
      <c r="A232" s="22">
        <v>16</v>
      </c>
      <c r="B232" s="22" t="s">
        <v>246</v>
      </c>
      <c r="C232" s="22" t="s">
        <v>1484</v>
      </c>
      <c r="E232" s="22">
        <v>1</v>
      </c>
      <c r="F232" s="22">
        <v>127.5</v>
      </c>
      <c r="G232" s="30">
        <f>IF(OR(M232="",O232="",M232=0),"",(M232-O232)/M232)</f>
        <v>0.22352941176470589</v>
      </c>
      <c r="H232" s="22">
        <v>127.5</v>
      </c>
      <c r="I232" s="22">
        <v>477</v>
      </c>
      <c r="J232" s="22">
        <v>6</v>
      </c>
      <c r="K232" s="22">
        <v>60</v>
      </c>
      <c r="L232" s="22">
        <v>18</v>
      </c>
      <c r="M232" s="22">
        <f>_xlfn.CEILING.MATH(F232*2)</f>
        <v>255</v>
      </c>
      <c r="N232" s="22">
        <f>H232*1.18</f>
        <v>150.44999999999999</v>
      </c>
      <c r="O232" s="22">
        <f>_xlfn.CEILING.MATH(F232*1.56)-1</f>
        <v>198</v>
      </c>
    </row>
    <row r="233" spans="1:15" s="22" customFormat="1">
      <c r="A233" s="22">
        <v>17</v>
      </c>
      <c r="B233" s="22" t="s">
        <v>247</v>
      </c>
      <c r="C233" s="22" t="s">
        <v>1485</v>
      </c>
      <c r="E233" s="22">
        <v>1</v>
      </c>
      <c r="F233" s="22">
        <v>127.5</v>
      </c>
      <c r="G233" s="30">
        <f>IF(OR(M233="",O233="",M233=0),"",(M233-O233)/M233)</f>
        <v>0.22352941176470589</v>
      </c>
      <c r="H233" s="22">
        <v>127.5</v>
      </c>
      <c r="I233" s="22">
        <v>987</v>
      </c>
      <c r="J233" s="22">
        <v>6</v>
      </c>
      <c r="K233" s="22">
        <v>60</v>
      </c>
      <c r="L233" s="22">
        <v>18</v>
      </c>
      <c r="M233" s="22">
        <f>_xlfn.CEILING.MATH(F233*2)</f>
        <v>255</v>
      </c>
      <c r="N233" s="22">
        <f>H233*1.18</f>
        <v>150.44999999999999</v>
      </c>
      <c r="O233" s="22">
        <f>_xlfn.CEILING.MATH(F233*1.56)-1</f>
        <v>198</v>
      </c>
    </row>
    <row r="234" spans="1:15" s="22" customFormat="1">
      <c r="A234" s="22">
        <v>18</v>
      </c>
      <c r="B234" s="22" t="s">
        <v>248</v>
      </c>
      <c r="C234" s="22" t="s">
        <v>1486</v>
      </c>
      <c r="E234" s="22">
        <v>1</v>
      </c>
      <c r="F234" s="22">
        <v>99.99</v>
      </c>
      <c r="G234" s="30">
        <f>IF(OR(M234="",O234="",M234=0),"",(M234-O234)/M234)</f>
        <v>0.22500000000000001</v>
      </c>
      <c r="H234" s="22">
        <v>99.99</v>
      </c>
      <c r="I234" s="22">
        <v>0</v>
      </c>
      <c r="J234" s="22">
        <v>6</v>
      </c>
      <c r="K234" s="22">
        <v>60</v>
      </c>
      <c r="L234" s="22">
        <v>18</v>
      </c>
      <c r="M234" s="22">
        <f>_xlfn.CEILING.MATH(F234*2)</f>
        <v>200</v>
      </c>
      <c r="N234" s="22">
        <f>H234*1.18</f>
        <v>117.98819999999999</v>
      </c>
      <c r="O234" s="22">
        <f>_xlfn.CEILING.MATH(F234*1.56)-1</f>
        <v>155</v>
      </c>
    </row>
    <row r="235" spans="1:15" s="22" customFormat="1">
      <c r="A235" s="22">
        <v>19</v>
      </c>
      <c r="B235" s="22" t="s">
        <v>249</v>
      </c>
      <c r="C235" s="22" t="s">
        <v>1487</v>
      </c>
      <c r="E235" s="22">
        <v>1</v>
      </c>
      <c r="F235" s="22">
        <v>90.42</v>
      </c>
      <c r="G235" s="30">
        <f>IF(OR(M235="",O235="",M235=0),"",(M235-O235)/M235)</f>
        <v>0.22099447513812154</v>
      </c>
      <c r="H235" s="22">
        <v>90.42</v>
      </c>
      <c r="I235" s="22">
        <v>0</v>
      </c>
      <c r="J235" s="22">
        <v>6</v>
      </c>
      <c r="K235" s="22">
        <v>60</v>
      </c>
      <c r="L235" s="22">
        <v>18</v>
      </c>
      <c r="M235" s="22">
        <f>_xlfn.CEILING.MATH(F235*2)</f>
        <v>181</v>
      </c>
      <c r="N235" s="22">
        <f>H235*1.18</f>
        <v>106.6956</v>
      </c>
      <c r="O235" s="22">
        <f>_xlfn.CEILING.MATH(F235*1.56)-1</f>
        <v>141</v>
      </c>
    </row>
    <row r="236" spans="1:15" s="22" customFormat="1">
      <c r="A236" s="22">
        <v>20</v>
      </c>
      <c r="B236" s="22" t="s">
        <v>250</v>
      </c>
      <c r="C236" s="22" t="s">
        <v>1488</v>
      </c>
      <c r="E236" s="22">
        <v>1</v>
      </c>
      <c r="F236" s="22">
        <v>135</v>
      </c>
      <c r="G236" s="30">
        <f>IF(OR(M236="",O236="",M236=0),"",(M236-O236)/M236)</f>
        <v>0.22222222222222221</v>
      </c>
      <c r="H236" s="22">
        <v>135</v>
      </c>
      <c r="I236" s="22">
        <v>384</v>
      </c>
      <c r="J236" s="22">
        <v>6</v>
      </c>
      <c r="K236" s="22">
        <v>48</v>
      </c>
      <c r="L236" s="22">
        <v>18</v>
      </c>
      <c r="M236" s="22">
        <f>_xlfn.CEILING.MATH(F236*2)</f>
        <v>270</v>
      </c>
      <c r="N236" s="22">
        <f>H236*1.18</f>
        <v>159.29999999999998</v>
      </c>
      <c r="O236" s="22">
        <f>_xlfn.CEILING.MATH(F236*1.56)-1</f>
        <v>210</v>
      </c>
    </row>
    <row r="237" spans="1:15" s="22" customFormat="1">
      <c r="A237" s="22">
        <v>21</v>
      </c>
      <c r="B237" s="22" t="s">
        <v>251</v>
      </c>
      <c r="C237" s="22" t="s">
        <v>1489</v>
      </c>
      <c r="E237" s="22">
        <v>1</v>
      </c>
      <c r="F237" s="22">
        <v>95.2</v>
      </c>
      <c r="G237" s="30">
        <f>IF(OR(M237="",O237="",M237=0),"",(M237-O237)/M237)</f>
        <v>0.22513089005235601</v>
      </c>
      <c r="H237" s="22">
        <v>95.2</v>
      </c>
      <c r="I237" s="22">
        <v>0</v>
      </c>
      <c r="J237" s="22">
        <v>6</v>
      </c>
      <c r="K237" s="22">
        <v>48</v>
      </c>
      <c r="L237" s="22">
        <v>18</v>
      </c>
      <c r="M237" s="22">
        <f>_xlfn.CEILING.MATH(F237*2)</f>
        <v>191</v>
      </c>
      <c r="N237" s="22">
        <f>H237*1.18</f>
        <v>112.336</v>
      </c>
      <c r="O237" s="22">
        <f>_xlfn.CEILING.MATH(F237*1.56)-1</f>
        <v>148</v>
      </c>
    </row>
    <row r="238" spans="1:15" s="22" customFormat="1">
      <c r="A238" s="22">
        <v>22</v>
      </c>
      <c r="B238" s="22" t="s">
        <v>252</v>
      </c>
      <c r="C238" s="22" t="s">
        <v>1490</v>
      </c>
      <c r="E238" s="22">
        <v>1</v>
      </c>
      <c r="F238" s="22">
        <v>139.5</v>
      </c>
      <c r="G238" s="30">
        <f>IF(OR(M238="",O238="",M238=0),"",(M238-O238)/M238)</f>
        <v>0.22222222222222221</v>
      </c>
      <c r="H238" s="22">
        <v>139.5</v>
      </c>
      <c r="I238" s="22">
        <v>760</v>
      </c>
      <c r="J238" s="22">
        <v>6</v>
      </c>
      <c r="K238" s="22">
        <v>48</v>
      </c>
      <c r="L238" s="22">
        <v>18</v>
      </c>
      <c r="M238" s="22">
        <f>_xlfn.CEILING.MATH(F238*2)</f>
        <v>279</v>
      </c>
      <c r="N238" s="22">
        <f>H238*1.18</f>
        <v>164.60999999999999</v>
      </c>
      <c r="O238" s="22">
        <f>_xlfn.CEILING.MATH(F238*1.56)-1</f>
        <v>217</v>
      </c>
    </row>
    <row r="239" spans="1:15" s="22" customFormat="1">
      <c r="A239" s="22">
        <v>23</v>
      </c>
      <c r="B239" s="22" t="s">
        <v>253</v>
      </c>
      <c r="C239" s="22" t="s">
        <v>1491</v>
      </c>
      <c r="E239" s="22">
        <v>1</v>
      </c>
      <c r="F239" s="22">
        <v>148.5</v>
      </c>
      <c r="G239" s="30">
        <f>IF(OR(M239="",O239="",M239=0),"",(M239-O239)/M239)</f>
        <v>0.22222222222222221</v>
      </c>
      <c r="H239" s="22">
        <v>148.5</v>
      </c>
      <c r="I239" s="22">
        <v>850</v>
      </c>
      <c r="J239" s="22">
        <v>6</v>
      </c>
      <c r="K239" s="22">
        <v>48</v>
      </c>
      <c r="L239" s="22">
        <v>18</v>
      </c>
      <c r="M239" s="22">
        <f>_xlfn.CEILING.MATH(F239*2)</f>
        <v>297</v>
      </c>
      <c r="N239" s="22">
        <f>H239*1.18</f>
        <v>175.23</v>
      </c>
      <c r="O239" s="22">
        <f>_xlfn.CEILING.MATH(F239*1.56)-1</f>
        <v>231</v>
      </c>
    </row>
    <row r="240" spans="1:15" s="22" customFormat="1">
      <c r="A240" s="22">
        <v>24</v>
      </c>
      <c r="B240" s="22" t="s">
        <v>254</v>
      </c>
      <c r="C240" s="22" t="s">
        <v>1492</v>
      </c>
      <c r="E240" s="22">
        <v>1</v>
      </c>
      <c r="F240" s="22">
        <v>119.6</v>
      </c>
      <c r="G240" s="30">
        <f>IF(OR(M240="",O240="",M240=0),"",(M240-O240)/M240)</f>
        <v>0.22500000000000001</v>
      </c>
      <c r="H240" s="22">
        <v>119.6</v>
      </c>
      <c r="I240" s="22">
        <v>0</v>
      </c>
      <c r="J240" s="22">
        <v>6</v>
      </c>
      <c r="K240" s="22">
        <v>48</v>
      </c>
      <c r="L240" s="22">
        <v>18</v>
      </c>
      <c r="M240" s="22">
        <f>_xlfn.CEILING.MATH(F240*2)</f>
        <v>240</v>
      </c>
      <c r="N240" s="22">
        <f>H240*1.18</f>
        <v>141.12799999999999</v>
      </c>
      <c r="O240" s="22">
        <f>_xlfn.CEILING.MATH(F240*1.56)-1</f>
        <v>186</v>
      </c>
    </row>
    <row r="241" spans="1:15" s="22" customFormat="1">
      <c r="A241" s="22">
        <v>25</v>
      </c>
      <c r="B241" s="22" t="s">
        <v>255</v>
      </c>
      <c r="C241" s="22" t="s">
        <v>1493</v>
      </c>
      <c r="E241" s="22">
        <v>1</v>
      </c>
      <c r="F241" s="22">
        <v>159</v>
      </c>
      <c r="G241" s="30">
        <f>IF(OR(M241="",O241="",M241=0),"",(M241-O241)/M241)</f>
        <v>0.22012578616352202</v>
      </c>
      <c r="H241" s="22">
        <v>159</v>
      </c>
      <c r="I241" s="22">
        <v>297</v>
      </c>
      <c r="J241" s="22">
        <v>6</v>
      </c>
      <c r="K241" s="22">
        <v>48</v>
      </c>
      <c r="L241" s="22">
        <v>18</v>
      </c>
      <c r="M241" s="22">
        <f>_xlfn.CEILING.MATH(F241*2)</f>
        <v>318</v>
      </c>
      <c r="N241" s="22">
        <f>H241*1.18</f>
        <v>187.61999999999998</v>
      </c>
      <c r="O241" s="22">
        <f>_xlfn.CEILING.MATH(F241*1.56)-1</f>
        <v>248</v>
      </c>
    </row>
    <row r="242" spans="1:15" s="22" customFormat="1">
      <c r="A242" s="22">
        <v>26</v>
      </c>
      <c r="B242" s="22" t="s">
        <v>256</v>
      </c>
      <c r="C242" s="22" t="s">
        <v>1494</v>
      </c>
      <c r="E242" s="22">
        <v>1</v>
      </c>
      <c r="F242" s="22">
        <v>187.5</v>
      </c>
      <c r="G242" s="30">
        <f>IF(OR(M242="",O242="",M242=0),"",(M242-O242)/M242)</f>
        <v>0.22133333333333333</v>
      </c>
      <c r="H242" s="22">
        <v>187.5</v>
      </c>
      <c r="I242" s="22">
        <v>444</v>
      </c>
      <c r="J242" s="22">
        <v>6</v>
      </c>
      <c r="K242" s="22">
        <v>48</v>
      </c>
      <c r="L242" s="22">
        <v>18</v>
      </c>
      <c r="M242" s="22">
        <f>_xlfn.CEILING.MATH(F242*2)</f>
        <v>375</v>
      </c>
      <c r="N242" s="22">
        <f>H242*1.18</f>
        <v>221.25</v>
      </c>
      <c r="O242" s="22">
        <f>_xlfn.CEILING.MATH(F242*1.56)-1</f>
        <v>292</v>
      </c>
    </row>
    <row r="243" spans="1:15" s="22" customFormat="1">
      <c r="A243" s="22">
        <v>27</v>
      </c>
      <c r="B243" s="22" t="s">
        <v>257</v>
      </c>
      <c r="C243" s="22" t="s">
        <v>1495</v>
      </c>
      <c r="E243" s="22">
        <v>1</v>
      </c>
      <c r="F243" s="22">
        <v>205.5</v>
      </c>
      <c r="G243" s="30">
        <f>IF(OR(M243="",O243="",M243=0),"",(M243-O243)/M243)</f>
        <v>0.22141119221411193</v>
      </c>
      <c r="H243" s="22">
        <v>205.5</v>
      </c>
      <c r="I243" s="22">
        <v>43</v>
      </c>
      <c r="J243" s="22">
        <v>6</v>
      </c>
      <c r="K243" s="22">
        <v>48</v>
      </c>
      <c r="L243" s="22">
        <v>18</v>
      </c>
      <c r="M243" s="22">
        <f>_xlfn.CEILING.MATH(F243*2)</f>
        <v>411</v>
      </c>
      <c r="N243" s="22">
        <f>H243*1.18</f>
        <v>242.48999999999998</v>
      </c>
      <c r="O243" s="22">
        <f>_xlfn.CEILING.MATH(F243*1.56)-1</f>
        <v>320</v>
      </c>
    </row>
    <row r="244" spans="1:15" s="22" customFormat="1">
      <c r="A244" s="22">
        <v>28</v>
      </c>
      <c r="B244" s="22" t="s">
        <v>258</v>
      </c>
      <c r="C244" s="22" t="s">
        <v>1496</v>
      </c>
      <c r="E244" s="22">
        <v>1</v>
      </c>
      <c r="F244" s="22">
        <v>255</v>
      </c>
      <c r="G244" s="30">
        <f>IF(OR(M244="",O244="",M244=0),"",(M244-O244)/M244)</f>
        <v>0.22156862745098038</v>
      </c>
      <c r="H244" s="22">
        <v>255</v>
      </c>
      <c r="I244" s="22">
        <v>120</v>
      </c>
      <c r="J244" s="22">
        <v>6</v>
      </c>
      <c r="K244" s="22">
        <v>48</v>
      </c>
      <c r="L244" s="22">
        <v>18</v>
      </c>
      <c r="M244" s="22">
        <f>_xlfn.CEILING.MATH(F244*2)</f>
        <v>510</v>
      </c>
      <c r="N244" s="22">
        <f>H244*1.18</f>
        <v>300.89999999999998</v>
      </c>
      <c r="O244" s="22">
        <f>_xlfn.CEILING.MATH(F244*1.56)-1</f>
        <v>397</v>
      </c>
    </row>
    <row r="245" spans="1:15" s="22" customFormat="1">
      <c r="A245" s="22">
        <v>29</v>
      </c>
      <c r="B245" s="22" t="s">
        <v>259</v>
      </c>
      <c r="C245" s="22" t="s">
        <v>1497</v>
      </c>
      <c r="E245" s="22">
        <v>1</v>
      </c>
      <c r="F245" s="22">
        <v>181.79</v>
      </c>
      <c r="G245" s="30">
        <f>IF(OR(M245="",O245="",M245=0),"",(M245-O245)/M245)</f>
        <v>0.22252747252747251</v>
      </c>
      <c r="H245" s="22">
        <v>181.79</v>
      </c>
      <c r="I245" s="22">
        <v>0</v>
      </c>
      <c r="J245" s="22">
        <v>6</v>
      </c>
      <c r="K245" s="22">
        <v>48</v>
      </c>
      <c r="L245" s="22">
        <v>18</v>
      </c>
      <c r="M245" s="22">
        <f>_xlfn.CEILING.MATH(F245*2)</f>
        <v>364</v>
      </c>
      <c r="N245" s="22">
        <f>H245*1.18</f>
        <v>214.51219999999998</v>
      </c>
      <c r="O245" s="22">
        <f>_xlfn.CEILING.MATH(F245*1.56)-1</f>
        <v>283</v>
      </c>
    </row>
    <row r="246" spans="1:15" s="22" customFormat="1">
      <c r="A246" s="22">
        <v>30</v>
      </c>
      <c r="B246" s="22" t="s">
        <v>260</v>
      </c>
      <c r="C246" s="22" t="s">
        <v>1498</v>
      </c>
      <c r="E246" s="22">
        <v>1</v>
      </c>
      <c r="F246" s="22">
        <v>127.5</v>
      </c>
      <c r="G246" s="30">
        <f>IF(OR(M246="",O246="",M246=0),"",(M246-O246)/M246)</f>
        <v>0.22352941176470589</v>
      </c>
      <c r="H246" s="22">
        <v>127.5</v>
      </c>
      <c r="I246" s="22">
        <v>2</v>
      </c>
      <c r="J246" s="22">
        <v>6</v>
      </c>
      <c r="K246" s="22">
        <v>60</v>
      </c>
      <c r="L246" s="22">
        <v>18</v>
      </c>
      <c r="M246" s="22">
        <f>_xlfn.CEILING.MATH(F246*2)</f>
        <v>255</v>
      </c>
      <c r="N246" s="22">
        <f>H246*1.18</f>
        <v>150.44999999999999</v>
      </c>
      <c r="O246" s="22">
        <f>_xlfn.CEILING.MATH(F246*1.56)-1</f>
        <v>198</v>
      </c>
    </row>
    <row r="247" spans="1:15" s="22" customFormat="1">
      <c r="A247" s="22">
        <v>31</v>
      </c>
      <c r="B247" s="22" t="s">
        <v>261</v>
      </c>
      <c r="C247" s="22" t="s">
        <v>1499</v>
      </c>
      <c r="E247" s="22">
        <v>1</v>
      </c>
      <c r="F247" s="22">
        <v>46</v>
      </c>
      <c r="G247" s="30">
        <f>IF(OR(M247="",O247="",M247=0),"",(M247-O247)/M247)</f>
        <v>0.22826086956521738</v>
      </c>
      <c r="H247" s="22">
        <v>46</v>
      </c>
      <c r="I247" s="22">
        <v>123</v>
      </c>
      <c r="J247" s="22">
        <v>10</v>
      </c>
      <c r="K247" s="22">
        <v>100</v>
      </c>
      <c r="L247" s="22">
        <v>18</v>
      </c>
      <c r="M247" s="22">
        <f>_xlfn.CEILING.MATH(F247*2)</f>
        <v>92</v>
      </c>
      <c r="N247" s="22">
        <f>H247*1.18</f>
        <v>54.279999999999994</v>
      </c>
      <c r="O247" s="22">
        <f>_xlfn.CEILING.MATH(F247*1.56)-1</f>
        <v>71</v>
      </c>
    </row>
    <row r="248" spans="1:15" s="22" customFormat="1">
      <c r="A248" s="22">
        <v>32</v>
      </c>
      <c r="B248" s="22" t="s">
        <v>262</v>
      </c>
      <c r="C248" s="22" t="s">
        <v>1500</v>
      </c>
      <c r="E248" s="22">
        <v>1</v>
      </c>
      <c r="F248" s="22">
        <v>46</v>
      </c>
      <c r="G248" s="30">
        <f>IF(OR(M248="",O248="",M248=0),"",(M248-O248)/M248)</f>
        <v>0.22826086956521738</v>
      </c>
      <c r="H248" s="22">
        <v>46</v>
      </c>
      <c r="I248" s="22">
        <v>183</v>
      </c>
      <c r="J248" s="22">
        <v>10</v>
      </c>
      <c r="K248" s="22">
        <v>100</v>
      </c>
      <c r="L248" s="22">
        <v>18</v>
      </c>
      <c r="M248" s="22">
        <f>_xlfn.CEILING.MATH(F248*2)</f>
        <v>92</v>
      </c>
      <c r="N248" s="22">
        <f>H248*1.18</f>
        <v>54.279999999999994</v>
      </c>
      <c r="O248" s="22">
        <f>_xlfn.CEILING.MATH(F248*1.56)-1</f>
        <v>71</v>
      </c>
    </row>
    <row r="249" spans="1:15" s="22" customFormat="1">
      <c r="A249" s="22">
        <v>33</v>
      </c>
      <c r="B249" s="22" t="s">
        <v>263</v>
      </c>
      <c r="C249" s="22" t="s">
        <v>1501</v>
      </c>
      <c r="E249" s="22">
        <v>1</v>
      </c>
      <c r="F249" s="22">
        <v>46</v>
      </c>
      <c r="G249" s="30">
        <f>IF(OR(M249="",O249="",M249=0),"",(M249-O249)/M249)</f>
        <v>0.22826086956521738</v>
      </c>
      <c r="H249" s="22">
        <v>46</v>
      </c>
      <c r="I249" s="22">
        <v>806</v>
      </c>
      <c r="J249" s="22">
        <v>10</v>
      </c>
      <c r="K249" s="22">
        <v>100</v>
      </c>
      <c r="L249" s="22">
        <v>18</v>
      </c>
      <c r="M249" s="22">
        <f>_xlfn.CEILING.MATH(F249*2)</f>
        <v>92</v>
      </c>
      <c r="N249" s="22">
        <f>H249*1.18</f>
        <v>54.279999999999994</v>
      </c>
      <c r="O249" s="22">
        <f>_xlfn.CEILING.MATH(F249*1.56)-1</f>
        <v>71</v>
      </c>
    </row>
    <row r="250" spans="1:15" s="22" customFormat="1">
      <c r="A250" s="22">
        <v>34</v>
      </c>
      <c r="B250" s="22" t="s">
        <v>264</v>
      </c>
      <c r="C250" s="22" t="s">
        <v>1502</v>
      </c>
      <c r="E250" s="22">
        <v>1</v>
      </c>
      <c r="F250" s="22">
        <v>46</v>
      </c>
      <c r="G250" s="30">
        <f>IF(OR(M250="",O250="",M250=0),"",(M250-O250)/M250)</f>
        <v>0.22826086956521738</v>
      </c>
      <c r="H250" s="22">
        <v>46</v>
      </c>
      <c r="I250" s="22">
        <v>265</v>
      </c>
      <c r="J250" s="22">
        <v>10</v>
      </c>
      <c r="K250" s="22">
        <v>100</v>
      </c>
      <c r="L250" s="22">
        <v>18</v>
      </c>
      <c r="M250" s="22">
        <f>_xlfn.CEILING.MATH(F250*2)</f>
        <v>92</v>
      </c>
      <c r="N250" s="22">
        <f>H250*1.18</f>
        <v>54.279999999999994</v>
      </c>
      <c r="O250" s="22">
        <f>_xlfn.CEILING.MATH(F250*1.56)-1</f>
        <v>71</v>
      </c>
    </row>
    <row r="251" spans="1:15" s="22" customFormat="1">
      <c r="A251" s="22">
        <v>35</v>
      </c>
      <c r="B251" s="22" t="s">
        <v>265</v>
      </c>
      <c r="C251" s="22" t="s">
        <v>1503</v>
      </c>
      <c r="E251" s="22">
        <v>1</v>
      </c>
      <c r="F251" s="22">
        <v>50.5</v>
      </c>
      <c r="G251" s="30">
        <f>IF(OR(M251="",O251="",M251=0),"",(M251-O251)/M251)</f>
        <v>0.22772277227722773</v>
      </c>
      <c r="H251" s="22">
        <v>50.5</v>
      </c>
      <c r="I251" s="22">
        <v>950</v>
      </c>
      <c r="J251" s="22">
        <v>10</v>
      </c>
      <c r="K251" s="22">
        <v>100</v>
      </c>
      <c r="L251" s="22">
        <v>18</v>
      </c>
      <c r="M251" s="22">
        <f>_xlfn.CEILING.MATH(F251*2)</f>
        <v>101</v>
      </c>
      <c r="N251" s="22">
        <f>H251*1.18</f>
        <v>59.589999999999996</v>
      </c>
      <c r="O251" s="22">
        <f>_xlfn.CEILING.MATH(F251*1.56)-1</f>
        <v>78</v>
      </c>
    </row>
    <row r="252" spans="1:15" s="22" customFormat="1">
      <c r="A252" s="22">
        <v>36</v>
      </c>
      <c r="B252" s="22" t="s">
        <v>266</v>
      </c>
      <c r="C252" s="22" t="s">
        <v>1504</v>
      </c>
      <c r="E252" s="22">
        <v>1</v>
      </c>
      <c r="F252" s="22">
        <v>50.5</v>
      </c>
      <c r="G252" s="30">
        <f>IF(OR(M252="",O252="",M252=0),"",(M252-O252)/M252)</f>
        <v>0.22772277227722773</v>
      </c>
      <c r="H252" s="22">
        <v>50.5</v>
      </c>
      <c r="I252" s="22">
        <v>826</v>
      </c>
      <c r="J252" s="22">
        <v>10</v>
      </c>
      <c r="K252" s="22">
        <v>100</v>
      </c>
      <c r="L252" s="22">
        <v>18</v>
      </c>
      <c r="M252" s="22">
        <f>_xlfn.CEILING.MATH(F252*2)</f>
        <v>101</v>
      </c>
      <c r="N252" s="22">
        <f>H252*1.18</f>
        <v>59.589999999999996</v>
      </c>
      <c r="O252" s="22">
        <f>_xlfn.CEILING.MATH(F252*1.56)-1</f>
        <v>78</v>
      </c>
    </row>
    <row r="253" spans="1:15" s="22" customFormat="1">
      <c r="A253" s="22">
        <v>37</v>
      </c>
      <c r="B253" s="22" t="s">
        <v>267</v>
      </c>
      <c r="C253" s="22" t="s">
        <v>1505</v>
      </c>
      <c r="E253" s="22">
        <v>1</v>
      </c>
      <c r="F253" s="22">
        <v>50.5</v>
      </c>
      <c r="G253" s="30">
        <f>IF(OR(M253="",O253="",M253=0),"",(M253-O253)/M253)</f>
        <v>0.22772277227722773</v>
      </c>
      <c r="H253" s="22">
        <v>50.5</v>
      </c>
      <c r="I253" s="22">
        <v>186</v>
      </c>
      <c r="J253" s="22">
        <v>10</v>
      </c>
      <c r="K253" s="22">
        <v>100</v>
      </c>
      <c r="L253" s="22">
        <v>18</v>
      </c>
      <c r="M253" s="22">
        <f>_xlfn.CEILING.MATH(F253*2)</f>
        <v>101</v>
      </c>
      <c r="N253" s="22">
        <f>H253*1.18</f>
        <v>59.589999999999996</v>
      </c>
      <c r="O253" s="22">
        <f>_xlfn.CEILING.MATH(F253*1.56)-1</f>
        <v>78</v>
      </c>
    </row>
    <row r="254" spans="1:15" s="22" customFormat="1">
      <c r="A254" s="22">
        <v>38</v>
      </c>
      <c r="B254" s="22" t="s">
        <v>268</v>
      </c>
      <c r="C254" s="22" t="s">
        <v>1506</v>
      </c>
      <c r="E254" s="22">
        <v>1</v>
      </c>
      <c r="F254" s="22">
        <v>50.5</v>
      </c>
      <c r="G254" s="30">
        <f>IF(OR(M254="",O254="",M254=0),"",(M254-O254)/M254)</f>
        <v>0.22772277227722773</v>
      </c>
      <c r="H254" s="22">
        <v>50.5</v>
      </c>
      <c r="I254" s="22">
        <v>293</v>
      </c>
      <c r="J254" s="22">
        <v>10</v>
      </c>
      <c r="K254" s="22">
        <v>100</v>
      </c>
      <c r="L254" s="22">
        <v>18</v>
      </c>
      <c r="M254" s="22">
        <f>_xlfn.CEILING.MATH(F254*2)</f>
        <v>101</v>
      </c>
      <c r="N254" s="22">
        <f>H254*1.18</f>
        <v>59.589999999999996</v>
      </c>
      <c r="O254" s="22">
        <f>_xlfn.CEILING.MATH(F254*1.56)-1</f>
        <v>78</v>
      </c>
    </row>
    <row r="255" spans="1:15" s="22" customFormat="1">
      <c r="A255" s="22">
        <v>39</v>
      </c>
      <c r="B255" s="22" t="s">
        <v>269</v>
      </c>
      <c r="C255" s="22" t="s">
        <v>1507</v>
      </c>
      <c r="E255" s="22">
        <v>1</v>
      </c>
      <c r="F255" s="22">
        <v>56</v>
      </c>
      <c r="G255" s="30">
        <f>IF(OR(M255="",O255="",M255=0),"",(M255-O255)/M255)</f>
        <v>0.22321428571428573</v>
      </c>
      <c r="H255" s="22">
        <v>56</v>
      </c>
      <c r="I255" s="22">
        <v>466</v>
      </c>
      <c r="J255" s="22">
        <v>10</v>
      </c>
      <c r="K255" s="22">
        <v>100</v>
      </c>
      <c r="L255" s="22">
        <v>18</v>
      </c>
      <c r="M255" s="22">
        <f>_xlfn.CEILING.MATH(F255*2)</f>
        <v>112</v>
      </c>
      <c r="N255" s="22">
        <f>H255*1.18</f>
        <v>66.08</v>
      </c>
      <c r="O255" s="22">
        <f>_xlfn.CEILING.MATH(F255*1.56)-1</f>
        <v>87</v>
      </c>
    </row>
    <row r="256" spans="1:15" s="22" customFormat="1">
      <c r="A256" s="22">
        <v>40</v>
      </c>
      <c r="B256" s="22" t="s">
        <v>270</v>
      </c>
      <c r="C256" s="22" t="s">
        <v>1508</v>
      </c>
      <c r="E256" s="22">
        <v>1</v>
      </c>
      <c r="F256" s="22">
        <v>57.5</v>
      </c>
      <c r="G256" s="30">
        <f>IF(OR(M256="",O256="",M256=0),"",(M256-O256)/M256)</f>
        <v>0.22608695652173913</v>
      </c>
      <c r="H256" s="22">
        <v>57.5</v>
      </c>
      <c r="I256" s="22">
        <v>946</v>
      </c>
      <c r="J256" s="22">
        <v>10</v>
      </c>
      <c r="K256" s="22">
        <v>100</v>
      </c>
      <c r="L256" s="22">
        <v>18</v>
      </c>
      <c r="M256" s="22">
        <f>_xlfn.CEILING.MATH(F256*2)</f>
        <v>115</v>
      </c>
      <c r="N256" s="22">
        <f>H256*1.18</f>
        <v>67.849999999999994</v>
      </c>
      <c r="O256" s="22">
        <f>_xlfn.CEILING.MATH(F256*1.56)-1</f>
        <v>89</v>
      </c>
    </row>
    <row r="257" spans="1:15" s="22" customFormat="1">
      <c r="A257" s="22">
        <v>41</v>
      </c>
      <c r="B257" s="22" t="s">
        <v>271</v>
      </c>
      <c r="C257" s="22" t="s">
        <v>1509</v>
      </c>
      <c r="E257" s="22">
        <v>1</v>
      </c>
      <c r="F257" s="22">
        <v>60</v>
      </c>
      <c r="G257" s="30">
        <f>IF(OR(M257="",O257="",M257=0),"",(M257-O257)/M257)</f>
        <v>0.22500000000000001</v>
      </c>
      <c r="H257" s="22">
        <v>60</v>
      </c>
      <c r="I257" s="22">
        <v>737</v>
      </c>
      <c r="J257" s="22">
        <v>6</v>
      </c>
      <c r="K257" s="22">
        <v>120</v>
      </c>
      <c r="L257" s="22">
        <v>18</v>
      </c>
      <c r="M257" s="22">
        <f>_xlfn.CEILING.MATH(F257*2)</f>
        <v>120</v>
      </c>
      <c r="N257" s="22">
        <f>H257*1.18</f>
        <v>70.8</v>
      </c>
      <c r="O257" s="22">
        <f>_xlfn.CEILING.MATH(F257*1.56)-1</f>
        <v>93</v>
      </c>
    </row>
    <row r="258" spans="1:15" s="22" customFormat="1">
      <c r="A258" s="22">
        <v>42</v>
      </c>
      <c r="B258" s="22" t="s">
        <v>272</v>
      </c>
      <c r="C258" s="22" t="s">
        <v>1510</v>
      </c>
      <c r="E258" s="22">
        <v>1</v>
      </c>
      <c r="F258" s="22">
        <v>65.5</v>
      </c>
      <c r="G258" s="30">
        <f>IF(OR(M258="",O258="",M258=0),"",(M258-O258)/M258)</f>
        <v>0.22137404580152673</v>
      </c>
      <c r="H258" s="22">
        <v>65.5</v>
      </c>
      <c r="I258" s="22">
        <v>1333</v>
      </c>
      <c r="J258" s="22">
        <v>6</v>
      </c>
      <c r="K258" s="22">
        <v>120</v>
      </c>
      <c r="L258" s="22">
        <v>18</v>
      </c>
      <c r="M258" s="22">
        <f>_xlfn.CEILING.MATH(F258*2)</f>
        <v>131</v>
      </c>
      <c r="N258" s="22">
        <f>H258*1.18</f>
        <v>77.289999999999992</v>
      </c>
      <c r="O258" s="22">
        <f>_xlfn.CEILING.MATH(F258*1.56)-1</f>
        <v>102</v>
      </c>
    </row>
    <row r="259" spans="1:15" s="22" customFormat="1">
      <c r="A259" s="22">
        <v>43</v>
      </c>
      <c r="B259" s="22" t="s">
        <v>273</v>
      </c>
      <c r="C259" s="22" t="s">
        <v>1511</v>
      </c>
      <c r="E259" s="22">
        <v>1</v>
      </c>
      <c r="F259" s="22">
        <v>70.5</v>
      </c>
      <c r="G259" s="30">
        <f>IF(OR(M259="",O259="",M259=0),"",(M259-O259)/M259)</f>
        <v>0.22695035460992907</v>
      </c>
      <c r="H259" s="22">
        <v>70.5</v>
      </c>
      <c r="I259" s="22">
        <v>600</v>
      </c>
      <c r="J259" s="22">
        <v>6</v>
      </c>
      <c r="K259" s="22">
        <v>120</v>
      </c>
      <c r="L259" s="22">
        <v>18</v>
      </c>
      <c r="M259" s="22">
        <f>_xlfn.CEILING.MATH(F259*2)</f>
        <v>141</v>
      </c>
      <c r="N259" s="22">
        <f>H259*1.18</f>
        <v>83.19</v>
      </c>
      <c r="O259" s="22">
        <f>_xlfn.CEILING.MATH(F259*1.56)-1</f>
        <v>109</v>
      </c>
    </row>
    <row r="260" spans="1:15" s="22" customFormat="1">
      <c r="A260" s="22">
        <v>44</v>
      </c>
      <c r="B260" s="22" t="s">
        <v>274</v>
      </c>
      <c r="C260" s="22" t="s">
        <v>1512</v>
      </c>
      <c r="E260" s="22">
        <v>1</v>
      </c>
      <c r="F260" s="22">
        <v>77</v>
      </c>
      <c r="G260" s="30">
        <f>IF(OR(M260="",O260="",M260=0),"",(M260-O260)/M260)</f>
        <v>0.22077922077922077</v>
      </c>
      <c r="H260" s="22">
        <v>77</v>
      </c>
      <c r="I260" s="22">
        <v>1205</v>
      </c>
      <c r="J260" s="22">
        <v>6</v>
      </c>
      <c r="K260" s="22">
        <v>120</v>
      </c>
      <c r="L260" s="22">
        <v>18</v>
      </c>
      <c r="M260" s="22">
        <f>_xlfn.CEILING.MATH(F260*2)</f>
        <v>154</v>
      </c>
      <c r="N260" s="22">
        <f>H260*1.18</f>
        <v>90.86</v>
      </c>
      <c r="O260" s="22">
        <f>_xlfn.CEILING.MATH(F260*1.56)-1</f>
        <v>120</v>
      </c>
    </row>
    <row r="261" spans="1:15" s="22" customFormat="1">
      <c r="A261" s="22">
        <v>45</v>
      </c>
      <c r="B261" s="22" t="s">
        <v>275</v>
      </c>
      <c r="C261" s="22" t="s">
        <v>1513</v>
      </c>
      <c r="E261" s="22">
        <v>1</v>
      </c>
      <c r="F261" s="22">
        <v>81</v>
      </c>
      <c r="G261" s="30">
        <f>IF(OR(M261="",O261="",M261=0),"",(M261-O261)/M261)</f>
        <v>0.22222222222222221</v>
      </c>
      <c r="H261" s="22">
        <v>81</v>
      </c>
      <c r="I261" s="22">
        <v>13</v>
      </c>
      <c r="J261" s="22">
        <v>6</v>
      </c>
      <c r="K261" s="22">
        <v>120</v>
      </c>
      <c r="L261" s="22">
        <v>18</v>
      </c>
      <c r="M261" s="22">
        <f>_xlfn.CEILING.MATH(F261*2)</f>
        <v>162</v>
      </c>
      <c r="N261" s="22">
        <f>H261*1.18</f>
        <v>95.58</v>
      </c>
      <c r="O261" s="22">
        <f>_xlfn.CEILING.MATH(F261*1.56)-1</f>
        <v>126</v>
      </c>
    </row>
    <row r="262" spans="1:15" s="22" customFormat="1">
      <c r="A262" s="22">
        <v>46</v>
      </c>
      <c r="B262" s="22" t="s">
        <v>276</v>
      </c>
      <c r="C262" s="22" t="s">
        <v>1514</v>
      </c>
      <c r="E262" s="22">
        <v>1</v>
      </c>
      <c r="F262" s="22">
        <v>91.5</v>
      </c>
      <c r="G262" s="30">
        <f>IF(OR(M262="",O262="",M262=0),"",(M262-O262)/M262)</f>
        <v>0.22404371584699453</v>
      </c>
      <c r="H262" s="22">
        <v>91.5</v>
      </c>
      <c r="I262" s="22">
        <v>196</v>
      </c>
      <c r="J262" s="22">
        <v>6</v>
      </c>
      <c r="K262" s="22">
        <v>120</v>
      </c>
      <c r="L262" s="22">
        <v>18</v>
      </c>
      <c r="M262" s="22">
        <f>_xlfn.CEILING.MATH(F262*2)</f>
        <v>183</v>
      </c>
      <c r="N262" s="22">
        <f>H262*1.18</f>
        <v>107.97</v>
      </c>
      <c r="O262" s="22">
        <f>_xlfn.CEILING.MATH(F262*1.56)-1</f>
        <v>142</v>
      </c>
    </row>
    <row r="263" spans="1:15" s="22" customFormat="1">
      <c r="A263" s="22">
        <v>47</v>
      </c>
      <c r="B263" s="22" t="s">
        <v>277</v>
      </c>
      <c r="C263" s="22" t="s">
        <v>1515</v>
      </c>
      <c r="E263" s="22">
        <v>1</v>
      </c>
      <c r="F263" s="22">
        <v>93</v>
      </c>
      <c r="G263" s="30">
        <f>IF(OR(M263="",O263="",M263=0),"",(M263-O263)/M263)</f>
        <v>0.22043010752688172</v>
      </c>
      <c r="H263" s="22">
        <v>93</v>
      </c>
      <c r="I263" s="22">
        <v>1048</v>
      </c>
      <c r="J263" s="22">
        <v>6</v>
      </c>
      <c r="K263" s="22">
        <v>48</v>
      </c>
      <c r="L263" s="22">
        <v>18</v>
      </c>
      <c r="M263" s="22">
        <f>_xlfn.CEILING.MATH(F263*2)</f>
        <v>186</v>
      </c>
      <c r="N263" s="22">
        <f>H263*1.18</f>
        <v>109.74</v>
      </c>
      <c r="O263" s="22">
        <f>_xlfn.CEILING.MATH(F263*1.56)-1</f>
        <v>145</v>
      </c>
    </row>
    <row r="264" spans="1:15" s="22" customFormat="1">
      <c r="A264" s="22">
        <v>48</v>
      </c>
      <c r="B264" s="22" t="s">
        <v>278</v>
      </c>
      <c r="C264" s="22" t="s">
        <v>1516</v>
      </c>
      <c r="E264" s="22">
        <v>1</v>
      </c>
      <c r="F264" s="22">
        <v>109.5</v>
      </c>
      <c r="G264" s="30">
        <f>IF(OR(M264="",O264="",M264=0),"",(M264-O264)/M264)</f>
        <v>0.22374429223744291</v>
      </c>
      <c r="H264" s="22">
        <v>109.5</v>
      </c>
      <c r="I264" s="22">
        <v>72</v>
      </c>
      <c r="J264" s="22">
        <v>6</v>
      </c>
      <c r="K264" s="22">
        <v>48</v>
      </c>
      <c r="L264" s="22">
        <v>18</v>
      </c>
      <c r="M264" s="22">
        <f>_xlfn.CEILING.MATH(F264*2)</f>
        <v>219</v>
      </c>
      <c r="N264" s="22">
        <f>H264*1.18</f>
        <v>129.20999999999998</v>
      </c>
      <c r="O264" s="22">
        <f>_xlfn.CEILING.MATH(F264*1.56)-1</f>
        <v>170</v>
      </c>
    </row>
    <row r="265" spans="1:15" s="22" customFormat="1">
      <c r="A265" s="22">
        <v>49</v>
      </c>
      <c r="B265" s="22" t="s">
        <v>279</v>
      </c>
      <c r="C265" s="22" t="s">
        <v>1517</v>
      </c>
      <c r="E265" s="22">
        <v>1</v>
      </c>
      <c r="F265" s="22">
        <v>109.5</v>
      </c>
      <c r="G265" s="30">
        <f>IF(OR(M265="",O265="",M265=0),"",(M265-O265)/M265)</f>
        <v>0.22374429223744291</v>
      </c>
      <c r="H265" s="22">
        <v>109.5</v>
      </c>
      <c r="I265" s="22">
        <v>198</v>
      </c>
      <c r="J265" s="22">
        <v>6</v>
      </c>
      <c r="K265" s="22">
        <v>48</v>
      </c>
      <c r="L265" s="22">
        <v>18</v>
      </c>
      <c r="M265" s="22">
        <f>_xlfn.CEILING.MATH(F265*2)</f>
        <v>219</v>
      </c>
      <c r="N265" s="22">
        <f>H265*1.18</f>
        <v>129.20999999999998</v>
      </c>
      <c r="O265" s="22">
        <f>_xlfn.CEILING.MATH(F265*1.56)-1</f>
        <v>170</v>
      </c>
    </row>
    <row r="266" spans="1:15" s="22" customFormat="1">
      <c r="A266" s="22">
        <v>50</v>
      </c>
      <c r="B266" s="22" t="s">
        <v>280</v>
      </c>
      <c r="C266" s="22" t="s">
        <v>1518</v>
      </c>
      <c r="E266" s="22">
        <v>1</v>
      </c>
      <c r="F266" s="22">
        <v>117.5</v>
      </c>
      <c r="G266" s="30">
        <f>IF(OR(M266="",O266="",M266=0),"",(M266-O266)/M266)</f>
        <v>0.22127659574468084</v>
      </c>
      <c r="H266" s="22">
        <v>117.5</v>
      </c>
      <c r="I266" s="22">
        <v>130</v>
      </c>
      <c r="J266" s="22">
        <v>6</v>
      </c>
      <c r="K266" s="22">
        <v>48</v>
      </c>
      <c r="L266" s="22">
        <v>18</v>
      </c>
      <c r="M266" s="22">
        <f>_xlfn.CEILING.MATH(F266*2)</f>
        <v>235</v>
      </c>
      <c r="N266" s="22">
        <f>H266*1.18</f>
        <v>138.65</v>
      </c>
      <c r="O266" s="22">
        <f>_xlfn.CEILING.MATH(F266*1.56)-1</f>
        <v>183</v>
      </c>
    </row>
    <row r="267" spans="1:15" s="22" customFormat="1">
      <c r="A267" s="22">
        <v>51</v>
      </c>
      <c r="B267" s="22" t="s">
        <v>281</v>
      </c>
      <c r="C267" s="22" t="s">
        <v>1519</v>
      </c>
      <c r="E267" s="22">
        <v>1</v>
      </c>
      <c r="F267" s="22">
        <v>129.5</v>
      </c>
      <c r="G267" s="30">
        <f>IF(OR(M267="",O267="",M267=0),"",(M267-O267)/M267)</f>
        <v>0.22007722007722008</v>
      </c>
      <c r="H267" s="22">
        <v>129.5</v>
      </c>
      <c r="I267" s="22">
        <v>424</v>
      </c>
      <c r="J267" s="22">
        <v>6</v>
      </c>
      <c r="K267" s="22">
        <v>48</v>
      </c>
      <c r="L267" s="22">
        <v>18</v>
      </c>
      <c r="M267" s="22">
        <f>_xlfn.CEILING.MATH(F267*2)</f>
        <v>259</v>
      </c>
      <c r="N267" s="22">
        <f>H267*1.18</f>
        <v>152.81</v>
      </c>
      <c r="O267" s="22">
        <f>_xlfn.CEILING.MATH(F267*1.56)-1</f>
        <v>202</v>
      </c>
    </row>
    <row r="268" spans="1:15" s="22" customFormat="1">
      <c r="A268" s="22">
        <v>52</v>
      </c>
      <c r="B268" s="22" t="s">
        <v>282</v>
      </c>
      <c r="C268" s="22" t="s">
        <v>1520</v>
      </c>
      <c r="E268" s="22">
        <v>1</v>
      </c>
      <c r="F268" s="22">
        <v>133.5</v>
      </c>
      <c r="G268" s="30">
        <f>IF(OR(M268="",O268="",M268=0),"",(M268-O268)/M268)</f>
        <v>0.22097378277153559</v>
      </c>
      <c r="H268" s="22">
        <v>133.5</v>
      </c>
      <c r="I268" s="22">
        <v>314</v>
      </c>
      <c r="J268" s="22">
        <v>6</v>
      </c>
      <c r="K268" s="22">
        <v>48</v>
      </c>
      <c r="L268" s="22">
        <v>18</v>
      </c>
      <c r="M268" s="22">
        <f>_xlfn.CEILING.MATH(F268*2)</f>
        <v>267</v>
      </c>
      <c r="N268" s="22">
        <f>H268*1.18</f>
        <v>157.53</v>
      </c>
      <c r="O268" s="22">
        <f>_xlfn.CEILING.MATH(F268*1.56)-1</f>
        <v>208</v>
      </c>
    </row>
    <row r="269" spans="1:15" s="22" customFormat="1">
      <c r="A269" s="22">
        <v>53</v>
      </c>
      <c r="B269" s="22" t="s">
        <v>283</v>
      </c>
      <c r="C269" s="22" t="s">
        <v>1521</v>
      </c>
      <c r="E269" s="22">
        <v>1</v>
      </c>
      <c r="F269" s="22">
        <v>136.5</v>
      </c>
      <c r="G269" s="30">
        <f>IF(OR(M269="",O269="",M269=0),"",(M269-O269)/M269)</f>
        <v>0.22344322344322345</v>
      </c>
      <c r="H269" s="22">
        <v>136.5</v>
      </c>
      <c r="I269" s="22">
        <v>292</v>
      </c>
      <c r="J269" s="22">
        <v>6</v>
      </c>
      <c r="K269" s="22">
        <v>48</v>
      </c>
      <c r="L269" s="22">
        <v>18</v>
      </c>
      <c r="M269" s="22">
        <f>_xlfn.CEILING.MATH(F269*2)</f>
        <v>273</v>
      </c>
      <c r="N269" s="22">
        <f>H269*1.18</f>
        <v>161.07</v>
      </c>
      <c r="O269" s="22">
        <f>_xlfn.CEILING.MATH(F269*1.56)-1</f>
        <v>212</v>
      </c>
    </row>
    <row r="270" spans="1:15" s="22" customFormat="1">
      <c r="A270" s="22">
        <v>54</v>
      </c>
      <c r="B270" s="22" t="s">
        <v>284</v>
      </c>
      <c r="C270" s="22" t="s">
        <v>1522</v>
      </c>
      <c r="E270" s="22">
        <v>1</v>
      </c>
      <c r="F270" s="22">
        <v>141.5</v>
      </c>
      <c r="G270" s="30">
        <f>IF(OR(M270="",O270="",M270=0),"",(M270-O270)/M270)</f>
        <v>0.22261484098939929</v>
      </c>
      <c r="H270" s="22">
        <v>141.5</v>
      </c>
      <c r="I270" s="22">
        <v>352</v>
      </c>
      <c r="J270" s="22">
        <v>6</v>
      </c>
      <c r="K270" s="22">
        <v>48</v>
      </c>
      <c r="L270" s="22">
        <v>18</v>
      </c>
      <c r="M270" s="22">
        <f>_xlfn.CEILING.MATH(F270*2)</f>
        <v>283</v>
      </c>
      <c r="N270" s="22">
        <f>H270*1.18</f>
        <v>166.97</v>
      </c>
      <c r="O270" s="22">
        <f>_xlfn.CEILING.MATH(F270*1.56)-1</f>
        <v>220</v>
      </c>
    </row>
    <row r="271" spans="1:15" s="22" customFormat="1">
      <c r="A271" s="22">
        <v>55</v>
      </c>
      <c r="B271" s="22" t="s">
        <v>285</v>
      </c>
      <c r="C271" s="22" t="s">
        <v>1523</v>
      </c>
      <c r="E271" s="22">
        <v>1</v>
      </c>
      <c r="F271" s="22">
        <v>130.5</v>
      </c>
      <c r="G271" s="30">
        <f>IF(OR(M271="",O271="",M271=0),"",(M271-O271)/M271)</f>
        <v>0.22222222222222221</v>
      </c>
      <c r="H271" s="22">
        <v>130.5</v>
      </c>
      <c r="I271" s="22">
        <v>2306</v>
      </c>
      <c r="J271" s="22">
        <v>6</v>
      </c>
      <c r="K271" s="22">
        <v>48</v>
      </c>
      <c r="L271" s="22">
        <v>18</v>
      </c>
      <c r="M271" s="22">
        <f>_xlfn.CEILING.MATH(F271*2)</f>
        <v>261</v>
      </c>
      <c r="N271" s="22">
        <f>H271*1.18</f>
        <v>153.98999999999998</v>
      </c>
      <c r="O271" s="22">
        <f>_xlfn.CEILING.MATH(F271*1.56)-1</f>
        <v>203</v>
      </c>
    </row>
    <row r="272" spans="1:15" s="22" customFormat="1">
      <c r="A272" s="22">
        <v>56</v>
      </c>
      <c r="B272" s="22" t="s">
        <v>286</v>
      </c>
      <c r="C272" s="22" t="s">
        <v>1524</v>
      </c>
      <c r="E272" s="22">
        <v>1</v>
      </c>
      <c r="F272" s="22">
        <v>202.5</v>
      </c>
      <c r="G272" s="30">
        <f>IF(OR(M272="",O272="",M272=0),"",(M272-O272)/M272)</f>
        <v>0.22222222222222221</v>
      </c>
      <c r="H272" s="22">
        <v>202.5</v>
      </c>
      <c r="I272" s="22">
        <v>760</v>
      </c>
      <c r="J272" s="22">
        <v>6</v>
      </c>
      <c r="K272" s="22">
        <v>48</v>
      </c>
      <c r="L272" s="22">
        <v>18</v>
      </c>
      <c r="M272" s="22">
        <f>_xlfn.CEILING.MATH(F272*2)</f>
        <v>405</v>
      </c>
      <c r="N272" s="22">
        <f>H272*1.18</f>
        <v>238.95</v>
      </c>
      <c r="O272" s="22">
        <f>_xlfn.CEILING.MATH(F272*1.56)-1</f>
        <v>315</v>
      </c>
    </row>
    <row r="273" spans="1:15" s="22" customFormat="1">
      <c r="A273" s="22">
        <v>57</v>
      </c>
      <c r="B273" s="22" t="s">
        <v>287</v>
      </c>
      <c r="C273" s="22" t="s">
        <v>1525</v>
      </c>
      <c r="E273" s="22">
        <v>1</v>
      </c>
      <c r="F273" s="22">
        <v>108</v>
      </c>
      <c r="G273" s="30">
        <f>IF(OR(M273="",O273="",M273=0),"",(M273-O273)/M273)</f>
        <v>0.22222222222222221</v>
      </c>
      <c r="H273" s="22">
        <v>108</v>
      </c>
      <c r="I273" s="22">
        <v>1</v>
      </c>
      <c r="J273" s="22">
        <v>6</v>
      </c>
      <c r="K273" s="22">
        <v>120</v>
      </c>
      <c r="L273" s="22">
        <v>18</v>
      </c>
      <c r="M273" s="22">
        <f>_xlfn.CEILING.MATH(F273*2)</f>
        <v>216</v>
      </c>
      <c r="N273" s="22">
        <f>H273*1.18</f>
        <v>127.44</v>
      </c>
      <c r="O273" s="22">
        <f>_xlfn.CEILING.MATH(F273*1.56)-1</f>
        <v>168</v>
      </c>
    </row>
    <row r="274" spans="1:15" s="22" customFormat="1">
      <c r="A274" s="22">
        <v>58</v>
      </c>
      <c r="B274" s="22" t="s">
        <v>288</v>
      </c>
      <c r="C274" s="22" t="s">
        <v>1526</v>
      </c>
      <c r="E274" s="22">
        <v>1</v>
      </c>
      <c r="F274" s="22">
        <v>2325</v>
      </c>
      <c r="G274" s="30">
        <f>IF(OR(M274="",O274="",M274=0),"",(M274-O274)/M274)</f>
        <v>0.22021505376344086</v>
      </c>
      <c r="H274" s="22">
        <v>2325</v>
      </c>
      <c r="I274" s="22">
        <v>1141</v>
      </c>
      <c r="J274" s="22">
        <v>1</v>
      </c>
      <c r="K274" s="22">
        <v>4</v>
      </c>
      <c r="L274" s="22">
        <v>18</v>
      </c>
      <c r="M274" s="22">
        <f>_xlfn.CEILING.MATH(F274*2)</f>
        <v>4650</v>
      </c>
      <c r="N274" s="22">
        <f>H274*1.18</f>
        <v>2743.5</v>
      </c>
      <c r="O274" s="22">
        <f>_xlfn.CEILING.MATH(F274*1.56)-1</f>
        <v>3626</v>
      </c>
    </row>
    <row r="275" spans="1:15" s="22" customFormat="1">
      <c r="A275" s="22">
        <v>59</v>
      </c>
      <c r="B275" s="22" t="s">
        <v>289</v>
      </c>
      <c r="C275" s="22" t="s">
        <v>1527</v>
      </c>
      <c r="E275" s="22">
        <v>1</v>
      </c>
      <c r="F275" s="22">
        <v>2677.5</v>
      </c>
      <c r="G275" s="30">
        <f>IF(OR(M275="",O275="",M275=0),"",(M275-O275)/M275)</f>
        <v>0.22016806722689075</v>
      </c>
      <c r="H275" s="22">
        <v>2677.5</v>
      </c>
      <c r="I275" s="22">
        <v>4446</v>
      </c>
      <c r="J275" s="22">
        <v>1</v>
      </c>
      <c r="K275" s="22">
        <v>5</v>
      </c>
      <c r="L275" s="22">
        <v>18</v>
      </c>
      <c r="M275" s="22">
        <f>_xlfn.CEILING.MATH(F275*2)</f>
        <v>5355</v>
      </c>
      <c r="N275" s="22">
        <f>H275*1.18</f>
        <v>3159.45</v>
      </c>
      <c r="O275" s="22">
        <f>_xlfn.CEILING.MATH(F275*1.56)-1</f>
        <v>4176</v>
      </c>
    </row>
    <row r="276" spans="1:15" s="22" customFormat="1">
      <c r="A276" s="22">
        <v>60</v>
      </c>
      <c r="B276" s="22" t="s">
        <v>290</v>
      </c>
      <c r="C276" s="22" t="s">
        <v>1528</v>
      </c>
      <c r="E276" s="22">
        <v>1</v>
      </c>
      <c r="F276" s="22">
        <v>127.5</v>
      </c>
      <c r="G276" s="30">
        <f>IF(OR(M276="",O276="",M276=0),"",(M276-O276)/M276)</f>
        <v>0.22352941176470589</v>
      </c>
      <c r="H276" s="22">
        <v>127.5</v>
      </c>
      <c r="I276" s="22">
        <v>6</v>
      </c>
      <c r="J276" s="22">
        <v>6</v>
      </c>
      <c r="K276" s="22">
        <v>120</v>
      </c>
      <c r="L276" s="22">
        <v>18</v>
      </c>
      <c r="M276" s="22">
        <f>_xlfn.CEILING.MATH(F276*2)</f>
        <v>255</v>
      </c>
      <c r="N276" s="22">
        <f>H276*1.18</f>
        <v>150.44999999999999</v>
      </c>
      <c r="O276" s="22">
        <f>_xlfn.CEILING.MATH(F276*1.56)-1</f>
        <v>198</v>
      </c>
    </row>
    <row r="277" spans="1:15" s="22" customFormat="1">
      <c r="A277" s="22">
        <v>61</v>
      </c>
      <c r="B277" s="22" t="s">
        <v>291</v>
      </c>
      <c r="C277" s="22" t="s">
        <v>1529</v>
      </c>
      <c r="E277" s="22">
        <v>1</v>
      </c>
      <c r="F277" s="22">
        <v>127.5</v>
      </c>
      <c r="G277" s="30">
        <f>IF(OR(M277="",O277="",M277=0),"",(M277-O277)/M277)</f>
        <v>0.22352941176470589</v>
      </c>
      <c r="H277" s="22">
        <v>127.5</v>
      </c>
      <c r="I277" s="22">
        <v>403</v>
      </c>
      <c r="J277" s="22">
        <v>6</v>
      </c>
      <c r="K277" s="22">
        <v>120</v>
      </c>
      <c r="L277" s="22">
        <v>18</v>
      </c>
      <c r="M277" s="22">
        <f>_xlfn.CEILING.MATH(F277*2)</f>
        <v>255</v>
      </c>
      <c r="N277" s="22">
        <f>H277*1.18</f>
        <v>150.44999999999999</v>
      </c>
      <c r="O277" s="22">
        <f>_xlfn.CEILING.MATH(F277*1.56)-1</f>
        <v>198</v>
      </c>
    </row>
    <row r="278" spans="1:15" s="22" customFormat="1">
      <c r="A278" s="22">
        <v>62</v>
      </c>
      <c r="B278" s="22" t="s">
        <v>292</v>
      </c>
      <c r="C278" s="22" t="s">
        <v>1530</v>
      </c>
      <c r="E278" s="22">
        <v>1</v>
      </c>
      <c r="F278" s="22">
        <v>127.5</v>
      </c>
      <c r="G278" s="30">
        <f>IF(OR(M278="",O278="",M278=0),"",(M278-O278)/M278)</f>
        <v>0.22352941176470589</v>
      </c>
      <c r="H278" s="22">
        <v>127.5</v>
      </c>
      <c r="I278" s="22">
        <v>115</v>
      </c>
      <c r="J278" s="22">
        <v>6</v>
      </c>
      <c r="K278" s="22">
        <v>120</v>
      </c>
      <c r="L278" s="22">
        <v>18</v>
      </c>
      <c r="M278" s="22">
        <f>_xlfn.CEILING.MATH(F278*2)</f>
        <v>255</v>
      </c>
      <c r="N278" s="22">
        <f>H278*1.18</f>
        <v>150.44999999999999</v>
      </c>
      <c r="O278" s="22">
        <f>_xlfn.CEILING.MATH(F278*1.56)-1</f>
        <v>198</v>
      </c>
    </row>
    <row r="279" spans="1:15" s="22" customFormat="1">
      <c r="A279" s="22">
        <v>63</v>
      </c>
      <c r="B279" s="22" t="s">
        <v>293</v>
      </c>
      <c r="C279" s="22" t="s">
        <v>1531</v>
      </c>
      <c r="E279" s="22">
        <v>1</v>
      </c>
      <c r="F279" s="22">
        <v>130.5</v>
      </c>
      <c r="G279" s="30">
        <f>IF(OR(M279="",O279="",M279=0),"",(M279-O279)/M279)</f>
        <v>0.22222222222222221</v>
      </c>
      <c r="H279" s="22">
        <v>130.5</v>
      </c>
      <c r="I279" s="22">
        <v>173</v>
      </c>
      <c r="J279" s="22">
        <v>6</v>
      </c>
      <c r="K279" s="22">
        <v>120</v>
      </c>
      <c r="L279" s="22">
        <v>18</v>
      </c>
      <c r="M279" s="22">
        <f>_xlfn.CEILING.MATH(F279*2)</f>
        <v>261</v>
      </c>
      <c r="N279" s="22">
        <f>H279*1.18</f>
        <v>153.98999999999998</v>
      </c>
      <c r="O279" s="22">
        <f>_xlfn.CEILING.MATH(F279*1.56)-1</f>
        <v>203</v>
      </c>
    </row>
    <row r="280" spans="1:15" s="22" customFormat="1">
      <c r="A280" s="22">
        <v>64</v>
      </c>
      <c r="B280" s="22" t="s">
        <v>294</v>
      </c>
      <c r="C280" s="22" t="s">
        <v>1532</v>
      </c>
      <c r="E280" s="22">
        <v>1</v>
      </c>
      <c r="F280" s="22">
        <v>130.5</v>
      </c>
      <c r="G280" s="30">
        <f>IF(OR(M280="",O280="",M280=0),"",(M280-O280)/M280)</f>
        <v>0.22222222222222221</v>
      </c>
      <c r="H280" s="22">
        <v>130.5</v>
      </c>
      <c r="I280" s="22">
        <v>381</v>
      </c>
      <c r="J280" s="22">
        <v>6</v>
      </c>
      <c r="K280" s="22">
        <v>120</v>
      </c>
      <c r="L280" s="22">
        <v>18</v>
      </c>
      <c r="M280" s="22">
        <f>_xlfn.CEILING.MATH(F280*2)</f>
        <v>261</v>
      </c>
      <c r="N280" s="22">
        <f>H280*1.18</f>
        <v>153.98999999999998</v>
      </c>
      <c r="O280" s="22">
        <f>_xlfn.CEILING.MATH(F280*1.56)-1</f>
        <v>203</v>
      </c>
    </row>
    <row r="281" spans="1:15" s="22" customFormat="1">
      <c r="A281" s="22">
        <v>65</v>
      </c>
      <c r="B281" s="22" t="s">
        <v>295</v>
      </c>
      <c r="C281" s="22" t="s">
        <v>1533</v>
      </c>
      <c r="E281" s="22">
        <v>1</v>
      </c>
      <c r="F281" s="22">
        <v>136.5</v>
      </c>
      <c r="G281" s="30">
        <f>IF(OR(M281="",O281="",M281=0),"",(M281-O281)/M281)</f>
        <v>0.22344322344322345</v>
      </c>
      <c r="H281" s="22">
        <v>136.5</v>
      </c>
      <c r="I281" s="22">
        <v>284</v>
      </c>
      <c r="J281" s="22">
        <v>10</v>
      </c>
      <c r="K281" s="22">
        <v>60</v>
      </c>
      <c r="L281" s="22">
        <v>18</v>
      </c>
      <c r="M281" s="22">
        <f>_xlfn.CEILING.MATH(F281*2)</f>
        <v>273</v>
      </c>
      <c r="N281" s="22">
        <f>H281*1.18</f>
        <v>161.07</v>
      </c>
      <c r="O281" s="22">
        <f>_xlfn.CEILING.MATH(F281*1.56)-1</f>
        <v>212</v>
      </c>
    </row>
    <row r="282" spans="1:15" s="22" customFormat="1">
      <c r="A282" s="22">
        <v>66</v>
      </c>
      <c r="B282" s="22" t="s">
        <v>296</v>
      </c>
      <c r="C282" s="22" t="s">
        <v>1534</v>
      </c>
      <c r="E282" s="22">
        <v>1</v>
      </c>
      <c r="F282" s="22">
        <v>139.5</v>
      </c>
      <c r="G282" s="30">
        <f>IF(OR(M282="",O282="",M282=0),"",(M282-O282)/M282)</f>
        <v>0.22222222222222221</v>
      </c>
      <c r="H282" s="22">
        <v>139.5</v>
      </c>
      <c r="I282" s="22">
        <v>85</v>
      </c>
      <c r="J282" s="22">
        <v>6</v>
      </c>
      <c r="K282" s="22">
        <v>60</v>
      </c>
      <c r="L282" s="22">
        <v>18</v>
      </c>
      <c r="M282" s="22">
        <f>_xlfn.CEILING.MATH(F282*2)</f>
        <v>279</v>
      </c>
      <c r="N282" s="22">
        <f>H282*1.18</f>
        <v>164.60999999999999</v>
      </c>
      <c r="O282" s="22">
        <f>_xlfn.CEILING.MATH(F282*1.56)-1</f>
        <v>217</v>
      </c>
    </row>
    <row r="283" spans="1:15" s="22" customFormat="1">
      <c r="A283" s="22">
        <v>67</v>
      </c>
      <c r="B283" s="22" t="s">
        <v>297</v>
      </c>
      <c r="C283" s="22" t="s">
        <v>1535</v>
      </c>
      <c r="E283" s="22">
        <v>1</v>
      </c>
      <c r="F283" s="22">
        <v>183</v>
      </c>
      <c r="G283" s="30">
        <f>IF(OR(M283="",O283="",M283=0),"",(M283-O283)/M283)</f>
        <v>0.22131147540983606</v>
      </c>
      <c r="H283" s="22">
        <v>183</v>
      </c>
      <c r="I283" s="22">
        <v>406</v>
      </c>
      <c r="J283" s="22">
        <v>6</v>
      </c>
      <c r="K283" s="22">
        <v>60</v>
      </c>
      <c r="L283" s="22">
        <v>18</v>
      </c>
      <c r="M283" s="22">
        <f>_xlfn.CEILING.MATH(F283*2)</f>
        <v>366</v>
      </c>
      <c r="N283" s="22">
        <f>H283*1.18</f>
        <v>215.94</v>
      </c>
      <c r="O283" s="22">
        <f>_xlfn.CEILING.MATH(F283*1.56)-1</f>
        <v>285</v>
      </c>
    </row>
    <row r="284" spans="1:15" s="22" customFormat="1">
      <c r="A284" s="22">
        <v>68</v>
      </c>
      <c r="B284" s="22" t="s">
        <v>298</v>
      </c>
      <c r="C284" s="22" t="s">
        <v>1536</v>
      </c>
      <c r="E284" s="22">
        <v>1</v>
      </c>
      <c r="F284" s="22">
        <v>205.5</v>
      </c>
      <c r="G284" s="30">
        <f>IF(OR(M284="",O284="",M284=0),"",(M284-O284)/M284)</f>
        <v>0.22141119221411193</v>
      </c>
      <c r="H284" s="22">
        <v>205.5</v>
      </c>
      <c r="I284" s="22">
        <v>145</v>
      </c>
      <c r="J284" s="22">
        <v>6</v>
      </c>
      <c r="K284" s="22">
        <v>48</v>
      </c>
      <c r="L284" s="22">
        <v>18</v>
      </c>
      <c r="M284" s="22">
        <f>_xlfn.CEILING.MATH(F284*2)</f>
        <v>411</v>
      </c>
      <c r="N284" s="22">
        <f>H284*1.18</f>
        <v>242.48999999999998</v>
      </c>
      <c r="O284" s="22">
        <f>_xlfn.CEILING.MATH(F284*1.56)-1</f>
        <v>320</v>
      </c>
    </row>
    <row r="285" spans="1:15" s="22" customFormat="1">
      <c r="A285" s="22">
        <v>69</v>
      </c>
      <c r="B285" s="22" t="s">
        <v>299</v>
      </c>
      <c r="C285" s="22" t="s">
        <v>1537</v>
      </c>
      <c r="E285" s="22">
        <v>1</v>
      </c>
      <c r="F285" s="22">
        <v>219</v>
      </c>
      <c r="G285" s="30">
        <f>IF(OR(M285="",O285="",M285=0),"",(M285-O285)/M285)</f>
        <v>0.22146118721461186</v>
      </c>
      <c r="H285" s="22">
        <v>219</v>
      </c>
      <c r="I285" s="22">
        <v>97</v>
      </c>
      <c r="J285" s="22">
        <v>6</v>
      </c>
      <c r="K285" s="22">
        <v>48</v>
      </c>
      <c r="L285" s="22">
        <v>18</v>
      </c>
      <c r="M285" s="22">
        <f>_xlfn.CEILING.MATH(F285*2)</f>
        <v>438</v>
      </c>
      <c r="N285" s="22">
        <f>H285*1.18</f>
        <v>258.41999999999996</v>
      </c>
      <c r="O285" s="22">
        <f>_xlfn.CEILING.MATH(F285*1.56)-1</f>
        <v>341</v>
      </c>
    </row>
    <row r="286" spans="1:15" s="22" customFormat="1">
      <c r="A286" s="22">
        <v>70</v>
      </c>
      <c r="B286" s="22" t="s">
        <v>300</v>
      </c>
      <c r="C286" s="22" t="s">
        <v>1538</v>
      </c>
      <c r="E286" s="22">
        <v>1</v>
      </c>
      <c r="F286" s="22">
        <v>46</v>
      </c>
      <c r="G286" s="30">
        <f>IF(OR(M286="",O286="",M286=0),"",(M286-O286)/M286)</f>
        <v>0.22826086956521738</v>
      </c>
      <c r="H286" s="22">
        <v>46</v>
      </c>
      <c r="I286" s="22">
        <v>926</v>
      </c>
      <c r="J286" s="22">
        <v>10</v>
      </c>
      <c r="K286" s="22">
        <v>100</v>
      </c>
      <c r="L286" s="22">
        <v>18</v>
      </c>
      <c r="M286" s="22">
        <f>_xlfn.CEILING.MATH(F286*2)</f>
        <v>92</v>
      </c>
      <c r="N286" s="22">
        <f>H286*1.18</f>
        <v>54.279999999999994</v>
      </c>
      <c r="O286" s="22">
        <f>_xlfn.CEILING.MATH(F286*1.56)-1</f>
        <v>71</v>
      </c>
    </row>
    <row r="287" spans="1:15" s="22" customFormat="1">
      <c r="A287" s="22">
        <v>71</v>
      </c>
      <c r="B287" s="22" t="s">
        <v>301</v>
      </c>
      <c r="C287" s="22" t="s">
        <v>1539</v>
      </c>
      <c r="E287" s="22">
        <v>1</v>
      </c>
      <c r="F287" s="22">
        <v>46</v>
      </c>
      <c r="G287" s="30">
        <f>IF(OR(M287="",O287="",M287=0),"",(M287-O287)/M287)</f>
        <v>0.22826086956521738</v>
      </c>
      <c r="H287" s="22">
        <v>46</v>
      </c>
      <c r="I287" s="22">
        <v>260</v>
      </c>
      <c r="J287" s="22">
        <v>10</v>
      </c>
      <c r="K287" s="22">
        <v>100</v>
      </c>
      <c r="L287" s="22">
        <v>18</v>
      </c>
      <c r="M287" s="22">
        <f>_xlfn.CEILING.MATH(F287*2)</f>
        <v>92</v>
      </c>
      <c r="N287" s="22">
        <f>H287*1.18</f>
        <v>54.279999999999994</v>
      </c>
      <c r="O287" s="22">
        <f>_xlfn.CEILING.MATH(F287*1.56)-1</f>
        <v>71</v>
      </c>
    </row>
    <row r="288" spans="1:15" s="22" customFormat="1">
      <c r="A288" s="22">
        <v>72</v>
      </c>
      <c r="B288" s="22" t="s">
        <v>302</v>
      </c>
      <c r="C288" s="22" t="s">
        <v>1540</v>
      </c>
      <c r="E288" s="22">
        <v>1</v>
      </c>
      <c r="F288" s="22">
        <v>46</v>
      </c>
      <c r="G288" s="30">
        <f>IF(OR(M288="",O288="",M288=0),"",(M288-O288)/M288)</f>
        <v>0.22826086956521738</v>
      </c>
      <c r="H288" s="22">
        <v>46</v>
      </c>
      <c r="I288" s="22">
        <v>2169</v>
      </c>
      <c r="J288" s="22">
        <v>10</v>
      </c>
      <c r="K288" s="22">
        <v>100</v>
      </c>
      <c r="L288" s="22">
        <v>18</v>
      </c>
      <c r="M288" s="22">
        <f>_xlfn.CEILING.MATH(F288*2)</f>
        <v>92</v>
      </c>
      <c r="N288" s="22">
        <f>H288*1.18</f>
        <v>54.279999999999994</v>
      </c>
      <c r="O288" s="22">
        <f>_xlfn.CEILING.MATH(F288*1.56)-1</f>
        <v>71</v>
      </c>
    </row>
    <row r="289" spans="1:15" s="22" customFormat="1">
      <c r="A289" s="22">
        <v>73</v>
      </c>
      <c r="B289" s="22" t="s">
        <v>303</v>
      </c>
      <c r="C289" s="22" t="s">
        <v>1541</v>
      </c>
      <c r="E289" s="22">
        <v>1</v>
      </c>
      <c r="F289" s="22">
        <v>46</v>
      </c>
      <c r="G289" s="30">
        <f>IF(OR(M289="",O289="",M289=0),"",(M289-O289)/M289)</f>
        <v>0.22826086956521738</v>
      </c>
      <c r="H289" s="22">
        <v>46</v>
      </c>
      <c r="I289" s="22">
        <v>0</v>
      </c>
      <c r="J289" s="22">
        <v>10</v>
      </c>
      <c r="K289" s="22">
        <v>100</v>
      </c>
      <c r="L289" s="22">
        <v>18</v>
      </c>
      <c r="M289" s="22">
        <f>_xlfn.CEILING.MATH(F289*2)</f>
        <v>92</v>
      </c>
      <c r="N289" s="22">
        <f>H289*1.18</f>
        <v>54.279999999999994</v>
      </c>
      <c r="O289" s="22">
        <f>_xlfn.CEILING.MATH(F289*1.56)-1</f>
        <v>71</v>
      </c>
    </row>
    <row r="290" spans="1:15" s="22" customFormat="1">
      <c r="A290" s="22">
        <v>74</v>
      </c>
      <c r="B290" s="22" t="s">
        <v>304</v>
      </c>
      <c r="C290" s="22" t="s">
        <v>1542</v>
      </c>
      <c r="E290" s="22">
        <v>1</v>
      </c>
      <c r="F290" s="22">
        <v>50.5</v>
      </c>
      <c r="G290" s="30">
        <f>IF(OR(M290="",O290="",M290=0),"",(M290-O290)/M290)</f>
        <v>0.22772277227722773</v>
      </c>
      <c r="H290" s="22">
        <v>50.5</v>
      </c>
      <c r="I290" s="22">
        <v>2359</v>
      </c>
      <c r="J290" s="22">
        <v>10</v>
      </c>
      <c r="K290" s="22">
        <v>100</v>
      </c>
      <c r="L290" s="22">
        <v>18</v>
      </c>
      <c r="M290" s="22">
        <f>_xlfn.CEILING.MATH(F290*2)</f>
        <v>101</v>
      </c>
      <c r="N290" s="22">
        <f>H290*1.18</f>
        <v>59.589999999999996</v>
      </c>
      <c r="O290" s="22">
        <f>_xlfn.CEILING.MATH(F290*1.56)-1</f>
        <v>78</v>
      </c>
    </row>
    <row r="291" spans="1:15" s="22" customFormat="1">
      <c r="A291" s="22">
        <v>75</v>
      </c>
      <c r="B291" s="22" t="s">
        <v>305</v>
      </c>
      <c r="C291" s="22" t="s">
        <v>1543</v>
      </c>
      <c r="E291" s="22">
        <v>1</v>
      </c>
      <c r="F291" s="22">
        <v>50.5</v>
      </c>
      <c r="G291" s="30">
        <f>IF(OR(M291="",O291="",M291=0),"",(M291-O291)/M291)</f>
        <v>0.22772277227722773</v>
      </c>
      <c r="H291" s="22">
        <v>50.5</v>
      </c>
      <c r="I291" s="22">
        <v>3090</v>
      </c>
      <c r="J291" s="22">
        <v>10</v>
      </c>
      <c r="K291" s="22">
        <v>100</v>
      </c>
      <c r="L291" s="22">
        <v>18</v>
      </c>
      <c r="M291" s="22">
        <f>_xlfn.CEILING.MATH(F291*2)</f>
        <v>101</v>
      </c>
      <c r="N291" s="22">
        <f>H291*1.18</f>
        <v>59.589999999999996</v>
      </c>
      <c r="O291" s="22">
        <f>_xlfn.CEILING.MATH(F291*1.56)-1</f>
        <v>78</v>
      </c>
    </row>
    <row r="292" spans="1:15" s="22" customFormat="1">
      <c r="A292" s="22">
        <v>76</v>
      </c>
      <c r="B292" s="22" t="s">
        <v>306</v>
      </c>
      <c r="C292" s="22" t="s">
        <v>1544</v>
      </c>
      <c r="E292" s="22">
        <v>1</v>
      </c>
      <c r="F292" s="22">
        <v>50.5</v>
      </c>
      <c r="G292" s="30">
        <f>IF(OR(M292="",O292="",M292=0),"",(M292-O292)/M292)</f>
        <v>0.22772277227722773</v>
      </c>
      <c r="H292" s="22">
        <v>50.5</v>
      </c>
      <c r="I292" s="22">
        <v>1515</v>
      </c>
      <c r="J292" s="22">
        <v>10</v>
      </c>
      <c r="K292" s="22">
        <v>100</v>
      </c>
      <c r="L292" s="22">
        <v>18</v>
      </c>
      <c r="M292" s="22">
        <f>_xlfn.CEILING.MATH(F292*2)</f>
        <v>101</v>
      </c>
      <c r="N292" s="22">
        <f>H292*1.18</f>
        <v>59.589999999999996</v>
      </c>
      <c r="O292" s="22">
        <f>_xlfn.CEILING.MATH(F292*1.56)-1</f>
        <v>78</v>
      </c>
    </row>
    <row r="293" spans="1:15" s="22" customFormat="1">
      <c r="A293" s="22">
        <v>77</v>
      </c>
      <c r="B293" s="22" t="s">
        <v>307</v>
      </c>
      <c r="C293" s="22" t="s">
        <v>1545</v>
      </c>
      <c r="E293" s="22">
        <v>1</v>
      </c>
      <c r="F293" s="22">
        <v>50.5</v>
      </c>
      <c r="G293" s="30">
        <f>IF(OR(M293="",O293="",M293=0),"",(M293-O293)/M293)</f>
        <v>0.22772277227722773</v>
      </c>
      <c r="H293" s="22">
        <v>50.5</v>
      </c>
      <c r="I293" s="22">
        <v>536</v>
      </c>
      <c r="J293" s="22">
        <v>10</v>
      </c>
      <c r="K293" s="22">
        <v>100</v>
      </c>
      <c r="L293" s="22">
        <v>18</v>
      </c>
      <c r="M293" s="22">
        <f>_xlfn.CEILING.MATH(F293*2)</f>
        <v>101</v>
      </c>
      <c r="N293" s="22">
        <f>H293*1.18</f>
        <v>59.589999999999996</v>
      </c>
      <c r="O293" s="22">
        <f>_xlfn.CEILING.MATH(F293*1.56)-1</f>
        <v>78</v>
      </c>
    </row>
    <row r="294" spans="1:15" s="22" customFormat="1">
      <c r="A294" s="22">
        <v>78</v>
      </c>
      <c r="B294" s="22" t="s">
        <v>308</v>
      </c>
      <c r="C294" s="22" t="s">
        <v>1546</v>
      </c>
      <c r="E294" s="22">
        <v>1</v>
      </c>
      <c r="F294" s="22">
        <v>56</v>
      </c>
      <c r="G294" s="30">
        <f>IF(OR(M294="",O294="",M294=0),"",(M294-O294)/M294)</f>
        <v>0.22321428571428573</v>
      </c>
      <c r="H294" s="22">
        <v>56</v>
      </c>
      <c r="I294" s="22">
        <v>1384</v>
      </c>
      <c r="J294" s="22">
        <v>10</v>
      </c>
      <c r="K294" s="22">
        <v>100</v>
      </c>
      <c r="L294" s="22">
        <v>18</v>
      </c>
      <c r="M294" s="22">
        <f>_xlfn.CEILING.MATH(F294*2)</f>
        <v>112</v>
      </c>
      <c r="N294" s="22">
        <f>H294*1.18</f>
        <v>66.08</v>
      </c>
      <c r="O294" s="22">
        <f>_xlfn.CEILING.MATH(F294*1.56)-1</f>
        <v>87</v>
      </c>
    </row>
    <row r="295" spans="1:15" s="22" customFormat="1">
      <c r="A295" s="22">
        <v>79</v>
      </c>
      <c r="B295" s="22" t="s">
        <v>309</v>
      </c>
      <c r="C295" s="22" t="s">
        <v>1547</v>
      </c>
      <c r="E295" s="22">
        <v>1</v>
      </c>
      <c r="F295" s="22">
        <v>57.5</v>
      </c>
      <c r="G295" s="30">
        <f>IF(OR(M295="",O295="",M295=0),"",(M295-O295)/M295)</f>
        <v>0.22608695652173913</v>
      </c>
      <c r="H295" s="22">
        <v>57.5</v>
      </c>
      <c r="I295" s="22">
        <v>4076</v>
      </c>
      <c r="J295" s="22">
        <v>10</v>
      </c>
      <c r="K295" s="22">
        <v>100</v>
      </c>
      <c r="L295" s="22">
        <v>18</v>
      </c>
      <c r="M295" s="22">
        <f>_xlfn.CEILING.MATH(F295*2)</f>
        <v>115</v>
      </c>
      <c r="N295" s="22">
        <f>H295*1.18</f>
        <v>67.849999999999994</v>
      </c>
      <c r="O295" s="22">
        <f>_xlfn.CEILING.MATH(F295*1.56)-1</f>
        <v>89</v>
      </c>
    </row>
    <row r="296" spans="1:15" s="22" customFormat="1">
      <c r="A296" s="22">
        <v>80</v>
      </c>
      <c r="B296" s="22" t="s">
        <v>310</v>
      </c>
      <c r="C296" s="22" t="s">
        <v>1548</v>
      </c>
      <c r="E296" s="22">
        <v>1</v>
      </c>
      <c r="F296" s="22">
        <v>60</v>
      </c>
      <c r="G296" s="30">
        <f>IF(OR(M296="",O296="",M296=0),"",(M296-O296)/M296)</f>
        <v>0.22500000000000001</v>
      </c>
      <c r="H296" s="22">
        <v>60</v>
      </c>
      <c r="I296" s="22">
        <v>1834</v>
      </c>
      <c r="J296" s="22">
        <v>6</v>
      </c>
      <c r="K296" s="22">
        <v>120</v>
      </c>
      <c r="L296" s="22">
        <v>18</v>
      </c>
      <c r="M296" s="22">
        <f>_xlfn.CEILING.MATH(F296*2)</f>
        <v>120</v>
      </c>
      <c r="N296" s="22">
        <f>H296*1.18</f>
        <v>70.8</v>
      </c>
      <c r="O296" s="22">
        <f>_xlfn.CEILING.MATH(F296*1.56)-1</f>
        <v>93</v>
      </c>
    </row>
    <row r="297" spans="1:15" s="22" customFormat="1">
      <c r="A297" s="22">
        <v>81</v>
      </c>
      <c r="B297" s="22" t="s">
        <v>311</v>
      </c>
      <c r="C297" s="22" t="s">
        <v>1549</v>
      </c>
      <c r="E297" s="22">
        <v>1</v>
      </c>
      <c r="F297" s="22">
        <v>65.5</v>
      </c>
      <c r="G297" s="30">
        <f>IF(OR(M297="",O297="",M297=0),"",(M297-O297)/M297)</f>
        <v>0.22137404580152673</v>
      </c>
      <c r="H297" s="22">
        <v>65.5</v>
      </c>
      <c r="I297" s="22">
        <v>3407</v>
      </c>
      <c r="J297" s="22">
        <v>6</v>
      </c>
      <c r="K297" s="22">
        <v>120</v>
      </c>
      <c r="L297" s="22">
        <v>18</v>
      </c>
      <c r="M297" s="22">
        <f>_xlfn.CEILING.MATH(F297*2)</f>
        <v>131</v>
      </c>
      <c r="N297" s="22">
        <f>H297*1.18</f>
        <v>77.289999999999992</v>
      </c>
      <c r="O297" s="22">
        <f>_xlfn.CEILING.MATH(F297*1.56)-1</f>
        <v>102</v>
      </c>
    </row>
    <row r="298" spans="1:15" s="22" customFormat="1">
      <c r="A298" s="22">
        <v>82</v>
      </c>
      <c r="B298" s="22" t="s">
        <v>312</v>
      </c>
      <c r="C298" s="22" t="s">
        <v>1550</v>
      </c>
      <c r="E298" s="22">
        <v>1</v>
      </c>
      <c r="F298" s="22">
        <v>70.5</v>
      </c>
      <c r="G298" s="30">
        <f>IF(OR(M298="",O298="",M298=0),"",(M298-O298)/M298)</f>
        <v>0.22695035460992907</v>
      </c>
      <c r="H298" s="22">
        <v>70.5</v>
      </c>
      <c r="I298" s="22">
        <v>1092</v>
      </c>
      <c r="J298" s="22">
        <v>6</v>
      </c>
      <c r="K298" s="22">
        <v>120</v>
      </c>
      <c r="L298" s="22">
        <v>18</v>
      </c>
      <c r="M298" s="22">
        <f>_xlfn.CEILING.MATH(F298*2)</f>
        <v>141</v>
      </c>
      <c r="N298" s="22">
        <f>H298*1.18</f>
        <v>83.19</v>
      </c>
      <c r="O298" s="22">
        <f>_xlfn.CEILING.MATH(F298*1.56)-1</f>
        <v>109</v>
      </c>
    </row>
    <row r="299" spans="1:15" s="22" customFormat="1">
      <c r="A299" s="22">
        <v>83</v>
      </c>
      <c r="B299" s="22" t="s">
        <v>313</v>
      </c>
      <c r="C299" s="22" t="s">
        <v>1551</v>
      </c>
      <c r="E299" s="22">
        <v>1</v>
      </c>
      <c r="F299" s="22">
        <v>77</v>
      </c>
      <c r="G299" s="30">
        <f>IF(OR(M299="",O299="",M299=0),"",(M299-O299)/M299)</f>
        <v>0.22077922077922077</v>
      </c>
      <c r="H299" s="22">
        <v>77</v>
      </c>
      <c r="I299" s="22">
        <v>1943</v>
      </c>
      <c r="J299" s="22">
        <v>6</v>
      </c>
      <c r="K299" s="22">
        <v>120</v>
      </c>
      <c r="L299" s="22">
        <v>18</v>
      </c>
      <c r="M299" s="22">
        <f>_xlfn.CEILING.MATH(F299*2)</f>
        <v>154</v>
      </c>
      <c r="N299" s="22">
        <f>H299*1.18</f>
        <v>90.86</v>
      </c>
      <c r="O299" s="22">
        <f>_xlfn.CEILING.MATH(F299*1.56)-1</f>
        <v>120</v>
      </c>
    </row>
    <row r="300" spans="1:15" s="22" customFormat="1">
      <c r="A300" s="22">
        <v>84</v>
      </c>
      <c r="B300" s="22" t="s">
        <v>314</v>
      </c>
      <c r="C300" s="22" t="s">
        <v>1552</v>
      </c>
      <c r="E300" s="22">
        <v>1</v>
      </c>
      <c r="F300" s="22">
        <v>81</v>
      </c>
      <c r="G300" s="30">
        <f>IF(OR(M300="",O300="",M300=0),"",(M300-O300)/M300)</f>
        <v>0.22222222222222221</v>
      </c>
      <c r="H300" s="22">
        <v>81</v>
      </c>
      <c r="I300" s="22">
        <v>2719</v>
      </c>
      <c r="J300" s="22">
        <v>6</v>
      </c>
      <c r="K300" s="22">
        <v>120</v>
      </c>
      <c r="L300" s="22">
        <v>18</v>
      </c>
      <c r="M300" s="22">
        <f>_xlfn.CEILING.MATH(F300*2)</f>
        <v>162</v>
      </c>
      <c r="N300" s="22">
        <f>H300*1.18</f>
        <v>95.58</v>
      </c>
      <c r="O300" s="22">
        <f>_xlfn.CEILING.MATH(F300*1.56)-1</f>
        <v>126</v>
      </c>
    </row>
    <row r="301" spans="1:15" s="22" customFormat="1">
      <c r="A301" s="22">
        <v>85</v>
      </c>
      <c r="B301" s="22" t="s">
        <v>315</v>
      </c>
      <c r="C301" s="22" t="s">
        <v>1553</v>
      </c>
      <c r="E301" s="22">
        <v>1</v>
      </c>
      <c r="F301" s="22">
        <v>91.5</v>
      </c>
      <c r="G301" s="30">
        <f>IF(OR(M301="",O301="",M301=0),"",(M301-O301)/M301)</f>
        <v>0.22404371584699453</v>
      </c>
      <c r="H301" s="22">
        <v>91.5</v>
      </c>
      <c r="I301" s="22">
        <v>459</v>
      </c>
      <c r="J301" s="22">
        <v>6</v>
      </c>
      <c r="K301" s="22">
        <v>120</v>
      </c>
      <c r="L301" s="22">
        <v>18</v>
      </c>
      <c r="M301" s="22">
        <f>_xlfn.CEILING.MATH(F301*2)</f>
        <v>183</v>
      </c>
      <c r="N301" s="22">
        <f>H301*1.18</f>
        <v>107.97</v>
      </c>
      <c r="O301" s="22">
        <f>_xlfn.CEILING.MATH(F301*1.56)-1</f>
        <v>142</v>
      </c>
    </row>
    <row r="302" spans="1:15" s="22" customFormat="1">
      <c r="A302" s="22">
        <v>86</v>
      </c>
      <c r="B302" s="22" t="s">
        <v>316</v>
      </c>
      <c r="C302" s="22" t="s">
        <v>1554</v>
      </c>
      <c r="E302" s="22">
        <v>1</v>
      </c>
      <c r="F302" s="22">
        <v>93</v>
      </c>
      <c r="G302" s="30">
        <f>IF(OR(M302="",O302="",M302=0),"",(M302-O302)/M302)</f>
        <v>0.22043010752688172</v>
      </c>
      <c r="H302" s="22">
        <v>93</v>
      </c>
      <c r="I302" s="22">
        <v>1825</v>
      </c>
      <c r="J302" s="22">
        <v>6</v>
      </c>
      <c r="K302" s="22">
        <v>48</v>
      </c>
      <c r="L302" s="22">
        <v>18</v>
      </c>
      <c r="M302" s="22">
        <f>_xlfn.CEILING.MATH(F302*2)</f>
        <v>186</v>
      </c>
      <c r="N302" s="22">
        <f>H302*1.18</f>
        <v>109.74</v>
      </c>
      <c r="O302" s="22">
        <f>_xlfn.CEILING.MATH(F302*1.56)-1</f>
        <v>145</v>
      </c>
    </row>
    <row r="303" spans="1:15" s="22" customFormat="1">
      <c r="A303" s="22">
        <v>87</v>
      </c>
      <c r="B303" s="22" t="s">
        <v>317</v>
      </c>
      <c r="C303" s="22" t="s">
        <v>1555</v>
      </c>
      <c r="E303" s="22">
        <v>1</v>
      </c>
      <c r="F303" s="22">
        <v>109.5</v>
      </c>
      <c r="G303" s="30">
        <f>IF(OR(M303="",O303="",M303=0),"",(M303-O303)/M303)</f>
        <v>0.22374429223744291</v>
      </c>
      <c r="H303" s="22">
        <v>109.5</v>
      </c>
      <c r="I303" s="22">
        <v>361</v>
      </c>
      <c r="J303" s="22">
        <v>6</v>
      </c>
      <c r="K303" s="22">
        <v>48</v>
      </c>
      <c r="L303" s="22">
        <v>18</v>
      </c>
      <c r="M303" s="22">
        <f>_xlfn.CEILING.MATH(F303*2)</f>
        <v>219</v>
      </c>
      <c r="N303" s="22">
        <f>H303*1.18</f>
        <v>129.20999999999998</v>
      </c>
      <c r="O303" s="22">
        <f>_xlfn.CEILING.MATH(F303*1.56)-1</f>
        <v>170</v>
      </c>
    </row>
    <row r="304" spans="1:15" s="22" customFormat="1">
      <c r="A304" s="22">
        <v>88</v>
      </c>
      <c r="B304" s="22" t="s">
        <v>318</v>
      </c>
      <c r="C304" s="22" t="s">
        <v>1556</v>
      </c>
      <c r="E304" s="22">
        <v>1</v>
      </c>
      <c r="F304" s="22">
        <v>109.5</v>
      </c>
      <c r="G304" s="30">
        <f>IF(OR(M304="",O304="",M304=0),"",(M304-O304)/M304)</f>
        <v>0.22374429223744291</v>
      </c>
      <c r="H304" s="22">
        <v>109.5</v>
      </c>
      <c r="I304" s="22">
        <v>795</v>
      </c>
      <c r="J304" s="22">
        <v>6</v>
      </c>
      <c r="K304" s="22">
        <v>48</v>
      </c>
      <c r="L304" s="22">
        <v>18</v>
      </c>
      <c r="M304" s="22">
        <f>_xlfn.CEILING.MATH(F304*2)</f>
        <v>219</v>
      </c>
      <c r="N304" s="22">
        <f>H304*1.18</f>
        <v>129.20999999999998</v>
      </c>
      <c r="O304" s="22">
        <f>_xlfn.CEILING.MATH(F304*1.56)-1</f>
        <v>170</v>
      </c>
    </row>
    <row r="305" spans="1:15" s="22" customFormat="1">
      <c r="A305" s="22">
        <v>89</v>
      </c>
      <c r="B305" s="22" t="s">
        <v>319</v>
      </c>
      <c r="C305" s="22" t="s">
        <v>1557</v>
      </c>
      <c r="E305" s="22">
        <v>1</v>
      </c>
      <c r="F305" s="22">
        <v>117.5</v>
      </c>
      <c r="G305" s="30">
        <f>IF(OR(M305="",O305="",M305=0),"",(M305-O305)/M305)</f>
        <v>0.22127659574468084</v>
      </c>
      <c r="H305" s="22">
        <v>117.5</v>
      </c>
      <c r="I305" s="22">
        <v>1410</v>
      </c>
      <c r="J305" s="22">
        <v>6</v>
      </c>
      <c r="K305" s="22">
        <v>48</v>
      </c>
      <c r="L305" s="22">
        <v>18</v>
      </c>
      <c r="M305" s="22">
        <f>_xlfn.CEILING.MATH(F305*2)</f>
        <v>235</v>
      </c>
      <c r="N305" s="22">
        <f>H305*1.18</f>
        <v>138.65</v>
      </c>
      <c r="O305" s="22">
        <f>_xlfn.CEILING.MATH(F305*1.56)-1</f>
        <v>183</v>
      </c>
    </row>
    <row r="306" spans="1:15" s="22" customFormat="1">
      <c r="A306" s="22">
        <v>90</v>
      </c>
      <c r="B306" s="22" t="s">
        <v>320</v>
      </c>
      <c r="C306" s="22" t="s">
        <v>1558</v>
      </c>
      <c r="E306" s="22">
        <v>1</v>
      </c>
      <c r="F306" s="22">
        <v>129.5</v>
      </c>
      <c r="G306" s="30">
        <f>IF(OR(M306="",O306="",M306=0),"",(M306-O306)/M306)</f>
        <v>0.22007722007722008</v>
      </c>
      <c r="H306" s="22">
        <v>129.5</v>
      </c>
      <c r="I306" s="22">
        <v>634</v>
      </c>
      <c r="J306" s="22">
        <v>6</v>
      </c>
      <c r="K306" s="22">
        <v>48</v>
      </c>
      <c r="L306" s="22">
        <v>18</v>
      </c>
      <c r="M306" s="22">
        <f>_xlfn.CEILING.MATH(F306*2)</f>
        <v>259</v>
      </c>
      <c r="N306" s="22">
        <f>H306*1.18</f>
        <v>152.81</v>
      </c>
      <c r="O306" s="22">
        <f>_xlfn.CEILING.MATH(F306*1.56)-1</f>
        <v>202</v>
      </c>
    </row>
    <row r="307" spans="1:15" s="22" customFormat="1">
      <c r="A307" s="22">
        <v>91</v>
      </c>
      <c r="B307" s="22" t="s">
        <v>321</v>
      </c>
      <c r="C307" s="22" t="s">
        <v>1559</v>
      </c>
      <c r="E307" s="22">
        <v>1</v>
      </c>
      <c r="F307" s="22">
        <v>133.5</v>
      </c>
      <c r="G307" s="30">
        <f>IF(OR(M307="",O307="",M307=0),"",(M307-O307)/M307)</f>
        <v>0.22097378277153559</v>
      </c>
      <c r="H307" s="22">
        <v>133.5</v>
      </c>
      <c r="I307" s="22">
        <v>317</v>
      </c>
      <c r="J307" s="22">
        <v>6</v>
      </c>
      <c r="K307" s="22">
        <v>48</v>
      </c>
      <c r="L307" s="22">
        <v>18</v>
      </c>
      <c r="M307" s="22">
        <f>_xlfn.CEILING.MATH(F307*2)</f>
        <v>267</v>
      </c>
      <c r="N307" s="22">
        <f>H307*1.18</f>
        <v>157.53</v>
      </c>
      <c r="O307" s="22">
        <f>_xlfn.CEILING.MATH(F307*1.56)-1</f>
        <v>208</v>
      </c>
    </row>
    <row r="308" spans="1:15" s="22" customFormat="1">
      <c r="A308" s="22">
        <v>92</v>
      </c>
      <c r="B308" s="22" t="s">
        <v>322</v>
      </c>
      <c r="C308" s="22" t="s">
        <v>1560</v>
      </c>
      <c r="E308" s="22">
        <v>1</v>
      </c>
      <c r="F308" s="22">
        <v>136.5</v>
      </c>
      <c r="G308" s="30">
        <f>IF(OR(M308="",O308="",M308=0),"",(M308-O308)/M308)</f>
        <v>0.22344322344322345</v>
      </c>
      <c r="H308" s="22">
        <v>136.5</v>
      </c>
      <c r="I308" s="22">
        <v>600</v>
      </c>
      <c r="J308" s="22">
        <v>6</v>
      </c>
      <c r="K308" s="22">
        <v>48</v>
      </c>
      <c r="L308" s="22">
        <v>18</v>
      </c>
      <c r="M308" s="22">
        <f>_xlfn.CEILING.MATH(F308*2)</f>
        <v>273</v>
      </c>
      <c r="N308" s="22">
        <f>H308*1.18</f>
        <v>161.07</v>
      </c>
      <c r="O308" s="22">
        <f>_xlfn.CEILING.MATH(F308*1.56)-1</f>
        <v>212</v>
      </c>
    </row>
    <row r="309" spans="1:15" s="22" customFormat="1">
      <c r="A309" s="22">
        <v>93</v>
      </c>
      <c r="B309" s="22" t="s">
        <v>323</v>
      </c>
      <c r="C309" s="22" t="s">
        <v>1561</v>
      </c>
      <c r="E309" s="22">
        <v>1</v>
      </c>
      <c r="F309" s="22">
        <v>141.5</v>
      </c>
      <c r="G309" s="30">
        <f>IF(OR(M309="",O309="",M309=0),"",(M309-O309)/M309)</f>
        <v>0.22261484098939929</v>
      </c>
      <c r="H309" s="22">
        <v>141.5</v>
      </c>
      <c r="I309" s="22">
        <v>662</v>
      </c>
      <c r="J309" s="22">
        <v>6</v>
      </c>
      <c r="K309" s="22">
        <v>48</v>
      </c>
      <c r="L309" s="22">
        <v>18</v>
      </c>
      <c r="M309" s="22">
        <f>_xlfn.CEILING.MATH(F309*2)</f>
        <v>283</v>
      </c>
      <c r="N309" s="22">
        <f>H309*1.18</f>
        <v>166.97</v>
      </c>
      <c r="O309" s="22">
        <f>_xlfn.CEILING.MATH(F309*1.56)-1</f>
        <v>220</v>
      </c>
    </row>
    <row r="310" spans="1:15" s="22" customFormat="1">
      <c r="A310" s="22">
        <v>94</v>
      </c>
      <c r="B310" s="22" t="s">
        <v>324</v>
      </c>
      <c r="C310" s="22" t="s">
        <v>1562</v>
      </c>
      <c r="E310" s="22">
        <v>1</v>
      </c>
      <c r="F310" s="22">
        <v>199.5</v>
      </c>
      <c r="G310" s="30">
        <f>IF(OR(M310="",O310="",M310=0),"",(M310-O310)/M310)</f>
        <v>0.22055137844611528</v>
      </c>
      <c r="H310" s="22">
        <v>199.5</v>
      </c>
      <c r="I310" s="22">
        <v>15</v>
      </c>
      <c r="J310" s="22">
        <v>6</v>
      </c>
      <c r="K310" s="22">
        <v>60</v>
      </c>
      <c r="L310" s="22">
        <v>18</v>
      </c>
      <c r="M310" s="22">
        <f>_xlfn.CEILING.MATH(F310*2)</f>
        <v>399</v>
      </c>
      <c r="N310" s="22">
        <f>H310*1.18</f>
        <v>235.41</v>
      </c>
      <c r="O310" s="22">
        <f>_xlfn.CEILING.MATH(F310*1.56)-1</f>
        <v>311</v>
      </c>
    </row>
    <row r="311" spans="1:15" s="22" customFormat="1">
      <c r="A311" s="22">
        <v>95</v>
      </c>
      <c r="B311" s="22" t="s">
        <v>325</v>
      </c>
      <c r="C311" s="22" t="s">
        <v>1563</v>
      </c>
      <c r="E311" s="22">
        <v>1</v>
      </c>
      <c r="F311" s="22">
        <v>105</v>
      </c>
      <c r="G311" s="30">
        <f>IF(OR(M311="",O311="",M311=0),"",(M311-O311)/M311)</f>
        <v>0.22380952380952382</v>
      </c>
      <c r="H311" s="22">
        <v>105</v>
      </c>
      <c r="I311" s="22">
        <v>0</v>
      </c>
      <c r="J311" s="22">
        <v>10</v>
      </c>
      <c r="K311" s="22">
        <v>60</v>
      </c>
      <c r="L311" s="22">
        <v>18</v>
      </c>
      <c r="M311" s="22">
        <f>_xlfn.CEILING.MATH(F311*2)</f>
        <v>210</v>
      </c>
      <c r="N311" s="22">
        <f>H311*1.18</f>
        <v>123.89999999999999</v>
      </c>
      <c r="O311" s="22">
        <f>_xlfn.CEILING.MATH(F311*1.56)-1</f>
        <v>163</v>
      </c>
    </row>
    <row r="312" spans="1:15" s="22" customFormat="1">
      <c r="A312" s="22">
        <v>96</v>
      </c>
      <c r="B312" s="22" t="s">
        <v>326</v>
      </c>
      <c r="C312" s="22" t="s">
        <v>1564</v>
      </c>
      <c r="E312" s="22">
        <v>1</v>
      </c>
      <c r="F312" s="22">
        <v>1578.72</v>
      </c>
      <c r="G312" s="30">
        <f>IF(OR(M312="",O312="",M312=0),"",(M312-O312)/M312)</f>
        <v>0.22039265357821405</v>
      </c>
      <c r="H312" s="22">
        <v>1578.72</v>
      </c>
      <c r="I312" s="22">
        <v>0</v>
      </c>
      <c r="J312" s="22">
        <v>1</v>
      </c>
      <c r="K312" s="22">
        <v>10</v>
      </c>
      <c r="L312" s="22">
        <v>18</v>
      </c>
      <c r="M312" s="22">
        <f>_xlfn.CEILING.MATH(F312*2)</f>
        <v>3158</v>
      </c>
      <c r="N312" s="22">
        <f>H312*1.18</f>
        <v>1862.8896</v>
      </c>
      <c r="O312" s="22">
        <f>_xlfn.CEILING.MATH(F312*1.56)-1</f>
        <v>2462</v>
      </c>
    </row>
    <row r="313" spans="1:15" s="22" customFormat="1">
      <c r="A313" s="22">
        <v>97</v>
      </c>
      <c r="B313" s="22" t="s">
        <v>327</v>
      </c>
      <c r="C313" s="22" t="s">
        <v>1565</v>
      </c>
      <c r="E313" s="22">
        <v>1</v>
      </c>
      <c r="F313" s="22">
        <v>1578.72</v>
      </c>
      <c r="G313" s="30">
        <f>IF(OR(M313="",O313="",M313=0),"",(M313-O313)/M313)</f>
        <v>0.22039265357821405</v>
      </c>
      <c r="H313" s="22">
        <v>1578.72</v>
      </c>
      <c r="I313" s="22">
        <v>0</v>
      </c>
      <c r="J313" s="22">
        <v>1</v>
      </c>
      <c r="K313" s="22">
        <v>10</v>
      </c>
      <c r="L313" s="22">
        <v>18</v>
      </c>
      <c r="M313" s="22">
        <f>_xlfn.CEILING.MATH(F313*2)</f>
        <v>3158</v>
      </c>
      <c r="N313" s="22">
        <f>H313*1.18</f>
        <v>1862.8896</v>
      </c>
      <c r="O313" s="22">
        <f>_xlfn.CEILING.MATH(F313*1.56)-1</f>
        <v>2462</v>
      </c>
    </row>
    <row r="314" spans="1:15" s="22" customFormat="1">
      <c r="A314" s="22">
        <v>98</v>
      </c>
      <c r="B314" s="22" t="s">
        <v>328</v>
      </c>
      <c r="C314" s="22" t="s">
        <v>1566</v>
      </c>
      <c r="E314" s="22">
        <v>1</v>
      </c>
      <c r="F314" s="22">
        <v>97.5</v>
      </c>
      <c r="G314" s="30">
        <f>IF(OR(M314="",O314="",M314=0),"",(M314-O314)/M314)</f>
        <v>0.22051282051282051</v>
      </c>
      <c r="H314" s="22">
        <v>97.5</v>
      </c>
      <c r="I314" s="22">
        <v>1385</v>
      </c>
      <c r="J314" s="22">
        <v>6</v>
      </c>
      <c r="K314" s="22">
        <v>48</v>
      </c>
      <c r="L314" s="22">
        <v>18</v>
      </c>
      <c r="M314" s="22">
        <f>_xlfn.CEILING.MATH(F314*2)</f>
        <v>195</v>
      </c>
      <c r="N314" s="22">
        <f>H314*1.18</f>
        <v>115.05</v>
      </c>
      <c r="O314" s="22">
        <f>_xlfn.CEILING.MATH(F314*1.56)-1</f>
        <v>152</v>
      </c>
    </row>
    <row r="315" spans="1:15" s="22" customFormat="1">
      <c r="A315" s="22">
        <v>99</v>
      </c>
      <c r="B315" s="22" t="s">
        <v>329</v>
      </c>
      <c r="C315" s="22" t="s">
        <v>1567</v>
      </c>
      <c r="E315" s="22">
        <v>1</v>
      </c>
      <c r="F315" s="22">
        <v>106.5</v>
      </c>
      <c r="G315" s="30">
        <f>IF(OR(M315="",O315="",M315=0),"",(M315-O315)/M315)</f>
        <v>0.22065727699530516</v>
      </c>
      <c r="H315" s="22">
        <v>106.5</v>
      </c>
      <c r="I315" s="22">
        <v>565</v>
      </c>
      <c r="J315" s="22">
        <v>6</v>
      </c>
      <c r="K315" s="22">
        <v>48</v>
      </c>
      <c r="L315" s="22">
        <v>18</v>
      </c>
      <c r="M315" s="22">
        <f>_xlfn.CEILING.MATH(F315*2)</f>
        <v>213</v>
      </c>
      <c r="N315" s="22">
        <f>H315*1.18</f>
        <v>125.66999999999999</v>
      </c>
      <c r="O315" s="22">
        <f>_xlfn.CEILING.MATH(F315*1.56)-1</f>
        <v>166</v>
      </c>
    </row>
    <row r="316" spans="1:15" s="22" customFormat="1">
      <c r="A316" s="22">
        <v>100</v>
      </c>
      <c r="B316" s="22" t="s">
        <v>330</v>
      </c>
      <c r="C316" s="22" t="s">
        <v>1568</v>
      </c>
      <c r="E316" s="22">
        <v>1</v>
      </c>
      <c r="F316" s="22">
        <v>457.5</v>
      </c>
      <c r="G316" s="30">
        <f>IF(OR(M316="",O316="",M316=0),"",(M316-O316)/M316)</f>
        <v>0.22076502732240438</v>
      </c>
      <c r="H316" s="22">
        <v>457.5</v>
      </c>
      <c r="I316" s="22">
        <v>3</v>
      </c>
      <c r="J316" s="22">
        <v>6</v>
      </c>
      <c r="K316" s="22">
        <v>24</v>
      </c>
      <c r="L316" s="22">
        <v>18</v>
      </c>
      <c r="M316" s="22">
        <f>_xlfn.CEILING.MATH(F316*2)</f>
        <v>915</v>
      </c>
      <c r="N316" s="22">
        <f>H316*1.18</f>
        <v>539.85</v>
      </c>
      <c r="O316" s="22">
        <f>_xlfn.CEILING.MATH(F316*1.56)-1</f>
        <v>713</v>
      </c>
    </row>
    <row r="317" spans="1:15" s="22" customFormat="1">
      <c r="A317" s="22">
        <v>101</v>
      </c>
      <c r="B317" s="22" t="s">
        <v>331</v>
      </c>
      <c r="C317" s="22" t="s">
        <v>1569</v>
      </c>
      <c r="E317" s="22">
        <v>1</v>
      </c>
      <c r="F317" s="22">
        <v>78</v>
      </c>
      <c r="G317" s="30">
        <f>IF(OR(M317="",O317="",M317=0),"",(M317-O317)/M317)</f>
        <v>0.22435897435897437</v>
      </c>
      <c r="H317" s="22">
        <v>78</v>
      </c>
      <c r="I317" s="22">
        <v>297</v>
      </c>
      <c r="J317" s="22">
        <v>6</v>
      </c>
      <c r="K317" s="22">
        <v>120</v>
      </c>
      <c r="L317" s="22">
        <v>18</v>
      </c>
      <c r="M317" s="22">
        <f>_xlfn.CEILING.MATH(F317*2)</f>
        <v>156</v>
      </c>
      <c r="N317" s="22">
        <f>H317*1.18</f>
        <v>92.039999999999992</v>
      </c>
      <c r="O317" s="22">
        <f>_xlfn.CEILING.MATH(F317*1.56)-1</f>
        <v>121</v>
      </c>
    </row>
    <row r="318" spans="1:15" s="22" customFormat="1">
      <c r="A318" s="22">
        <v>102</v>
      </c>
      <c r="B318" s="22" t="s">
        <v>332</v>
      </c>
      <c r="C318" s="22" t="s">
        <v>1570</v>
      </c>
      <c r="E318" s="22">
        <v>1</v>
      </c>
      <c r="F318" s="22">
        <v>78</v>
      </c>
      <c r="G318" s="30">
        <f>IF(OR(M318="",O318="",M318=0),"",(M318-O318)/M318)</f>
        <v>0.22435897435897437</v>
      </c>
      <c r="H318" s="22">
        <v>78</v>
      </c>
      <c r="I318" s="22">
        <v>181</v>
      </c>
      <c r="J318" s="22">
        <v>6</v>
      </c>
      <c r="K318" s="22">
        <v>120</v>
      </c>
      <c r="L318" s="22">
        <v>18</v>
      </c>
      <c r="M318" s="22">
        <f>_xlfn.CEILING.MATH(F318*2)</f>
        <v>156</v>
      </c>
      <c r="N318" s="22">
        <f>H318*1.18</f>
        <v>92.039999999999992</v>
      </c>
      <c r="O318" s="22">
        <f>_xlfn.CEILING.MATH(F318*1.56)-1</f>
        <v>121</v>
      </c>
    </row>
    <row r="319" spans="1:15" s="22" customFormat="1">
      <c r="A319" s="22">
        <v>103</v>
      </c>
      <c r="B319" s="22" t="s">
        <v>333</v>
      </c>
      <c r="C319" s="22" t="s">
        <v>1571</v>
      </c>
      <c r="E319" s="22">
        <v>1</v>
      </c>
      <c r="F319" s="22">
        <v>78</v>
      </c>
      <c r="G319" s="30">
        <f>IF(OR(M319="",O319="",M319=0),"",(M319-O319)/M319)</f>
        <v>0.22435897435897437</v>
      </c>
      <c r="H319" s="22">
        <v>78</v>
      </c>
      <c r="I319" s="22">
        <v>561</v>
      </c>
      <c r="J319" s="22">
        <v>6</v>
      </c>
      <c r="K319" s="22">
        <v>120</v>
      </c>
      <c r="L319" s="22">
        <v>18</v>
      </c>
      <c r="M319" s="22">
        <f>_xlfn.CEILING.MATH(F319*2)</f>
        <v>156</v>
      </c>
      <c r="N319" s="22">
        <f>H319*1.18</f>
        <v>92.039999999999992</v>
      </c>
      <c r="O319" s="22">
        <f>_xlfn.CEILING.MATH(F319*1.56)-1</f>
        <v>121</v>
      </c>
    </row>
    <row r="320" spans="1:15" s="22" customFormat="1">
      <c r="A320" s="22">
        <v>104</v>
      </c>
      <c r="B320" s="22" t="s">
        <v>334</v>
      </c>
      <c r="C320" s="22" t="s">
        <v>1572</v>
      </c>
      <c r="E320" s="22">
        <v>1</v>
      </c>
      <c r="F320" s="22">
        <v>78</v>
      </c>
      <c r="G320" s="30">
        <f>IF(OR(M320="",O320="",M320=0),"",(M320-O320)/M320)</f>
        <v>0.22435897435897437</v>
      </c>
      <c r="H320" s="22">
        <v>78</v>
      </c>
      <c r="I320" s="22">
        <v>188</v>
      </c>
      <c r="J320" s="22">
        <v>6</v>
      </c>
      <c r="K320" s="22">
        <v>120</v>
      </c>
      <c r="L320" s="22">
        <v>18</v>
      </c>
      <c r="M320" s="22">
        <f>_xlfn.CEILING.MATH(F320*2)</f>
        <v>156</v>
      </c>
      <c r="N320" s="22">
        <f>H320*1.18</f>
        <v>92.039999999999992</v>
      </c>
      <c r="O320" s="22">
        <f>_xlfn.CEILING.MATH(F320*1.56)-1</f>
        <v>121</v>
      </c>
    </row>
    <row r="321" spans="1:15" s="22" customFormat="1">
      <c r="A321" s="22">
        <v>105</v>
      </c>
      <c r="B321" s="22" t="s">
        <v>335</v>
      </c>
      <c r="C321" s="22" t="s">
        <v>1573</v>
      </c>
      <c r="E321" s="22">
        <v>1</v>
      </c>
      <c r="F321" s="22">
        <v>78</v>
      </c>
      <c r="G321" s="30">
        <f>IF(OR(M321="",O321="",M321=0),"",(M321-O321)/M321)</f>
        <v>0.22435897435897437</v>
      </c>
      <c r="H321" s="22">
        <v>78</v>
      </c>
      <c r="I321" s="22">
        <v>171</v>
      </c>
      <c r="J321" s="22">
        <v>6</v>
      </c>
      <c r="K321" s="22">
        <v>120</v>
      </c>
      <c r="L321" s="22">
        <v>18</v>
      </c>
      <c r="M321" s="22">
        <f>_xlfn.CEILING.MATH(F321*2)</f>
        <v>156</v>
      </c>
      <c r="N321" s="22">
        <f>H321*1.18</f>
        <v>92.039999999999992</v>
      </c>
      <c r="O321" s="22">
        <f>_xlfn.CEILING.MATH(F321*1.56)-1</f>
        <v>121</v>
      </c>
    </row>
    <row r="322" spans="1:15" s="22" customFormat="1">
      <c r="A322" s="22">
        <v>106</v>
      </c>
      <c r="B322" s="22" t="s">
        <v>336</v>
      </c>
      <c r="C322" s="22" t="s">
        <v>1574</v>
      </c>
      <c r="E322" s="22">
        <v>1</v>
      </c>
      <c r="F322" s="22">
        <v>82.5</v>
      </c>
      <c r="G322" s="30">
        <f>IF(OR(M322="",O322="",M322=0),"",(M322-O322)/M322)</f>
        <v>0.22424242424242424</v>
      </c>
      <c r="H322" s="22">
        <v>82.5</v>
      </c>
      <c r="I322" s="22">
        <v>232</v>
      </c>
      <c r="J322" s="22">
        <v>6</v>
      </c>
      <c r="K322" s="22">
        <v>120</v>
      </c>
      <c r="L322" s="22">
        <v>18</v>
      </c>
      <c r="M322" s="22">
        <f>_xlfn.CEILING.MATH(F322*2)</f>
        <v>165</v>
      </c>
      <c r="N322" s="22">
        <f>H322*1.18</f>
        <v>97.35</v>
      </c>
      <c r="O322" s="22">
        <f>_xlfn.CEILING.MATH(F322*1.56)-1</f>
        <v>128</v>
      </c>
    </row>
    <row r="323" spans="1:15" s="22" customFormat="1">
      <c r="A323" s="22">
        <v>107</v>
      </c>
      <c r="B323" s="22" t="s">
        <v>337</v>
      </c>
      <c r="C323" s="22" t="s">
        <v>1575</v>
      </c>
      <c r="E323" s="22">
        <v>1</v>
      </c>
      <c r="F323" s="22">
        <v>90</v>
      </c>
      <c r="G323" s="30">
        <f>IF(OR(M323="",O323="",M323=0),"",(M323-O323)/M323)</f>
        <v>0.22222222222222221</v>
      </c>
      <c r="H323" s="22">
        <v>90</v>
      </c>
      <c r="I323" s="22">
        <v>218</v>
      </c>
      <c r="J323" s="22">
        <v>6</v>
      </c>
      <c r="K323" s="22">
        <v>120</v>
      </c>
      <c r="L323" s="22">
        <v>18</v>
      </c>
      <c r="M323" s="22">
        <f>_xlfn.CEILING.MATH(F323*2)</f>
        <v>180</v>
      </c>
      <c r="N323" s="22">
        <f>H323*1.18</f>
        <v>106.19999999999999</v>
      </c>
      <c r="O323" s="22">
        <f>_xlfn.CEILING.MATH(F323*1.56)-1</f>
        <v>140</v>
      </c>
    </row>
    <row r="324" spans="1:15" s="22" customFormat="1">
      <c r="A324" s="22">
        <v>108</v>
      </c>
      <c r="B324" s="22" t="s">
        <v>338</v>
      </c>
      <c r="C324" s="22" t="s">
        <v>1576</v>
      </c>
      <c r="E324" s="22">
        <v>1</v>
      </c>
      <c r="F324" s="22">
        <v>132</v>
      </c>
      <c r="G324" s="30">
        <f>IF(OR(M324="",O324="",M324=0),"",(M324-O324)/M324)</f>
        <v>0.22348484848484848</v>
      </c>
      <c r="H324" s="22">
        <v>132</v>
      </c>
      <c r="I324" s="22">
        <v>169</v>
      </c>
      <c r="J324" s="22">
        <v>6</v>
      </c>
      <c r="K324" s="22">
        <v>60</v>
      </c>
      <c r="L324" s="22">
        <v>18</v>
      </c>
      <c r="M324" s="22">
        <f>_xlfn.CEILING.MATH(F324*2)</f>
        <v>264</v>
      </c>
      <c r="N324" s="22">
        <f>H324*1.18</f>
        <v>155.76</v>
      </c>
      <c r="O324" s="22">
        <f>_xlfn.CEILING.MATH(F324*1.56)-1</f>
        <v>205</v>
      </c>
    </row>
    <row r="325" spans="1:15" s="22" customFormat="1">
      <c r="A325" s="22">
        <v>109</v>
      </c>
      <c r="B325" s="22" t="s">
        <v>339</v>
      </c>
      <c r="C325" s="22" t="s">
        <v>1577</v>
      </c>
      <c r="E325" s="22">
        <v>1</v>
      </c>
      <c r="F325" s="22">
        <v>528</v>
      </c>
      <c r="G325" s="30">
        <f>IF(OR(M325="",O325="",M325=0),"",(M325-O325)/M325)</f>
        <v>0.22064393939393939</v>
      </c>
      <c r="H325" s="22">
        <v>528</v>
      </c>
      <c r="I325" s="22">
        <v>149</v>
      </c>
      <c r="J325" s="22">
        <v>6</v>
      </c>
      <c r="K325" s="22">
        <v>24</v>
      </c>
      <c r="L325" s="22">
        <v>18</v>
      </c>
      <c r="M325" s="22">
        <f>_xlfn.CEILING.MATH(F325*2)</f>
        <v>1056</v>
      </c>
      <c r="N325" s="22">
        <f>H325*1.18</f>
        <v>623.04</v>
      </c>
      <c r="O325" s="22">
        <f>_xlfn.CEILING.MATH(F325*1.56)-1</f>
        <v>823</v>
      </c>
    </row>
    <row r="326" spans="1:15" s="22" customFormat="1">
      <c r="A326" s="22">
        <v>110</v>
      </c>
      <c r="B326" s="22" t="s">
        <v>340</v>
      </c>
      <c r="C326" s="22" t="s">
        <v>1578</v>
      </c>
      <c r="E326" s="22">
        <v>1</v>
      </c>
      <c r="F326" s="22">
        <v>645</v>
      </c>
      <c r="G326" s="30">
        <f>IF(OR(M326="",O326="",M326=0),"",(M326-O326)/M326)</f>
        <v>0.22015503875968992</v>
      </c>
      <c r="H326" s="22">
        <v>645</v>
      </c>
      <c r="I326" s="22">
        <v>387</v>
      </c>
      <c r="J326" s="22">
        <v>6</v>
      </c>
      <c r="K326" s="22">
        <v>24</v>
      </c>
      <c r="L326" s="22">
        <v>18</v>
      </c>
      <c r="M326" s="22">
        <f>_xlfn.CEILING.MATH(F326*2)</f>
        <v>1290</v>
      </c>
      <c r="N326" s="22">
        <f>H326*1.18</f>
        <v>761.09999999999991</v>
      </c>
      <c r="O326" s="22">
        <f>_xlfn.CEILING.MATH(F326*1.56)-1</f>
        <v>1006</v>
      </c>
    </row>
    <row r="327" spans="1:15" s="22" customFormat="1">
      <c r="A327" s="22">
        <v>111</v>
      </c>
      <c r="B327" s="22" t="s">
        <v>341</v>
      </c>
      <c r="C327" s="22" t="s">
        <v>1579</v>
      </c>
      <c r="E327" s="22">
        <v>1</v>
      </c>
      <c r="F327" s="22">
        <v>202.5</v>
      </c>
      <c r="G327" s="30">
        <f>IF(OR(M327="",O327="",M327=0),"",(M327-O327)/M327)</f>
        <v>0.22222222222222221</v>
      </c>
      <c r="H327" s="22">
        <v>202.5</v>
      </c>
      <c r="I327" s="22">
        <v>295</v>
      </c>
      <c r="J327" s="22">
        <v>6</v>
      </c>
      <c r="K327" s="22">
        <v>120</v>
      </c>
      <c r="L327" s="22">
        <v>18</v>
      </c>
      <c r="M327" s="22">
        <f>_xlfn.CEILING.MATH(F327*2)</f>
        <v>405</v>
      </c>
      <c r="N327" s="22">
        <f>H327*1.18</f>
        <v>238.95</v>
      </c>
      <c r="O327" s="22">
        <f>_xlfn.CEILING.MATH(F327*1.56)-1</f>
        <v>315</v>
      </c>
    </row>
    <row r="328" spans="1:15" s="22" customFormat="1">
      <c r="A328" s="22">
        <v>112</v>
      </c>
      <c r="B328" s="22" t="s">
        <v>342</v>
      </c>
      <c r="C328" s="22" t="s">
        <v>1580</v>
      </c>
      <c r="E328" s="22">
        <v>1</v>
      </c>
      <c r="F328" s="22">
        <v>3330</v>
      </c>
      <c r="G328" s="30">
        <f>IF(OR(M328="",O328="",M328=0),"",(M328-O328)/M328)</f>
        <v>0.22012012012012011</v>
      </c>
      <c r="H328" s="22">
        <v>3330</v>
      </c>
      <c r="I328" s="22">
        <v>71</v>
      </c>
      <c r="J328" s="22">
        <v>1</v>
      </c>
      <c r="K328" s="22">
        <v>4</v>
      </c>
      <c r="L328" s="22">
        <v>18</v>
      </c>
      <c r="M328" s="22">
        <f>_xlfn.CEILING.MATH(F328*2)</f>
        <v>6660</v>
      </c>
      <c r="N328" s="22">
        <f>H328*1.18</f>
        <v>3929.3999999999996</v>
      </c>
      <c r="O328" s="22">
        <f>_xlfn.CEILING.MATH(F328*1.56)-1</f>
        <v>5194</v>
      </c>
    </row>
    <row r="329" spans="1:15" s="22" customFormat="1">
      <c r="A329" s="22">
        <v>113</v>
      </c>
      <c r="B329" s="22" t="s">
        <v>343</v>
      </c>
      <c r="C329" s="22" t="s">
        <v>1581</v>
      </c>
      <c r="E329" s="22">
        <v>1</v>
      </c>
      <c r="F329" s="22">
        <v>558</v>
      </c>
      <c r="G329" s="30">
        <f>IF(OR(M329="",O329="",M329=0),"",(M329-O329)/M329)</f>
        <v>0.22043010752688172</v>
      </c>
      <c r="H329" s="22">
        <v>558</v>
      </c>
      <c r="I329" s="22">
        <v>9326</v>
      </c>
      <c r="J329" s="22">
        <v>5</v>
      </c>
      <c r="K329" s="22">
        <v>40</v>
      </c>
      <c r="L329" s="22">
        <v>18</v>
      </c>
      <c r="M329" s="22">
        <f>_xlfn.CEILING.MATH(F329*2)</f>
        <v>1116</v>
      </c>
      <c r="N329" s="22">
        <f>H329*1.18</f>
        <v>658.43999999999994</v>
      </c>
      <c r="O329" s="22">
        <f>_xlfn.CEILING.MATH(F329*1.56)-1</f>
        <v>870</v>
      </c>
    </row>
    <row r="330" spans="1:15" s="22" customFormat="1">
      <c r="A330" s="22">
        <v>114</v>
      </c>
      <c r="B330" s="22" t="s">
        <v>344</v>
      </c>
      <c r="C330" s="22" t="s">
        <v>1582</v>
      </c>
      <c r="E330" s="22">
        <v>1</v>
      </c>
      <c r="F330" s="22">
        <v>510</v>
      </c>
      <c r="G330" s="30">
        <f>IF(OR(M330="",O330="",M330=0),"",(M330-O330)/M330)</f>
        <v>0.22058823529411764</v>
      </c>
      <c r="H330" s="22">
        <v>510</v>
      </c>
      <c r="I330" s="22">
        <v>759</v>
      </c>
      <c r="J330" s="22">
        <v>4</v>
      </c>
      <c r="K330" s="22">
        <v>24</v>
      </c>
      <c r="L330" s="22">
        <v>18</v>
      </c>
      <c r="M330" s="22">
        <f>_xlfn.CEILING.MATH(F330*2)</f>
        <v>1020</v>
      </c>
      <c r="N330" s="22">
        <f>H330*1.18</f>
        <v>601.79999999999995</v>
      </c>
      <c r="O330" s="22">
        <f>_xlfn.CEILING.MATH(F330*1.56)-1</f>
        <v>795</v>
      </c>
    </row>
    <row r="331" spans="1:15" s="22" customFormat="1">
      <c r="A331" s="22">
        <v>115</v>
      </c>
      <c r="B331" s="22" t="s">
        <v>345</v>
      </c>
      <c r="C331" s="22" t="s">
        <v>1583</v>
      </c>
      <c r="E331" s="22">
        <v>1</v>
      </c>
      <c r="F331" s="22">
        <v>7452</v>
      </c>
      <c r="G331" s="30">
        <f>IF(OR(M331="",O331="",M331=0),"",(M331-O331)/M331)</f>
        <v>0.22000805152979067</v>
      </c>
      <c r="H331" s="22">
        <v>7452</v>
      </c>
      <c r="I331" s="22">
        <v>1</v>
      </c>
      <c r="J331" s="22">
        <v>1</v>
      </c>
      <c r="K331" s="22">
        <v>2</v>
      </c>
      <c r="L331" s="22">
        <v>18</v>
      </c>
      <c r="M331" s="22">
        <f>_xlfn.CEILING.MATH(F331*2)</f>
        <v>14904</v>
      </c>
      <c r="N331" s="22">
        <f>H331*1.18</f>
        <v>8793.3599999999988</v>
      </c>
      <c r="O331" s="22">
        <f>_xlfn.CEILING.MATH(F331*1.56)-1</f>
        <v>11625</v>
      </c>
    </row>
    <row r="332" spans="1:15" s="22" customFormat="1">
      <c r="A332" s="22">
        <v>116</v>
      </c>
      <c r="B332" s="22" t="s">
        <v>346</v>
      </c>
      <c r="C332" s="22" t="s">
        <v>1584</v>
      </c>
      <c r="E332" s="22">
        <v>1</v>
      </c>
      <c r="F332" s="22">
        <v>5220</v>
      </c>
      <c r="G332" s="30">
        <f>IF(OR(M332="",O332="",M332=0),"",(M332-O332)/M332)</f>
        <v>0.22001915708812261</v>
      </c>
      <c r="H332" s="22">
        <v>5220</v>
      </c>
      <c r="I332" s="22">
        <v>78</v>
      </c>
      <c r="J332" s="22">
        <v>1</v>
      </c>
      <c r="K332" s="22">
        <v>4</v>
      </c>
      <c r="L332" s="22">
        <v>18</v>
      </c>
      <c r="M332" s="22">
        <f>_xlfn.CEILING.MATH(F332*2)</f>
        <v>10440</v>
      </c>
      <c r="N332" s="22">
        <f>H332*1.18</f>
        <v>6159.5999999999995</v>
      </c>
      <c r="O332" s="22">
        <f>_xlfn.CEILING.MATH(F332*1.56)-1</f>
        <v>8143</v>
      </c>
    </row>
    <row r="333" spans="1:15" s="22" customFormat="1">
      <c r="A333" s="22">
        <v>117</v>
      </c>
      <c r="B333" s="22" t="s">
        <v>347</v>
      </c>
      <c r="C333" s="22" t="s">
        <v>1585</v>
      </c>
      <c r="E333" s="22">
        <v>1</v>
      </c>
      <c r="F333" s="22">
        <v>391.5</v>
      </c>
      <c r="G333" s="30">
        <f>IF(OR(M333="",O333="",M333=0),"",(M333-O333)/M333)</f>
        <v>0.22094508301404853</v>
      </c>
      <c r="H333" s="22">
        <v>391.5</v>
      </c>
      <c r="I333" s="22">
        <v>142</v>
      </c>
      <c r="J333" s="22">
        <v>10</v>
      </c>
      <c r="K333" s="22">
        <v>100</v>
      </c>
      <c r="L333" s="22">
        <v>18</v>
      </c>
      <c r="M333" s="22">
        <f>_xlfn.CEILING.MATH(F333*2)</f>
        <v>783</v>
      </c>
      <c r="N333" s="22">
        <f>H333*1.18</f>
        <v>461.96999999999997</v>
      </c>
      <c r="O333" s="22">
        <f>_xlfn.CEILING.MATH(F333*1.56)-1</f>
        <v>610</v>
      </c>
    </row>
    <row r="334" spans="1:15" s="22" customFormat="1">
      <c r="A334" s="22">
        <v>118</v>
      </c>
      <c r="B334" s="22" t="s">
        <v>348</v>
      </c>
      <c r="C334" s="22" t="s">
        <v>1586</v>
      </c>
      <c r="E334" s="22">
        <v>1</v>
      </c>
      <c r="F334" s="22">
        <v>114</v>
      </c>
      <c r="G334" s="30">
        <f>IF(OR(M334="",O334="",M334=0),"",(M334-O334)/M334)</f>
        <v>0.22368421052631579</v>
      </c>
      <c r="H334" s="22">
        <v>114</v>
      </c>
      <c r="I334" s="22">
        <v>245</v>
      </c>
      <c r="J334" s="22">
        <v>10</v>
      </c>
      <c r="K334" s="22">
        <v>100</v>
      </c>
      <c r="L334" s="22">
        <v>18</v>
      </c>
      <c r="M334" s="22">
        <f>_xlfn.CEILING.MATH(F334*2)</f>
        <v>228</v>
      </c>
      <c r="N334" s="22">
        <f>H334*1.18</f>
        <v>134.51999999999998</v>
      </c>
      <c r="O334" s="22">
        <f>_xlfn.CEILING.MATH(F334*1.56)-1</f>
        <v>177</v>
      </c>
    </row>
    <row r="335" spans="1:15" s="22" customFormat="1">
      <c r="A335" s="22">
        <v>119</v>
      </c>
      <c r="B335" s="22" t="s">
        <v>349</v>
      </c>
      <c r="C335" s="22" t="s">
        <v>1587</v>
      </c>
      <c r="E335" s="22">
        <v>1</v>
      </c>
      <c r="F335" s="22">
        <v>108</v>
      </c>
      <c r="G335" s="30">
        <f>IF(OR(M335="",O335="",M335=0),"",(M335-O335)/M335)</f>
        <v>0.22222222222222221</v>
      </c>
      <c r="H335" s="22">
        <v>108</v>
      </c>
      <c r="I335" s="22">
        <v>209</v>
      </c>
      <c r="J335" s="22">
        <v>10</v>
      </c>
      <c r="K335" s="22">
        <v>100</v>
      </c>
      <c r="L335" s="22">
        <v>18</v>
      </c>
      <c r="M335" s="22">
        <f>_xlfn.CEILING.MATH(F335*2)</f>
        <v>216</v>
      </c>
      <c r="N335" s="22">
        <f>H335*1.18</f>
        <v>127.44</v>
      </c>
      <c r="O335" s="22">
        <f>_xlfn.CEILING.MATH(F335*1.56)-1</f>
        <v>168</v>
      </c>
    </row>
    <row r="336" spans="1:15" s="22" customFormat="1">
      <c r="A336" s="22">
        <v>120</v>
      </c>
      <c r="B336" s="22" t="s">
        <v>350</v>
      </c>
      <c r="C336" s="22" t="s">
        <v>1588</v>
      </c>
      <c r="E336" s="22">
        <v>1</v>
      </c>
      <c r="F336" s="22">
        <v>396</v>
      </c>
      <c r="G336" s="30">
        <f>IF(OR(M336="",O336="",M336=0),"",(M336-O336)/M336)</f>
        <v>0.22095959595959597</v>
      </c>
      <c r="H336" s="22">
        <v>396</v>
      </c>
      <c r="I336" s="22">
        <v>3453</v>
      </c>
      <c r="J336" s="22">
        <v>6</v>
      </c>
      <c r="K336" s="22">
        <v>24</v>
      </c>
      <c r="L336" s="22">
        <v>18</v>
      </c>
      <c r="M336" s="22">
        <f>_xlfn.CEILING.MATH(F336*2)</f>
        <v>792</v>
      </c>
      <c r="N336" s="22">
        <f>H336*1.18</f>
        <v>467.28</v>
      </c>
      <c r="O336" s="22">
        <f>_xlfn.CEILING.MATH(F336*1.56)-1</f>
        <v>617</v>
      </c>
    </row>
    <row r="337" spans="1:15" s="22" customFormat="1">
      <c r="A337" s="22">
        <v>121</v>
      </c>
      <c r="B337" s="22" t="s">
        <v>351</v>
      </c>
      <c r="C337" s="22" t="s">
        <v>1589</v>
      </c>
      <c r="E337" s="22">
        <v>1</v>
      </c>
      <c r="F337" s="22">
        <v>562.5</v>
      </c>
      <c r="G337" s="30">
        <f>IF(OR(M337="",O337="",M337=0),"",(M337-O337)/M337)</f>
        <v>0.22044444444444444</v>
      </c>
      <c r="H337" s="22">
        <v>562.5</v>
      </c>
      <c r="I337" s="22">
        <v>1203</v>
      </c>
      <c r="J337" s="22">
        <v>1</v>
      </c>
      <c r="K337" s="22">
        <v>24</v>
      </c>
      <c r="L337" s="22">
        <v>18</v>
      </c>
      <c r="M337" s="22">
        <f>_xlfn.CEILING.MATH(F337*2)</f>
        <v>1125</v>
      </c>
      <c r="N337" s="22">
        <f>H337*1.18</f>
        <v>663.75</v>
      </c>
      <c r="O337" s="22">
        <f>_xlfn.CEILING.MATH(F337*1.56)-1</f>
        <v>877</v>
      </c>
    </row>
    <row r="338" spans="1:15" s="22" customFormat="1">
      <c r="A338" s="22">
        <v>122</v>
      </c>
      <c r="B338" s="22" t="s">
        <v>353</v>
      </c>
      <c r="C338" s="22" t="s">
        <v>1590</v>
      </c>
      <c r="E338" s="22">
        <v>1</v>
      </c>
      <c r="F338" s="22">
        <v>340.5</v>
      </c>
      <c r="G338" s="30">
        <f>IF(OR(M338="",O338="",M338=0),"",(M338-O338)/M338)</f>
        <v>0.22026431718061673</v>
      </c>
      <c r="H338" s="22">
        <v>340.5</v>
      </c>
      <c r="I338" s="22">
        <v>227</v>
      </c>
      <c r="J338" s="22">
        <v>12</v>
      </c>
      <c r="K338" s="22">
        <v>48</v>
      </c>
      <c r="L338" s="22">
        <v>18</v>
      </c>
      <c r="M338" s="22">
        <f>_xlfn.CEILING.MATH(F338*2)</f>
        <v>681</v>
      </c>
      <c r="N338" s="22">
        <f>H338*1.18</f>
        <v>401.78999999999996</v>
      </c>
      <c r="O338" s="22">
        <f>_xlfn.CEILING.MATH(F338*1.56)-1</f>
        <v>531</v>
      </c>
    </row>
    <row r="339" spans="1:15" s="22" customFormat="1">
      <c r="A339" s="22">
        <v>123</v>
      </c>
      <c r="B339" s="22" t="s">
        <v>354</v>
      </c>
      <c r="C339" s="22" t="s">
        <v>355</v>
      </c>
      <c r="E339" s="22">
        <v>1</v>
      </c>
      <c r="F339" s="22">
        <v>306.64999999999998</v>
      </c>
      <c r="G339" s="30">
        <f>IF(OR(M339="",O339="",M339=0),"",(M339-O339)/M339)</f>
        <v>0.22149837133550487</v>
      </c>
      <c r="H339" s="22">
        <v>306.64999999999998</v>
      </c>
      <c r="I339" s="22">
        <v>0</v>
      </c>
      <c r="J339" s="22">
        <v>3</v>
      </c>
      <c r="K339" s="22">
        <v>12</v>
      </c>
      <c r="L339" s="22">
        <v>18</v>
      </c>
      <c r="M339" s="22">
        <f>_xlfn.CEILING.MATH(F339*2)</f>
        <v>614</v>
      </c>
      <c r="N339" s="22">
        <f>H339*1.18</f>
        <v>361.84699999999998</v>
      </c>
      <c r="O339" s="22">
        <f>_xlfn.CEILING.MATH(F339*1.56)-1</f>
        <v>478</v>
      </c>
    </row>
    <row r="340" spans="1:15" s="22" customFormat="1">
      <c r="A340" s="22">
        <v>124</v>
      </c>
      <c r="B340" s="22" t="s">
        <v>356</v>
      </c>
      <c r="C340" s="22" t="s">
        <v>1591</v>
      </c>
      <c r="E340" s="22">
        <v>1</v>
      </c>
      <c r="F340" s="22">
        <v>123</v>
      </c>
      <c r="G340" s="30">
        <f>IF(OR(M340="",O340="",M340=0),"",(M340-O340)/M340)</f>
        <v>0.22357723577235772</v>
      </c>
      <c r="H340" s="22">
        <v>123</v>
      </c>
      <c r="I340" s="22">
        <v>381</v>
      </c>
      <c r="J340" s="22">
        <v>12</v>
      </c>
      <c r="K340" s="22">
        <v>48</v>
      </c>
      <c r="L340" s="22">
        <v>18</v>
      </c>
      <c r="M340" s="22">
        <f>_xlfn.CEILING.MATH(F340*2)</f>
        <v>246</v>
      </c>
      <c r="N340" s="22">
        <f>H340*1.18</f>
        <v>145.13999999999999</v>
      </c>
      <c r="O340" s="22">
        <f>_xlfn.CEILING.MATH(F340*1.56)-1</f>
        <v>191</v>
      </c>
    </row>
    <row r="341" spans="1:15" s="22" customFormat="1">
      <c r="A341" s="22">
        <v>125</v>
      </c>
      <c r="B341" s="22" t="s">
        <v>357</v>
      </c>
      <c r="C341" s="22" t="s">
        <v>1592</v>
      </c>
      <c r="E341" s="22">
        <v>1</v>
      </c>
      <c r="F341" s="22">
        <v>540</v>
      </c>
      <c r="G341" s="30">
        <f>IF(OR(M341="",O341="",M341=0),"",(M341-O341)/M341)</f>
        <v>0.22037037037037038</v>
      </c>
      <c r="H341" s="22">
        <v>540</v>
      </c>
      <c r="I341" s="22">
        <v>481</v>
      </c>
      <c r="J341" s="22">
        <v>1</v>
      </c>
      <c r="K341" s="22">
        <v>12</v>
      </c>
      <c r="L341" s="22">
        <v>18</v>
      </c>
      <c r="M341" s="22">
        <f>_xlfn.CEILING.MATH(F341*2)</f>
        <v>1080</v>
      </c>
      <c r="N341" s="22">
        <f>H341*1.18</f>
        <v>637.19999999999993</v>
      </c>
      <c r="O341" s="22">
        <f>_xlfn.CEILING.MATH(F341*1.56)-1</f>
        <v>842</v>
      </c>
    </row>
    <row r="342" spans="1:15" s="22" customFormat="1">
      <c r="A342" s="22">
        <v>126</v>
      </c>
      <c r="B342" s="22" t="s">
        <v>359</v>
      </c>
      <c r="C342" s="22" t="s">
        <v>1593</v>
      </c>
      <c r="E342" s="22">
        <v>1</v>
      </c>
      <c r="F342" s="22">
        <v>141</v>
      </c>
      <c r="G342" s="30">
        <f>IF(OR(M342="",O342="",M342=0),"",(M342-O342)/M342)</f>
        <v>0.22340425531914893</v>
      </c>
      <c r="H342" s="22">
        <v>141</v>
      </c>
      <c r="I342" s="22">
        <v>200</v>
      </c>
      <c r="J342" s="22">
        <v>5</v>
      </c>
      <c r="K342" s="22">
        <v>50</v>
      </c>
      <c r="L342" s="22">
        <v>18</v>
      </c>
      <c r="M342" s="22">
        <f>_xlfn.CEILING.MATH(F342*2)</f>
        <v>282</v>
      </c>
      <c r="N342" s="22">
        <f>H342*1.18</f>
        <v>166.38</v>
      </c>
      <c r="O342" s="22">
        <f>_xlfn.CEILING.MATH(F342*1.56)-1</f>
        <v>219</v>
      </c>
    </row>
    <row r="343" spans="1:15" s="22" customFormat="1">
      <c r="A343" s="22">
        <v>127</v>
      </c>
      <c r="B343" s="22" t="s">
        <v>360</v>
      </c>
      <c r="C343" s="22" t="s">
        <v>1594</v>
      </c>
      <c r="E343" s="22">
        <v>1</v>
      </c>
      <c r="F343" s="22">
        <v>141</v>
      </c>
      <c r="G343" s="30">
        <f>IF(OR(M343="",O343="",M343=0),"",(M343-O343)/M343)</f>
        <v>0.22340425531914893</v>
      </c>
      <c r="H343" s="22">
        <v>141</v>
      </c>
      <c r="I343" s="22">
        <v>1</v>
      </c>
      <c r="J343" s="22">
        <v>5</v>
      </c>
      <c r="K343" s="22">
        <v>50</v>
      </c>
      <c r="L343" s="22">
        <v>18</v>
      </c>
      <c r="M343" s="22">
        <f>_xlfn.CEILING.MATH(F343*2)</f>
        <v>282</v>
      </c>
      <c r="N343" s="22">
        <f>H343*1.18</f>
        <v>166.38</v>
      </c>
      <c r="O343" s="22">
        <f>_xlfn.CEILING.MATH(F343*1.56)-1</f>
        <v>219</v>
      </c>
    </row>
    <row r="344" spans="1:15" s="22" customFormat="1">
      <c r="A344" s="22">
        <v>128</v>
      </c>
      <c r="B344" s="22" t="s">
        <v>361</v>
      </c>
      <c r="C344" s="22" t="s">
        <v>1595</v>
      </c>
      <c r="E344" s="22">
        <v>1</v>
      </c>
      <c r="F344" s="22">
        <v>157.5</v>
      </c>
      <c r="G344" s="30">
        <f>IF(OR(M344="",O344="",M344=0),"",(M344-O344)/M344)</f>
        <v>0.22222222222222221</v>
      </c>
      <c r="H344" s="22">
        <v>157.5</v>
      </c>
      <c r="I344" s="22">
        <v>8</v>
      </c>
      <c r="J344" s="22">
        <v>5</v>
      </c>
      <c r="K344" s="22">
        <v>50</v>
      </c>
      <c r="L344" s="22">
        <v>18</v>
      </c>
      <c r="M344" s="22">
        <f>_xlfn.CEILING.MATH(F344*2)</f>
        <v>315</v>
      </c>
      <c r="N344" s="22">
        <f>H344*1.18</f>
        <v>185.85</v>
      </c>
      <c r="O344" s="22">
        <f>_xlfn.CEILING.MATH(F344*1.56)-1</f>
        <v>245</v>
      </c>
    </row>
    <row r="345" spans="1:15" s="22" customFormat="1">
      <c r="A345" s="22">
        <v>129</v>
      </c>
      <c r="B345" s="22" t="s">
        <v>362</v>
      </c>
      <c r="C345" s="22" t="s">
        <v>1596</v>
      </c>
      <c r="E345" s="22">
        <v>1</v>
      </c>
      <c r="F345" s="22">
        <v>171</v>
      </c>
      <c r="G345" s="30">
        <f>IF(OR(M345="",O345="",M345=0),"",(M345-O345)/M345)</f>
        <v>0.22222222222222221</v>
      </c>
      <c r="H345" s="22">
        <v>171</v>
      </c>
      <c r="I345" s="22">
        <v>81</v>
      </c>
      <c r="J345" s="22">
        <v>2</v>
      </c>
      <c r="K345" s="22">
        <v>48</v>
      </c>
      <c r="L345" s="22">
        <v>18</v>
      </c>
      <c r="M345" s="22">
        <f>_xlfn.CEILING.MATH(F345*2)</f>
        <v>342</v>
      </c>
      <c r="N345" s="22">
        <f>H345*1.18</f>
        <v>201.78</v>
      </c>
      <c r="O345" s="22">
        <f>_xlfn.CEILING.MATH(F345*1.56)-1</f>
        <v>266</v>
      </c>
    </row>
    <row r="346" spans="1:15" s="22" customFormat="1">
      <c r="A346" s="22">
        <v>130</v>
      </c>
      <c r="B346" s="22" t="s">
        <v>363</v>
      </c>
      <c r="C346" s="22" t="s">
        <v>1597</v>
      </c>
      <c r="E346" s="22">
        <v>1</v>
      </c>
      <c r="F346" s="22">
        <v>184.5</v>
      </c>
      <c r="G346" s="30">
        <f>IF(OR(M346="",O346="",M346=0),"",(M346-O346)/M346)</f>
        <v>0.22222222222222221</v>
      </c>
      <c r="H346" s="22">
        <v>184.5</v>
      </c>
      <c r="I346" s="22">
        <v>0</v>
      </c>
      <c r="J346" s="22">
        <v>2</v>
      </c>
      <c r="K346" s="22">
        <v>36</v>
      </c>
      <c r="L346" s="22">
        <v>18</v>
      </c>
      <c r="M346" s="22">
        <f>_xlfn.CEILING.MATH(F346*2)</f>
        <v>369</v>
      </c>
      <c r="N346" s="22">
        <f>H346*1.18</f>
        <v>217.70999999999998</v>
      </c>
      <c r="O346" s="22">
        <f>_xlfn.CEILING.MATH(F346*1.56)-1</f>
        <v>287</v>
      </c>
    </row>
    <row r="347" spans="1:15" s="22" customFormat="1">
      <c r="A347" s="22">
        <v>131</v>
      </c>
      <c r="B347" s="22" t="s">
        <v>364</v>
      </c>
      <c r="C347" s="22" t="s">
        <v>1598</v>
      </c>
      <c r="E347" s="22">
        <v>1</v>
      </c>
      <c r="F347" s="22">
        <v>184.5</v>
      </c>
      <c r="G347" s="30">
        <f>IF(OR(M347="",O347="",M347=0),"",(M347-O347)/M347)</f>
        <v>0.22222222222222221</v>
      </c>
      <c r="H347" s="22">
        <v>184.5</v>
      </c>
      <c r="I347" s="22">
        <v>1</v>
      </c>
      <c r="J347" s="22">
        <v>2</v>
      </c>
      <c r="K347" s="22">
        <v>36</v>
      </c>
      <c r="L347" s="22">
        <v>18</v>
      </c>
      <c r="M347" s="22">
        <f>_xlfn.CEILING.MATH(F347*2)</f>
        <v>369</v>
      </c>
      <c r="N347" s="22">
        <f>H347*1.18</f>
        <v>217.70999999999998</v>
      </c>
      <c r="O347" s="22">
        <f>_xlfn.CEILING.MATH(F347*1.56)-1</f>
        <v>287</v>
      </c>
    </row>
    <row r="348" spans="1:15" s="22" customFormat="1">
      <c r="A348" s="22">
        <v>132</v>
      </c>
      <c r="B348" s="22" t="s">
        <v>365</v>
      </c>
      <c r="C348" s="22" t="s">
        <v>1599</v>
      </c>
      <c r="E348" s="22">
        <v>1</v>
      </c>
      <c r="F348" s="22">
        <v>195.5</v>
      </c>
      <c r="G348" s="30">
        <f>IF(OR(M348="",O348="",M348=0),"",(M348-O348)/M348)</f>
        <v>0.22250639386189258</v>
      </c>
      <c r="H348" s="22">
        <v>195.5</v>
      </c>
      <c r="I348" s="22">
        <v>76</v>
      </c>
      <c r="J348" s="22">
        <v>2</v>
      </c>
      <c r="K348" s="22">
        <v>36</v>
      </c>
      <c r="L348" s="22">
        <v>18</v>
      </c>
      <c r="M348" s="22">
        <f>_xlfn.CEILING.MATH(F348*2)</f>
        <v>391</v>
      </c>
      <c r="N348" s="22">
        <f>H348*1.18</f>
        <v>230.69</v>
      </c>
      <c r="O348" s="22">
        <f>_xlfn.CEILING.MATH(F348*1.56)-1</f>
        <v>304</v>
      </c>
    </row>
    <row r="349" spans="1:15" s="22" customFormat="1">
      <c r="A349" s="22">
        <v>133</v>
      </c>
      <c r="B349" s="22" t="s">
        <v>366</v>
      </c>
      <c r="C349" s="22" t="s">
        <v>1600</v>
      </c>
      <c r="E349" s="22">
        <v>1</v>
      </c>
      <c r="F349" s="22">
        <v>211.5</v>
      </c>
      <c r="G349" s="30">
        <f>IF(OR(M349="",O349="",M349=0),"",(M349-O349)/M349)</f>
        <v>0.22222222222222221</v>
      </c>
      <c r="H349" s="22">
        <v>211.5</v>
      </c>
      <c r="I349" s="22">
        <v>39</v>
      </c>
      <c r="J349" s="22">
        <v>2</v>
      </c>
      <c r="K349" s="22">
        <v>36</v>
      </c>
      <c r="L349" s="22">
        <v>18</v>
      </c>
      <c r="M349" s="22">
        <f>_xlfn.CEILING.MATH(F349*2)</f>
        <v>423</v>
      </c>
      <c r="N349" s="22">
        <f>H349*1.18</f>
        <v>249.57</v>
      </c>
      <c r="O349" s="22">
        <f>_xlfn.CEILING.MATH(F349*1.56)-1</f>
        <v>329</v>
      </c>
    </row>
    <row r="350" spans="1:15" s="22" customFormat="1">
      <c r="A350" s="22">
        <v>134</v>
      </c>
      <c r="B350" s="22" t="s">
        <v>367</v>
      </c>
      <c r="C350" s="22" t="s">
        <v>1601</v>
      </c>
      <c r="E350" s="22">
        <v>1</v>
      </c>
      <c r="F350" s="22">
        <v>213</v>
      </c>
      <c r="G350" s="30">
        <f>IF(OR(M350="",O350="",M350=0),"",(M350-O350)/M350)</f>
        <v>0.22065727699530516</v>
      </c>
      <c r="H350" s="22">
        <v>213</v>
      </c>
      <c r="I350" s="22">
        <v>138</v>
      </c>
      <c r="J350" s="22">
        <v>2</v>
      </c>
      <c r="K350" s="22">
        <v>36</v>
      </c>
      <c r="L350" s="22">
        <v>18</v>
      </c>
      <c r="M350" s="22">
        <f>_xlfn.CEILING.MATH(F350*2)</f>
        <v>426</v>
      </c>
      <c r="N350" s="22">
        <f>H350*1.18</f>
        <v>251.33999999999997</v>
      </c>
      <c r="O350" s="22">
        <f>_xlfn.CEILING.MATH(F350*1.56)-1</f>
        <v>332</v>
      </c>
    </row>
    <row r="351" spans="1:15" s="22" customFormat="1">
      <c r="A351" s="22">
        <v>135</v>
      </c>
      <c r="B351" s="22" t="s">
        <v>368</v>
      </c>
      <c r="C351" s="22" t="s">
        <v>1602</v>
      </c>
      <c r="E351" s="22">
        <v>1</v>
      </c>
      <c r="F351" s="22">
        <v>229</v>
      </c>
      <c r="G351" s="30">
        <f>IF(OR(M351="",O351="",M351=0),"",(M351-O351)/M351)</f>
        <v>0.2205240174672489</v>
      </c>
      <c r="H351" s="22">
        <v>229</v>
      </c>
      <c r="I351" s="22">
        <v>24</v>
      </c>
      <c r="J351" s="22">
        <v>2</v>
      </c>
      <c r="K351" s="22">
        <v>36</v>
      </c>
      <c r="L351" s="22">
        <v>18</v>
      </c>
      <c r="M351" s="22">
        <f>_xlfn.CEILING.MATH(F351*2)</f>
        <v>458</v>
      </c>
      <c r="N351" s="22">
        <f>H351*1.18</f>
        <v>270.21999999999997</v>
      </c>
      <c r="O351" s="22">
        <f>_xlfn.CEILING.MATH(F351*1.56)-1</f>
        <v>357</v>
      </c>
    </row>
    <row r="352" spans="1:15" s="22" customFormat="1">
      <c r="A352" s="22">
        <v>136</v>
      </c>
      <c r="B352" s="22" t="s">
        <v>369</v>
      </c>
      <c r="C352" s="22" t="s">
        <v>1603</v>
      </c>
      <c r="E352" s="22">
        <v>1</v>
      </c>
      <c r="F352" s="22">
        <v>252</v>
      </c>
      <c r="G352" s="30">
        <f>IF(OR(M352="",O352="",M352=0),"",(M352-O352)/M352)</f>
        <v>0.22023809523809523</v>
      </c>
      <c r="H352" s="22">
        <v>252</v>
      </c>
      <c r="I352" s="22">
        <v>3</v>
      </c>
      <c r="J352" s="22">
        <v>2</v>
      </c>
      <c r="K352" s="22">
        <v>36</v>
      </c>
      <c r="L352" s="22">
        <v>18</v>
      </c>
      <c r="M352" s="22">
        <f>_xlfn.CEILING.MATH(F352*2)</f>
        <v>504</v>
      </c>
      <c r="N352" s="22">
        <f>H352*1.18</f>
        <v>297.35999999999996</v>
      </c>
      <c r="O352" s="22">
        <f>_xlfn.CEILING.MATH(F352*1.56)-1</f>
        <v>393</v>
      </c>
    </row>
    <row r="353" spans="1:15" s="22" customFormat="1">
      <c r="A353" s="22">
        <v>137</v>
      </c>
      <c r="B353" s="22" t="s">
        <v>370</v>
      </c>
      <c r="C353" s="22" t="s">
        <v>1604</v>
      </c>
      <c r="E353" s="22">
        <v>1</v>
      </c>
      <c r="F353" s="22">
        <v>294</v>
      </c>
      <c r="G353" s="30">
        <f>IF(OR(M353="",O353="",M353=0),"",(M353-O353)/M353)</f>
        <v>0.22108843537414966</v>
      </c>
      <c r="H353" s="22">
        <v>294</v>
      </c>
      <c r="I353" s="22">
        <v>100</v>
      </c>
      <c r="J353" s="22">
        <v>1</v>
      </c>
      <c r="K353" s="22">
        <v>36</v>
      </c>
      <c r="L353" s="22">
        <v>18</v>
      </c>
      <c r="M353" s="22">
        <f>_xlfn.CEILING.MATH(F353*2)</f>
        <v>588</v>
      </c>
      <c r="N353" s="22">
        <f>H353*1.18</f>
        <v>346.91999999999996</v>
      </c>
      <c r="O353" s="22">
        <f>_xlfn.CEILING.MATH(F353*1.56)-1</f>
        <v>458</v>
      </c>
    </row>
    <row r="354" spans="1:15" s="22" customFormat="1">
      <c r="A354" s="22">
        <v>138</v>
      </c>
      <c r="B354" s="22" t="s">
        <v>371</v>
      </c>
      <c r="C354" s="22" t="s">
        <v>1605</v>
      </c>
      <c r="E354" s="22">
        <v>1</v>
      </c>
      <c r="F354" s="22">
        <v>325.5</v>
      </c>
      <c r="G354" s="30">
        <f>IF(OR(M354="",O354="",M354=0),"",(M354-O354)/M354)</f>
        <v>0.22119815668202766</v>
      </c>
      <c r="H354" s="22">
        <v>325.5</v>
      </c>
      <c r="I354" s="22">
        <v>253</v>
      </c>
      <c r="J354" s="22">
        <v>1</v>
      </c>
      <c r="K354" s="22">
        <v>36</v>
      </c>
      <c r="L354" s="22">
        <v>18</v>
      </c>
      <c r="M354" s="22">
        <f>_xlfn.CEILING.MATH(F354*2)</f>
        <v>651</v>
      </c>
      <c r="N354" s="22">
        <f>H354*1.18</f>
        <v>384.09</v>
      </c>
      <c r="O354" s="22">
        <f>_xlfn.CEILING.MATH(F354*1.56)-1</f>
        <v>507</v>
      </c>
    </row>
    <row r="355" spans="1:15" s="22" customFormat="1">
      <c r="A355" s="22">
        <v>139</v>
      </c>
      <c r="B355" s="22" t="s">
        <v>372</v>
      </c>
      <c r="C355" s="22" t="s">
        <v>1606</v>
      </c>
      <c r="E355" s="22">
        <v>1</v>
      </c>
      <c r="F355" s="22">
        <v>382.5</v>
      </c>
      <c r="G355" s="30">
        <f>IF(OR(M355="",O355="",M355=0),"",(M355-O355)/M355)</f>
        <v>0.22091503267973855</v>
      </c>
      <c r="H355" s="22">
        <v>382.5</v>
      </c>
      <c r="I355" s="22">
        <v>0</v>
      </c>
      <c r="J355" s="22">
        <v>1</v>
      </c>
      <c r="K355" s="22">
        <v>24</v>
      </c>
      <c r="L355" s="22">
        <v>18</v>
      </c>
      <c r="M355" s="22">
        <f>_xlfn.CEILING.MATH(F355*2)</f>
        <v>765</v>
      </c>
      <c r="N355" s="22">
        <f>H355*1.18</f>
        <v>451.34999999999997</v>
      </c>
      <c r="O355" s="22">
        <f>_xlfn.CEILING.MATH(F355*1.56)-1</f>
        <v>596</v>
      </c>
    </row>
    <row r="356" spans="1:15" s="22" customFormat="1">
      <c r="A356" s="22">
        <v>140</v>
      </c>
      <c r="B356" s="22" t="s">
        <v>373</v>
      </c>
      <c r="C356" s="22" t="s">
        <v>1607</v>
      </c>
      <c r="E356" s="22">
        <v>1</v>
      </c>
      <c r="F356" s="22">
        <v>465</v>
      </c>
      <c r="G356" s="30">
        <f>IF(OR(M356="",O356="",M356=0),"",(M356-O356)/M356)</f>
        <v>0.22043010752688172</v>
      </c>
      <c r="H356" s="22">
        <v>465</v>
      </c>
      <c r="I356" s="22">
        <v>22</v>
      </c>
      <c r="J356" s="22">
        <v>1</v>
      </c>
      <c r="K356" s="22">
        <v>24</v>
      </c>
      <c r="L356" s="22">
        <v>18</v>
      </c>
      <c r="M356" s="22">
        <f>_xlfn.CEILING.MATH(F356*2)</f>
        <v>930</v>
      </c>
      <c r="N356" s="22">
        <f>H356*1.18</f>
        <v>548.69999999999993</v>
      </c>
      <c r="O356" s="22">
        <f>_xlfn.CEILING.MATH(F356*1.56)-1</f>
        <v>725</v>
      </c>
    </row>
    <row r="357" spans="1:15" s="22" customFormat="1">
      <c r="A357" s="22">
        <v>141</v>
      </c>
      <c r="B357" s="22" t="s">
        <v>374</v>
      </c>
      <c r="C357" s="22" t="s">
        <v>1608</v>
      </c>
      <c r="E357" s="22">
        <v>1</v>
      </c>
      <c r="F357" s="22">
        <v>607.5</v>
      </c>
      <c r="G357" s="30">
        <f>IF(OR(M357="",O357="",M357=0),"",(M357-O357)/M357)</f>
        <v>0.2205761316872428</v>
      </c>
      <c r="H357" s="22">
        <v>607.5</v>
      </c>
      <c r="I357" s="22">
        <v>0</v>
      </c>
      <c r="J357" s="22">
        <v>1</v>
      </c>
      <c r="K357" s="22">
        <v>24</v>
      </c>
      <c r="L357" s="22">
        <v>18</v>
      </c>
      <c r="M357" s="22">
        <f>_xlfn.CEILING.MATH(F357*2)</f>
        <v>1215</v>
      </c>
      <c r="N357" s="22">
        <f>H357*1.18</f>
        <v>716.84999999999991</v>
      </c>
      <c r="O357" s="22">
        <f>_xlfn.CEILING.MATH(F357*1.56)-1</f>
        <v>947</v>
      </c>
    </row>
    <row r="358" spans="1:15" s="22" customFormat="1">
      <c r="A358" s="22">
        <v>142</v>
      </c>
      <c r="B358" s="22" t="s">
        <v>375</v>
      </c>
      <c r="C358" s="22" t="s">
        <v>1609</v>
      </c>
      <c r="E358" s="22">
        <v>1</v>
      </c>
      <c r="F358" s="22">
        <v>303</v>
      </c>
      <c r="G358" s="30">
        <f>IF(OR(M358="",O358="",M358=0),"",(M358-O358)/M358)</f>
        <v>0.22112211221122113</v>
      </c>
      <c r="H358" s="22">
        <v>303</v>
      </c>
      <c r="I358" s="22">
        <v>318</v>
      </c>
      <c r="J358" s="22">
        <v>6</v>
      </c>
      <c r="K358" s="22">
        <v>36</v>
      </c>
      <c r="L358" s="22">
        <v>18</v>
      </c>
      <c r="M358" s="22">
        <f>_xlfn.CEILING.MATH(F358*2)</f>
        <v>606</v>
      </c>
      <c r="N358" s="22">
        <f>H358*1.18</f>
        <v>357.53999999999996</v>
      </c>
      <c r="O358" s="22">
        <f>_xlfn.CEILING.MATH(F358*1.56)-1</f>
        <v>472</v>
      </c>
    </row>
    <row r="359" spans="1:15" s="22" customFormat="1">
      <c r="A359" s="22">
        <v>143</v>
      </c>
      <c r="B359" s="22" t="s">
        <v>376</v>
      </c>
      <c r="C359" s="22" t="s">
        <v>1610</v>
      </c>
      <c r="E359" s="22">
        <v>1</v>
      </c>
      <c r="F359" s="22">
        <v>378</v>
      </c>
      <c r="G359" s="30">
        <f>IF(OR(M359="",O359="",M359=0),"",(M359-O359)/M359)</f>
        <v>0.2208994708994709</v>
      </c>
      <c r="H359" s="22">
        <v>378</v>
      </c>
      <c r="I359" s="22">
        <v>190</v>
      </c>
      <c r="J359" s="22">
        <v>6</v>
      </c>
      <c r="K359" s="22">
        <v>36</v>
      </c>
      <c r="L359" s="22">
        <v>18</v>
      </c>
      <c r="M359" s="22">
        <f>_xlfn.CEILING.MATH(F359*2)</f>
        <v>756</v>
      </c>
      <c r="N359" s="22">
        <f>H359*1.18</f>
        <v>446.03999999999996</v>
      </c>
      <c r="O359" s="22">
        <f>_xlfn.CEILING.MATH(F359*1.56)-1</f>
        <v>589</v>
      </c>
    </row>
    <row r="360" spans="1:15" s="22" customFormat="1">
      <c r="A360" s="22">
        <v>144</v>
      </c>
      <c r="B360" s="22" t="s">
        <v>377</v>
      </c>
      <c r="C360" s="22" t="s">
        <v>1611</v>
      </c>
      <c r="E360" s="22">
        <v>1</v>
      </c>
      <c r="F360" s="22">
        <v>445.5</v>
      </c>
      <c r="G360" s="30">
        <f>IF(OR(M360="",O360="",M360=0),"",(M360-O360)/M360)</f>
        <v>0.22109988776655443</v>
      </c>
      <c r="H360" s="22">
        <v>445.5</v>
      </c>
      <c r="I360" s="22">
        <v>40</v>
      </c>
      <c r="J360" s="22">
        <v>6</v>
      </c>
      <c r="K360" s="22">
        <v>24</v>
      </c>
      <c r="L360" s="22">
        <v>18</v>
      </c>
      <c r="M360" s="22">
        <f>_xlfn.CEILING.MATH(F360*2)</f>
        <v>891</v>
      </c>
      <c r="N360" s="22">
        <f>H360*1.18</f>
        <v>525.68999999999994</v>
      </c>
      <c r="O360" s="22">
        <f>_xlfn.CEILING.MATH(F360*1.56)-1</f>
        <v>694</v>
      </c>
    </row>
    <row r="361" spans="1:15" s="22" customFormat="1">
      <c r="A361" s="22">
        <v>145</v>
      </c>
      <c r="B361" s="22" t="s">
        <v>378</v>
      </c>
      <c r="C361" s="22" t="s">
        <v>1612</v>
      </c>
      <c r="E361" s="22">
        <v>1</v>
      </c>
      <c r="F361" s="22">
        <v>229.5</v>
      </c>
      <c r="G361" s="30">
        <f>IF(OR(M361="",O361="",M361=0),"",(M361-O361)/M361)</f>
        <v>0.22004357298474944</v>
      </c>
      <c r="H361" s="22">
        <v>229.5</v>
      </c>
      <c r="I361" s="22">
        <v>361</v>
      </c>
      <c r="J361" s="22">
        <v>6</v>
      </c>
      <c r="K361" s="22">
        <v>72</v>
      </c>
      <c r="L361" s="22">
        <v>18</v>
      </c>
      <c r="M361" s="22">
        <f>_xlfn.CEILING.MATH(F361*2)</f>
        <v>459</v>
      </c>
      <c r="N361" s="22">
        <f>H361*1.18</f>
        <v>270.81</v>
      </c>
      <c r="O361" s="22">
        <f>_xlfn.CEILING.MATH(F361*1.56)-1</f>
        <v>358</v>
      </c>
    </row>
    <row r="362" spans="1:15" s="22" customFormat="1">
      <c r="A362" s="22">
        <v>146</v>
      </c>
      <c r="B362" s="22" t="s">
        <v>379</v>
      </c>
      <c r="C362" s="22" t="s">
        <v>1613</v>
      </c>
      <c r="E362" s="22">
        <v>1</v>
      </c>
      <c r="F362" s="22">
        <v>79.89</v>
      </c>
      <c r="G362" s="30">
        <f>IF(OR(M362="",O362="",M362=0),"",(M362-O362)/M362)</f>
        <v>0.22500000000000001</v>
      </c>
      <c r="H362" s="22">
        <v>79.89</v>
      </c>
      <c r="I362" s="22">
        <v>0</v>
      </c>
      <c r="J362" s="22">
        <v>6</v>
      </c>
      <c r="K362" s="22">
        <v>120</v>
      </c>
      <c r="L362" s="22">
        <v>18</v>
      </c>
      <c r="M362" s="22">
        <f>_xlfn.CEILING.MATH(F362*2)</f>
        <v>160</v>
      </c>
      <c r="N362" s="22">
        <f>H362*1.18</f>
        <v>94.270200000000003</v>
      </c>
      <c r="O362" s="22">
        <f>_xlfn.CEILING.MATH(F362*1.56)-1</f>
        <v>124</v>
      </c>
    </row>
    <row r="363" spans="1:15" s="22" customFormat="1">
      <c r="A363" s="22">
        <v>147</v>
      </c>
      <c r="B363" s="22" t="s">
        <v>380</v>
      </c>
      <c r="C363" s="22" t="s">
        <v>1614</v>
      </c>
      <c r="E363" s="22">
        <v>1</v>
      </c>
      <c r="F363" s="22">
        <v>79.89</v>
      </c>
      <c r="G363" s="30">
        <f>IF(OR(M363="",O363="",M363=0),"",(M363-O363)/M363)</f>
        <v>0.22500000000000001</v>
      </c>
      <c r="H363" s="22">
        <v>79.89</v>
      </c>
      <c r="I363" s="22">
        <v>0</v>
      </c>
      <c r="J363" s="22">
        <v>6</v>
      </c>
      <c r="K363" s="22">
        <v>120</v>
      </c>
      <c r="L363" s="22">
        <v>18</v>
      </c>
      <c r="M363" s="22">
        <f>_xlfn.CEILING.MATH(F363*2)</f>
        <v>160</v>
      </c>
      <c r="N363" s="22">
        <f>H363*1.18</f>
        <v>94.270200000000003</v>
      </c>
      <c r="O363" s="22">
        <f>_xlfn.CEILING.MATH(F363*1.56)-1</f>
        <v>124</v>
      </c>
    </row>
    <row r="364" spans="1:15" s="22" customFormat="1">
      <c r="A364" s="22">
        <v>148</v>
      </c>
      <c r="B364" s="22" t="s">
        <v>381</v>
      </c>
      <c r="C364" s="22" t="s">
        <v>1615</v>
      </c>
      <c r="E364" s="22">
        <v>1</v>
      </c>
      <c r="F364" s="22">
        <v>79.89</v>
      </c>
      <c r="G364" s="30">
        <f>IF(OR(M364="",O364="",M364=0),"",(M364-O364)/M364)</f>
        <v>0.22500000000000001</v>
      </c>
      <c r="H364" s="22">
        <v>79.89</v>
      </c>
      <c r="I364" s="22">
        <v>0</v>
      </c>
      <c r="J364" s="22">
        <v>6</v>
      </c>
      <c r="K364" s="22">
        <v>120</v>
      </c>
      <c r="L364" s="22">
        <v>18</v>
      </c>
      <c r="M364" s="22">
        <f>_xlfn.CEILING.MATH(F364*2)</f>
        <v>160</v>
      </c>
      <c r="N364" s="22">
        <f>H364*1.18</f>
        <v>94.270200000000003</v>
      </c>
      <c r="O364" s="22">
        <f>_xlfn.CEILING.MATH(F364*1.56)-1</f>
        <v>124</v>
      </c>
    </row>
    <row r="365" spans="1:15" s="22" customFormat="1">
      <c r="A365" s="22">
        <v>149</v>
      </c>
      <c r="B365" s="22" t="s">
        <v>382</v>
      </c>
      <c r="C365" s="22" t="s">
        <v>1616</v>
      </c>
      <c r="E365" s="22">
        <v>1</v>
      </c>
      <c r="F365" s="22">
        <v>79.89</v>
      </c>
      <c r="G365" s="30">
        <f>IF(OR(M365="",O365="",M365=0),"",(M365-O365)/M365)</f>
        <v>0.22500000000000001</v>
      </c>
      <c r="H365" s="22">
        <v>79.89</v>
      </c>
      <c r="I365" s="22">
        <v>0</v>
      </c>
      <c r="J365" s="22">
        <v>6</v>
      </c>
      <c r="K365" s="22">
        <v>120</v>
      </c>
      <c r="L365" s="22">
        <v>18</v>
      </c>
      <c r="M365" s="22">
        <f>_xlfn.CEILING.MATH(F365*2)</f>
        <v>160</v>
      </c>
      <c r="N365" s="22">
        <f>H365*1.18</f>
        <v>94.270200000000003</v>
      </c>
      <c r="O365" s="22">
        <f>_xlfn.CEILING.MATH(F365*1.56)-1</f>
        <v>124</v>
      </c>
    </row>
    <row r="366" spans="1:15" s="22" customFormat="1">
      <c r="A366" s="22">
        <v>150</v>
      </c>
      <c r="B366" s="22" t="s">
        <v>383</v>
      </c>
      <c r="C366" s="22" t="s">
        <v>1617</v>
      </c>
      <c r="E366" s="22">
        <v>1</v>
      </c>
      <c r="F366" s="22">
        <v>79.89</v>
      </c>
      <c r="G366" s="30">
        <f>IF(OR(M366="",O366="",M366=0),"",(M366-O366)/M366)</f>
        <v>0.22500000000000001</v>
      </c>
      <c r="H366" s="22">
        <v>79.89</v>
      </c>
      <c r="I366" s="22">
        <v>0</v>
      </c>
      <c r="J366" s="22">
        <v>6</v>
      </c>
      <c r="K366" s="22">
        <v>120</v>
      </c>
      <c r="L366" s="22">
        <v>18</v>
      </c>
      <c r="M366" s="22">
        <f>_xlfn.CEILING.MATH(F366*2)</f>
        <v>160</v>
      </c>
      <c r="N366" s="22">
        <f>H366*1.18</f>
        <v>94.270200000000003</v>
      </c>
      <c r="O366" s="22">
        <f>_xlfn.CEILING.MATH(F366*1.56)-1</f>
        <v>124</v>
      </c>
    </row>
    <row r="367" spans="1:15" s="22" customFormat="1">
      <c r="A367" s="22">
        <v>151</v>
      </c>
      <c r="B367" s="22" t="s">
        <v>384</v>
      </c>
      <c r="C367" s="22" t="s">
        <v>1618</v>
      </c>
      <c r="E367" s="22">
        <v>1</v>
      </c>
      <c r="F367" s="22">
        <v>79.89</v>
      </c>
      <c r="G367" s="30">
        <f>IF(OR(M367="",O367="",M367=0),"",(M367-O367)/M367)</f>
        <v>0.22500000000000001</v>
      </c>
      <c r="H367" s="22">
        <v>79.89</v>
      </c>
      <c r="I367" s="22">
        <v>0</v>
      </c>
      <c r="J367" s="22">
        <v>6</v>
      </c>
      <c r="K367" s="22">
        <v>120</v>
      </c>
      <c r="L367" s="22">
        <v>18</v>
      </c>
      <c r="M367" s="22">
        <f>_xlfn.CEILING.MATH(F367*2)</f>
        <v>160</v>
      </c>
      <c r="N367" s="22">
        <f>H367*1.18</f>
        <v>94.270200000000003</v>
      </c>
      <c r="O367" s="22">
        <f>_xlfn.CEILING.MATH(F367*1.56)-1</f>
        <v>124</v>
      </c>
    </row>
    <row r="368" spans="1:15" s="22" customFormat="1">
      <c r="A368" s="22">
        <v>152</v>
      </c>
      <c r="B368" s="22" t="s">
        <v>385</v>
      </c>
      <c r="C368" s="22" t="s">
        <v>1619</v>
      </c>
      <c r="E368" s="22">
        <v>1</v>
      </c>
      <c r="F368" s="22">
        <v>79.89</v>
      </c>
      <c r="G368" s="30">
        <f>IF(OR(M368="",O368="",M368=0),"",(M368-O368)/M368)</f>
        <v>0.22500000000000001</v>
      </c>
      <c r="H368" s="22">
        <v>79.89</v>
      </c>
      <c r="I368" s="22">
        <v>0</v>
      </c>
      <c r="J368" s="22">
        <v>6</v>
      </c>
      <c r="K368" s="22">
        <v>120</v>
      </c>
      <c r="L368" s="22">
        <v>18</v>
      </c>
      <c r="M368" s="22">
        <f>_xlfn.CEILING.MATH(F368*2)</f>
        <v>160</v>
      </c>
      <c r="N368" s="22">
        <f>H368*1.18</f>
        <v>94.270200000000003</v>
      </c>
      <c r="O368" s="22">
        <f>_xlfn.CEILING.MATH(F368*1.56)-1</f>
        <v>124</v>
      </c>
    </row>
    <row r="369" spans="1:15" s="22" customFormat="1">
      <c r="A369" s="22">
        <v>153</v>
      </c>
      <c r="B369" s="22" t="s">
        <v>386</v>
      </c>
      <c r="C369" s="22" t="s">
        <v>1620</v>
      </c>
      <c r="E369" s="22">
        <v>1</v>
      </c>
      <c r="F369" s="22">
        <v>79.89</v>
      </c>
      <c r="G369" s="30">
        <f>IF(OR(M369="",O369="",M369=0),"",(M369-O369)/M369)</f>
        <v>0.22500000000000001</v>
      </c>
      <c r="H369" s="22">
        <v>79.89</v>
      </c>
      <c r="I369" s="22">
        <v>0</v>
      </c>
      <c r="J369" s="22">
        <v>6</v>
      </c>
      <c r="K369" s="22">
        <v>120</v>
      </c>
      <c r="L369" s="22">
        <v>18</v>
      </c>
      <c r="M369" s="22">
        <f>_xlfn.CEILING.MATH(F369*2)</f>
        <v>160</v>
      </c>
      <c r="N369" s="22">
        <f>H369*1.18</f>
        <v>94.270200000000003</v>
      </c>
      <c r="O369" s="22">
        <f>_xlfn.CEILING.MATH(F369*1.56)-1</f>
        <v>124</v>
      </c>
    </row>
    <row r="370" spans="1:15" s="22" customFormat="1">
      <c r="A370" s="22">
        <v>154</v>
      </c>
      <c r="B370" s="22" t="s">
        <v>387</v>
      </c>
      <c r="C370" s="22" t="s">
        <v>1621</v>
      </c>
      <c r="E370" s="22">
        <v>1</v>
      </c>
      <c r="F370" s="22">
        <v>79.89</v>
      </c>
      <c r="G370" s="30">
        <f>IF(OR(M370="",O370="",M370=0),"",(M370-O370)/M370)</f>
        <v>0.22500000000000001</v>
      </c>
      <c r="H370" s="22">
        <v>79.89</v>
      </c>
      <c r="I370" s="22">
        <v>0</v>
      </c>
      <c r="J370" s="22">
        <v>6</v>
      </c>
      <c r="K370" s="22">
        <v>120</v>
      </c>
      <c r="L370" s="22">
        <v>18</v>
      </c>
      <c r="M370" s="22">
        <f>_xlfn.CEILING.MATH(F370*2)</f>
        <v>160</v>
      </c>
      <c r="N370" s="22">
        <f>H370*1.18</f>
        <v>94.270200000000003</v>
      </c>
      <c r="O370" s="22">
        <f>_xlfn.CEILING.MATH(F370*1.56)-1</f>
        <v>124</v>
      </c>
    </row>
    <row r="371" spans="1:15" s="22" customFormat="1">
      <c r="A371" s="22">
        <v>155</v>
      </c>
      <c r="B371" s="22" t="s">
        <v>388</v>
      </c>
      <c r="C371" s="22" t="s">
        <v>1622</v>
      </c>
      <c r="E371" s="22">
        <v>1</v>
      </c>
      <c r="F371" s="22">
        <v>79.89</v>
      </c>
      <c r="G371" s="30">
        <f>IF(OR(M371="",O371="",M371=0),"",(M371-O371)/M371)</f>
        <v>0.22500000000000001</v>
      </c>
      <c r="H371" s="22">
        <v>79.89</v>
      </c>
      <c r="I371" s="22">
        <v>0</v>
      </c>
      <c r="J371" s="22">
        <v>6</v>
      </c>
      <c r="K371" s="22">
        <v>120</v>
      </c>
      <c r="L371" s="22">
        <v>18</v>
      </c>
      <c r="M371" s="22">
        <f>_xlfn.CEILING.MATH(F371*2)</f>
        <v>160</v>
      </c>
      <c r="N371" s="22">
        <f>H371*1.18</f>
        <v>94.270200000000003</v>
      </c>
      <c r="O371" s="22">
        <f>_xlfn.CEILING.MATH(F371*1.56)-1</f>
        <v>124</v>
      </c>
    </row>
    <row r="372" spans="1:15" s="22" customFormat="1">
      <c r="A372" s="22">
        <v>156</v>
      </c>
      <c r="B372" s="22" t="s">
        <v>389</v>
      </c>
      <c r="C372" s="22" t="s">
        <v>1623</v>
      </c>
      <c r="E372" s="22">
        <v>1</v>
      </c>
      <c r="F372" s="22">
        <v>79.89</v>
      </c>
      <c r="G372" s="30">
        <f>IF(OR(M372="",O372="",M372=0),"",(M372-O372)/M372)</f>
        <v>0.22500000000000001</v>
      </c>
      <c r="H372" s="22">
        <v>79.89</v>
      </c>
      <c r="I372" s="22">
        <v>0</v>
      </c>
      <c r="J372" s="22">
        <v>6</v>
      </c>
      <c r="K372" s="22">
        <v>120</v>
      </c>
      <c r="L372" s="22">
        <v>18</v>
      </c>
      <c r="M372" s="22">
        <f>_xlfn.CEILING.MATH(F372*2)</f>
        <v>160</v>
      </c>
      <c r="N372" s="22">
        <f>H372*1.18</f>
        <v>94.270200000000003</v>
      </c>
      <c r="O372" s="22">
        <f>_xlfn.CEILING.MATH(F372*1.56)-1</f>
        <v>124</v>
      </c>
    </row>
    <row r="373" spans="1:15" s="22" customFormat="1">
      <c r="A373" s="22">
        <v>157</v>
      </c>
      <c r="B373" s="22" t="s">
        <v>390</v>
      </c>
      <c r="C373" s="22" t="s">
        <v>1624</v>
      </c>
      <c r="E373" s="22">
        <v>1</v>
      </c>
      <c r="F373" s="22">
        <v>79.89</v>
      </c>
      <c r="G373" s="30">
        <f>IF(OR(M373="",O373="",M373=0),"",(M373-O373)/M373)</f>
        <v>0.22500000000000001</v>
      </c>
      <c r="H373" s="22">
        <v>79.89</v>
      </c>
      <c r="I373" s="22">
        <v>0</v>
      </c>
      <c r="J373" s="22">
        <v>6</v>
      </c>
      <c r="K373" s="22">
        <v>120</v>
      </c>
      <c r="L373" s="22">
        <v>18</v>
      </c>
      <c r="M373" s="22">
        <f>_xlfn.CEILING.MATH(F373*2)</f>
        <v>160</v>
      </c>
      <c r="N373" s="22">
        <f>H373*1.18</f>
        <v>94.270200000000003</v>
      </c>
      <c r="O373" s="22">
        <f>_xlfn.CEILING.MATH(F373*1.56)-1</f>
        <v>124</v>
      </c>
    </row>
    <row r="374" spans="1:15" s="22" customFormat="1">
      <c r="A374" s="22">
        <v>158</v>
      </c>
      <c r="B374" s="22" t="s">
        <v>391</v>
      </c>
      <c r="C374" s="22" t="s">
        <v>1625</v>
      </c>
      <c r="E374" s="22">
        <v>1</v>
      </c>
      <c r="F374" s="22">
        <v>79.89</v>
      </c>
      <c r="G374" s="30">
        <f>IF(OR(M374="",O374="",M374=0),"",(M374-O374)/M374)</f>
        <v>0.22500000000000001</v>
      </c>
      <c r="H374" s="22">
        <v>79.89</v>
      </c>
      <c r="I374" s="22">
        <v>0</v>
      </c>
      <c r="J374" s="22">
        <v>6</v>
      </c>
      <c r="K374" s="22">
        <v>120</v>
      </c>
      <c r="L374" s="22">
        <v>18</v>
      </c>
      <c r="M374" s="22">
        <f>_xlfn.CEILING.MATH(F374*2)</f>
        <v>160</v>
      </c>
      <c r="N374" s="22">
        <f>H374*1.18</f>
        <v>94.270200000000003</v>
      </c>
      <c r="O374" s="22">
        <f>_xlfn.CEILING.MATH(F374*1.56)-1</f>
        <v>124</v>
      </c>
    </row>
    <row r="375" spans="1:15" s="22" customFormat="1">
      <c r="A375" s="22">
        <v>159</v>
      </c>
      <c r="B375" s="22" t="s">
        <v>392</v>
      </c>
      <c r="C375" s="22" t="s">
        <v>1626</v>
      </c>
      <c r="E375" s="22">
        <v>1</v>
      </c>
      <c r="F375" s="22">
        <v>79.89</v>
      </c>
      <c r="G375" s="30">
        <f>IF(OR(M375="",O375="",M375=0),"",(M375-O375)/M375)</f>
        <v>0.22500000000000001</v>
      </c>
      <c r="H375" s="22">
        <v>79.89</v>
      </c>
      <c r="I375" s="22">
        <v>0</v>
      </c>
      <c r="J375" s="22">
        <v>6</v>
      </c>
      <c r="K375" s="22">
        <v>120</v>
      </c>
      <c r="L375" s="22">
        <v>18</v>
      </c>
      <c r="M375" s="22">
        <f>_xlfn.CEILING.MATH(F375*2)</f>
        <v>160</v>
      </c>
      <c r="N375" s="22">
        <f>H375*1.18</f>
        <v>94.270200000000003</v>
      </c>
      <c r="O375" s="22">
        <f>_xlfn.CEILING.MATH(F375*1.56)-1</f>
        <v>124</v>
      </c>
    </row>
    <row r="376" spans="1:15" s="22" customFormat="1">
      <c r="A376" s="22">
        <v>160</v>
      </c>
      <c r="B376" s="22" t="s">
        <v>393</v>
      </c>
      <c r="C376" s="22" t="s">
        <v>1627</v>
      </c>
      <c r="E376" s="22">
        <v>1</v>
      </c>
      <c r="F376" s="22">
        <v>79.89</v>
      </c>
      <c r="G376" s="30">
        <f>IF(OR(M376="",O376="",M376=0),"",(M376-O376)/M376)</f>
        <v>0.22500000000000001</v>
      </c>
      <c r="H376" s="22">
        <v>79.89</v>
      </c>
      <c r="I376" s="22">
        <v>0</v>
      </c>
      <c r="J376" s="22">
        <v>6</v>
      </c>
      <c r="K376" s="22">
        <v>120</v>
      </c>
      <c r="L376" s="22">
        <v>18</v>
      </c>
      <c r="M376" s="22">
        <f>_xlfn.CEILING.MATH(F376*2)</f>
        <v>160</v>
      </c>
      <c r="N376" s="22">
        <f>H376*1.18</f>
        <v>94.270200000000003</v>
      </c>
      <c r="O376" s="22">
        <f>_xlfn.CEILING.MATH(F376*1.56)-1</f>
        <v>124</v>
      </c>
    </row>
    <row r="377" spans="1:15" s="22" customFormat="1">
      <c r="A377" s="22">
        <v>161</v>
      </c>
      <c r="B377" s="22" t="s">
        <v>394</v>
      </c>
      <c r="C377" s="22" t="s">
        <v>1628</v>
      </c>
      <c r="E377" s="22">
        <v>1</v>
      </c>
      <c r="F377" s="22">
        <v>79.89</v>
      </c>
      <c r="G377" s="30">
        <f>IF(OR(M377="",O377="",M377=0),"",(M377-O377)/M377)</f>
        <v>0.22500000000000001</v>
      </c>
      <c r="H377" s="22">
        <v>79.89</v>
      </c>
      <c r="I377" s="22">
        <v>0</v>
      </c>
      <c r="J377" s="22">
        <v>6</v>
      </c>
      <c r="K377" s="22">
        <v>120</v>
      </c>
      <c r="L377" s="22">
        <v>18</v>
      </c>
      <c r="M377" s="22">
        <f>_xlfn.CEILING.MATH(F377*2)</f>
        <v>160</v>
      </c>
      <c r="N377" s="22">
        <f>H377*1.18</f>
        <v>94.270200000000003</v>
      </c>
      <c r="O377" s="22">
        <f>_xlfn.CEILING.MATH(F377*1.56)-1</f>
        <v>124</v>
      </c>
    </row>
    <row r="378" spans="1:15" s="22" customFormat="1">
      <c r="A378" s="22">
        <v>162</v>
      </c>
      <c r="B378" s="22" t="s">
        <v>395</v>
      </c>
      <c r="C378" s="22" t="s">
        <v>1629</v>
      </c>
      <c r="E378" s="22">
        <v>1</v>
      </c>
      <c r="F378" s="22">
        <v>79.89</v>
      </c>
      <c r="G378" s="30">
        <f>IF(OR(M378="",O378="",M378=0),"",(M378-O378)/M378)</f>
        <v>0.22500000000000001</v>
      </c>
      <c r="H378" s="22">
        <v>79.89</v>
      </c>
      <c r="I378" s="22">
        <v>0</v>
      </c>
      <c r="J378" s="22">
        <v>6</v>
      </c>
      <c r="K378" s="22">
        <v>120</v>
      </c>
      <c r="L378" s="22">
        <v>18</v>
      </c>
      <c r="M378" s="22">
        <f>_xlfn.CEILING.MATH(F378*2)</f>
        <v>160</v>
      </c>
      <c r="N378" s="22">
        <f>H378*1.18</f>
        <v>94.270200000000003</v>
      </c>
      <c r="O378" s="22">
        <f>_xlfn.CEILING.MATH(F378*1.56)-1</f>
        <v>124</v>
      </c>
    </row>
    <row r="379" spans="1:15" s="22" customFormat="1">
      <c r="A379" s="22">
        <v>163</v>
      </c>
      <c r="B379" s="22" t="s">
        <v>396</v>
      </c>
      <c r="C379" s="22" t="s">
        <v>1630</v>
      </c>
      <c r="E379" s="22">
        <v>1</v>
      </c>
      <c r="F379" s="22">
        <v>79.89</v>
      </c>
      <c r="G379" s="30">
        <f>IF(OR(M379="",O379="",M379=0),"",(M379-O379)/M379)</f>
        <v>0.22500000000000001</v>
      </c>
      <c r="H379" s="22">
        <v>79.89</v>
      </c>
      <c r="I379" s="22">
        <v>0</v>
      </c>
      <c r="J379" s="22">
        <v>6</v>
      </c>
      <c r="K379" s="22">
        <v>120</v>
      </c>
      <c r="L379" s="22">
        <v>18</v>
      </c>
      <c r="M379" s="22">
        <f>_xlfn.CEILING.MATH(F379*2)</f>
        <v>160</v>
      </c>
      <c r="N379" s="22">
        <f>H379*1.18</f>
        <v>94.270200000000003</v>
      </c>
      <c r="O379" s="22">
        <f>_xlfn.CEILING.MATH(F379*1.56)-1</f>
        <v>124</v>
      </c>
    </row>
    <row r="380" spans="1:15" s="22" customFormat="1">
      <c r="A380" s="22">
        <v>164</v>
      </c>
      <c r="B380" s="22" t="s">
        <v>397</v>
      </c>
      <c r="C380" s="22" t="s">
        <v>1631</v>
      </c>
      <c r="E380" s="22">
        <v>1</v>
      </c>
      <c r="F380" s="22">
        <v>79.89</v>
      </c>
      <c r="G380" s="30">
        <f>IF(OR(M380="",O380="",M380=0),"",(M380-O380)/M380)</f>
        <v>0.22500000000000001</v>
      </c>
      <c r="H380" s="22">
        <v>79.89</v>
      </c>
      <c r="I380" s="22">
        <v>0</v>
      </c>
      <c r="J380" s="22">
        <v>6</v>
      </c>
      <c r="K380" s="22">
        <v>120</v>
      </c>
      <c r="L380" s="22">
        <v>18</v>
      </c>
      <c r="M380" s="22">
        <f>_xlfn.CEILING.MATH(F380*2)</f>
        <v>160</v>
      </c>
      <c r="N380" s="22">
        <f>H380*1.18</f>
        <v>94.270200000000003</v>
      </c>
      <c r="O380" s="22">
        <f>_xlfn.CEILING.MATH(F380*1.56)-1</f>
        <v>124</v>
      </c>
    </row>
    <row r="381" spans="1:15" s="22" customFormat="1">
      <c r="A381" s="22">
        <v>165</v>
      </c>
      <c r="B381" s="22" t="s">
        <v>398</v>
      </c>
      <c r="C381" s="22" t="s">
        <v>1632</v>
      </c>
      <c r="E381" s="22">
        <v>1</v>
      </c>
      <c r="F381" s="22">
        <v>79.89</v>
      </c>
      <c r="G381" s="30">
        <f>IF(OR(M381="",O381="",M381=0),"",(M381-O381)/M381)</f>
        <v>0.22500000000000001</v>
      </c>
      <c r="H381" s="22">
        <v>79.89</v>
      </c>
      <c r="I381" s="22">
        <v>0</v>
      </c>
      <c r="J381" s="22">
        <v>6</v>
      </c>
      <c r="K381" s="22">
        <v>120</v>
      </c>
      <c r="L381" s="22">
        <v>18</v>
      </c>
      <c r="M381" s="22">
        <f>_xlfn.CEILING.MATH(F381*2)</f>
        <v>160</v>
      </c>
      <c r="N381" s="22">
        <f>H381*1.18</f>
        <v>94.270200000000003</v>
      </c>
      <c r="O381" s="22">
        <f>_xlfn.CEILING.MATH(F381*1.56)-1</f>
        <v>124</v>
      </c>
    </row>
    <row r="382" spans="1:15" s="22" customFormat="1">
      <c r="A382" s="22">
        <v>166</v>
      </c>
      <c r="B382" s="22" t="s">
        <v>399</v>
      </c>
      <c r="C382" s="22" t="s">
        <v>1633</v>
      </c>
      <c r="E382" s="22">
        <v>1</v>
      </c>
      <c r="F382" s="22">
        <v>79.89</v>
      </c>
      <c r="G382" s="30">
        <f>IF(OR(M382="",O382="",M382=0),"",(M382-O382)/M382)</f>
        <v>0.22500000000000001</v>
      </c>
      <c r="H382" s="22">
        <v>79.89</v>
      </c>
      <c r="I382" s="22">
        <v>0</v>
      </c>
      <c r="J382" s="22">
        <v>6</v>
      </c>
      <c r="K382" s="22">
        <v>120</v>
      </c>
      <c r="L382" s="22">
        <v>18</v>
      </c>
      <c r="M382" s="22">
        <f>_xlfn.CEILING.MATH(F382*2)</f>
        <v>160</v>
      </c>
      <c r="N382" s="22">
        <f>H382*1.18</f>
        <v>94.270200000000003</v>
      </c>
      <c r="O382" s="22">
        <f>_xlfn.CEILING.MATH(F382*1.56)-1</f>
        <v>124</v>
      </c>
    </row>
    <row r="383" spans="1:15" s="22" customFormat="1">
      <c r="A383" s="22">
        <v>167</v>
      </c>
      <c r="B383" s="22" t="s">
        <v>400</v>
      </c>
      <c r="C383" s="22" t="s">
        <v>1634</v>
      </c>
      <c r="E383" s="22">
        <v>1</v>
      </c>
      <c r="F383" s="22">
        <v>79.89</v>
      </c>
      <c r="G383" s="30">
        <f>IF(OR(M383="",O383="",M383=0),"",(M383-O383)/M383)</f>
        <v>0.22500000000000001</v>
      </c>
      <c r="H383" s="22">
        <v>79.89</v>
      </c>
      <c r="I383" s="22">
        <v>0</v>
      </c>
      <c r="J383" s="22">
        <v>6</v>
      </c>
      <c r="K383" s="22">
        <v>120</v>
      </c>
      <c r="L383" s="22">
        <v>18</v>
      </c>
      <c r="M383" s="22">
        <f>_xlfn.CEILING.MATH(F383*2)</f>
        <v>160</v>
      </c>
      <c r="N383" s="22">
        <f>H383*1.18</f>
        <v>94.270200000000003</v>
      </c>
      <c r="O383" s="22">
        <f>_xlfn.CEILING.MATH(F383*1.56)-1</f>
        <v>124</v>
      </c>
    </row>
    <row r="384" spans="1:15" s="22" customFormat="1">
      <c r="A384" s="22">
        <v>168</v>
      </c>
      <c r="B384" s="22" t="s">
        <v>401</v>
      </c>
      <c r="C384" s="22" t="s">
        <v>1635</v>
      </c>
      <c r="E384" s="22">
        <v>1</v>
      </c>
      <c r="F384" s="22">
        <v>79.89</v>
      </c>
      <c r="G384" s="30">
        <f>IF(OR(M384="",O384="",M384=0),"",(M384-O384)/M384)</f>
        <v>0.22500000000000001</v>
      </c>
      <c r="H384" s="22">
        <v>79.89</v>
      </c>
      <c r="I384" s="22">
        <v>0</v>
      </c>
      <c r="J384" s="22">
        <v>6</v>
      </c>
      <c r="K384" s="22">
        <v>120</v>
      </c>
      <c r="L384" s="22">
        <v>18</v>
      </c>
      <c r="M384" s="22">
        <f>_xlfn.CEILING.MATH(F384*2)</f>
        <v>160</v>
      </c>
      <c r="N384" s="22">
        <f>H384*1.18</f>
        <v>94.270200000000003</v>
      </c>
      <c r="O384" s="22">
        <f>_xlfn.CEILING.MATH(F384*1.56)-1</f>
        <v>124</v>
      </c>
    </row>
    <row r="385" spans="1:15" s="22" customFormat="1">
      <c r="A385" s="22">
        <v>169</v>
      </c>
      <c r="B385" s="22" t="s">
        <v>402</v>
      </c>
      <c r="C385" s="22" t="s">
        <v>1636</v>
      </c>
      <c r="E385" s="22">
        <v>1</v>
      </c>
      <c r="F385" s="22">
        <v>79.89</v>
      </c>
      <c r="G385" s="30">
        <f>IF(OR(M385="",O385="",M385=0),"",(M385-O385)/M385)</f>
        <v>0.22500000000000001</v>
      </c>
      <c r="H385" s="22">
        <v>79.89</v>
      </c>
      <c r="I385" s="22">
        <v>0</v>
      </c>
      <c r="J385" s="22">
        <v>6</v>
      </c>
      <c r="K385" s="22">
        <v>120</v>
      </c>
      <c r="L385" s="22">
        <v>18</v>
      </c>
      <c r="M385" s="22">
        <f>_xlfn.CEILING.MATH(F385*2)</f>
        <v>160</v>
      </c>
      <c r="N385" s="22">
        <f>H385*1.18</f>
        <v>94.270200000000003</v>
      </c>
      <c r="O385" s="22">
        <f>_xlfn.CEILING.MATH(F385*1.56)-1</f>
        <v>124</v>
      </c>
    </row>
    <row r="386" spans="1:15" s="22" customFormat="1">
      <c r="A386" s="22">
        <v>170</v>
      </c>
      <c r="B386" s="22" t="s">
        <v>403</v>
      </c>
      <c r="C386" s="22" t="s">
        <v>1637</v>
      </c>
      <c r="E386" s="22">
        <v>1</v>
      </c>
      <c r="F386" s="22">
        <v>79.89</v>
      </c>
      <c r="G386" s="30">
        <f>IF(OR(M386="",O386="",M386=0),"",(M386-O386)/M386)</f>
        <v>0.22500000000000001</v>
      </c>
      <c r="H386" s="22">
        <v>79.89</v>
      </c>
      <c r="I386" s="22">
        <v>0</v>
      </c>
      <c r="J386" s="22">
        <v>6</v>
      </c>
      <c r="K386" s="22">
        <v>120</v>
      </c>
      <c r="L386" s="22">
        <v>18</v>
      </c>
      <c r="M386" s="22">
        <f>_xlfn.CEILING.MATH(F386*2)</f>
        <v>160</v>
      </c>
      <c r="N386" s="22">
        <f>H386*1.18</f>
        <v>94.270200000000003</v>
      </c>
      <c r="O386" s="22">
        <f>_xlfn.CEILING.MATH(F386*1.56)-1</f>
        <v>124</v>
      </c>
    </row>
    <row r="387" spans="1:15" s="22" customFormat="1">
      <c r="A387" s="22">
        <v>171</v>
      </c>
      <c r="B387" s="22" t="s">
        <v>404</v>
      </c>
      <c r="C387" s="22" t="s">
        <v>1638</v>
      </c>
      <c r="E387" s="22">
        <v>1</v>
      </c>
      <c r="F387" s="22">
        <v>79.89</v>
      </c>
      <c r="G387" s="30">
        <f>IF(OR(M387="",O387="",M387=0),"",(M387-O387)/M387)</f>
        <v>0.22500000000000001</v>
      </c>
      <c r="H387" s="22">
        <v>79.89</v>
      </c>
      <c r="I387" s="22">
        <v>0</v>
      </c>
      <c r="J387" s="22">
        <v>6</v>
      </c>
      <c r="K387" s="22">
        <v>120</v>
      </c>
      <c r="L387" s="22">
        <v>18</v>
      </c>
      <c r="M387" s="22">
        <f>_xlfn.CEILING.MATH(F387*2)</f>
        <v>160</v>
      </c>
      <c r="N387" s="22">
        <f>H387*1.18</f>
        <v>94.270200000000003</v>
      </c>
      <c r="O387" s="22">
        <f>_xlfn.CEILING.MATH(F387*1.56)-1</f>
        <v>124</v>
      </c>
    </row>
    <row r="388" spans="1:15" s="22" customFormat="1">
      <c r="A388" s="22">
        <v>172</v>
      </c>
      <c r="B388" s="22" t="s">
        <v>405</v>
      </c>
      <c r="C388" s="22" t="s">
        <v>1639</v>
      </c>
      <c r="E388" s="22">
        <v>1</v>
      </c>
      <c r="F388" s="22">
        <v>79.89</v>
      </c>
      <c r="G388" s="30">
        <f>IF(OR(M388="",O388="",M388=0),"",(M388-O388)/M388)</f>
        <v>0.22500000000000001</v>
      </c>
      <c r="H388" s="22">
        <v>79.89</v>
      </c>
      <c r="I388" s="22">
        <v>0</v>
      </c>
      <c r="J388" s="22">
        <v>6</v>
      </c>
      <c r="K388" s="22">
        <v>120</v>
      </c>
      <c r="L388" s="22">
        <v>18</v>
      </c>
      <c r="M388" s="22">
        <f>_xlfn.CEILING.MATH(F388*2)</f>
        <v>160</v>
      </c>
      <c r="N388" s="22">
        <f>H388*1.18</f>
        <v>94.270200000000003</v>
      </c>
      <c r="O388" s="22">
        <f>_xlfn.CEILING.MATH(F388*1.56)-1</f>
        <v>124</v>
      </c>
    </row>
    <row r="389" spans="1:15" s="22" customFormat="1">
      <c r="A389" s="22">
        <v>173</v>
      </c>
      <c r="B389" s="22" t="s">
        <v>406</v>
      </c>
      <c r="C389" s="22" t="s">
        <v>1640</v>
      </c>
      <c r="E389" s="22">
        <v>1</v>
      </c>
      <c r="F389" s="22">
        <v>79.89</v>
      </c>
      <c r="G389" s="30">
        <f>IF(OR(M389="",O389="",M389=0),"",(M389-O389)/M389)</f>
        <v>0.22500000000000001</v>
      </c>
      <c r="H389" s="22">
        <v>79.89</v>
      </c>
      <c r="I389" s="22">
        <v>0</v>
      </c>
      <c r="J389" s="22">
        <v>6</v>
      </c>
      <c r="K389" s="22">
        <v>120</v>
      </c>
      <c r="L389" s="22">
        <v>18</v>
      </c>
      <c r="M389" s="22">
        <f>_xlfn.CEILING.MATH(F389*2)</f>
        <v>160</v>
      </c>
      <c r="N389" s="22">
        <f>H389*1.18</f>
        <v>94.270200000000003</v>
      </c>
      <c r="O389" s="22">
        <f>_xlfn.CEILING.MATH(F389*1.56)-1</f>
        <v>124</v>
      </c>
    </row>
    <row r="390" spans="1:15" s="22" customFormat="1">
      <c r="A390" s="22">
        <v>174</v>
      </c>
      <c r="B390" s="22" t="s">
        <v>407</v>
      </c>
      <c r="C390" s="22" t="s">
        <v>1641</v>
      </c>
      <c r="E390" s="22">
        <v>1</v>
      </c>
      <c r="F390" s="22">
        <v>79.89</v>
      </c>
      <c r="G390" s="30">
        <f>IF(OR(M390="",O390="",M390=0),"",(M390-O390)/M390)</f>
        <v>0.22500000000000001</v>
      </c>
      <c r="H390" s="22">
        <v>79.89</v>
      </c>
      <c r="I390" s="22">
        <v>0</v>
      </c>
      <c r="J390" s="22">
        <v>6</v>
      </c>
      <c r="K390" s="22">
        <v>120</v>
      </c>
      <c r="L390" s="22">
        <v>18</v>
      </c>
      <c r="M390" s="22">
        <f>_xlfn.CEILING.MATH(F390*2)</f>
        <v>160</v>
      </c>
      <c r="N390" s="22">
        <f>H390*1.18</f>
        <v>94.270200000000003</v>
      </c>
      <c r="O390" s="22">
        <f>_xlfn.CEILING.MATH(F390*1.56)-1</f>
        <v>124</v>
      </c>
    </row>
    <row r="391" spans="1:15" s="22" customFormat="1">
      <c r="A391" s="22">
        <v>175</v>
      </c>
      <c r="B391" s="22" t="s">
        <v>408</v>
      </c>
      <c r="C391" s="22" t="s">
        <v>1642</v>
      </c>
      <c r="E391" s="22">
        <v>1</v>
      </c>
      <c r="F391" s="22">
        <v>79.89</v>
      </c>
      <c r="G391" s="30">
        <f>IF(OR(M391="",O391="",M391=0),"",(M391-O391)/M391)</f>
        <v>0.22500000000000001</v>
      </c>
      <c r="H391" s="22">
        <v>79.89</v>
      </c>
      <c r="I391" s="22">
        <v>0</v>
      </c>
      <c r="J391" s="22">
        <v>6</v>
      </c>
      <c r="K391" s="22">
        <v>120</v>
      </c>
      <c r="L391" s="22">
        <v>18</v>
      </c>
      <c r="M391" s="22">
        <f>_xlfn.CEILING.MATH(F391*2)</f>
        <v>160</v>
      </c>
      <c r="N391" s="22">
        <f>H391*1.18</f>
        <v>94.270200000000003</v>
      </c>
      <c r="O391" s="22">
        <f>_xlfn.CEILING.MATH(F391*1.56)-1</f>
        <v>124</v>
      </c>
    </row>
    <row r="392" spans="1:15" s="22" customFormat="1">
      <c r="A392" s="22">
        <v>176</v>
      </c>
      <c r="B392" s="22" t="s">
        <v>409</v>
      </c>
      <c r="C392" s="22" t="s">
        <v>1643</v>
      </c>
      <c r="E392" s="22">
        <v>1</v>
      </c>
      <c r="F392" s="22">
        <v>79.89</v>
      </c>
      <c r="G392" s="30">
        <f>IF(OR(M392="",O392="",M392=0),"",(M392-O392)/M392)</f>
        <v>0.22500000000000001</v>
      </c>
      <c r="H392" s="22">
        <v>79.89</v>
      </c>
      <c r="I392" s="22">
        <v>0</v>
      </c>
      <c r="J392" s="22">
        <v>6</v>
      </c>
      <c r="K392" s="22">
        <v>120</v>
      </c>
      <c r="L392" s="22">
        <v>18</v>
      </c>
      <c r="M392" s="22">
        <f>_xlfn.CEILING.MATH(F392*2)</f>
        <v>160</v>
      </c>
      <c r="N392" s="22">
        <f>H392*1.18</f>
        <v>94.270200000000003</v>
      </c>
      <c r="O392" s="22">
        <f>_xlfn.CEILING.MATH(F392*1.56)-1</f>
        <v>124</v>
      </c>
    </row>
    <row r="393" spans="1:15" s="22" customFormat="1">
      <c r="A393" s="22">
        <v>177</v>
      </c>
      <c r="B393" s="22" t="s">
        <v>410</v>
      </c>
      <c r="C393" s="22" t="s">
        <v>1644</v>
      </c>
      <c r="E393" s="22">
        <v>1</v>
      </c>
      <c r="F393" s="22">
        <v>79.89</v>
      </c>
      <c r="G393" s="30">
        <f>IF(OR(M393="",O393="",M393=0),"",(M393-O393)/M393)</f>
        <v>0.22500000000000001</v>
      </c>
      <c r="H393" s="22">
        <v>79.89</v>
      </c>
      <c r="I393" s="22">
        <v>0</v>
      </c>
      <c r="J393" s="22">
        <v>6</v>
      </c>
      <c r="K393" s="22">
        <v>120</v>
      </c>
      <c r="L393" s="22">
        <v>18</v>
      </c>
      <c r="M393" s="22">
        <f>_xlfn.CEILING.MATH(F393*2)</f>
        <v>160</v>
      </c>
      <c r="N393" s="22">
        <f>H393*1.18</f>
        <v>94.270200000000003</v>
      </c>
      <c r="O393" s="22">
        <f>_xlfn.CEILING.MATH(F393*1.56)-1</f>
        <v>124</v>
      </c>
    </row>
    <row r="394" spans="1:15" s="22" customFormat="1">
      <c r="A394" s="22">
        <v>178</v>
      </c>
      <c r="B394" s="22" t="s">
        <v>411</v>
      </c>
      <c r="C394" s="22" t="s">
        <v>1645</v>
      </c>
      <c r="E394" s="22">
        <v>1</v>
      </c>
      <c r="F394" s="22">
        <v>445.5</v>
      </c>
      <c r="G394" s="30">
        <f>IF(OR(M394="",O394="",M394=0),"",(M394-O394)/M394)</f>
        <v>0.22109988776655443</v>
      </c>
      <c r="H394" s="22">
        <v>445.5</v>
      </c>
      <c r="I394" s="22">
        <v>88</v>
      </c>
      <c r="J394" s="22">
        <v>1</v>
      </c>
      <c r="K394" s="22">
        <v>100</v>
      </c>
      <c r="L394" s="22">
        <v>18</v>
      </c>
      <c r="M394" s="22">
        <f>_xlfn.CEILING.MATH(F394*2)</f>
        <v>891</v>
      </c>
      <c r="N394" s="22">
        <f>H394*1.18</f>
        <v>525.68999999999994</v>
      </c>
      <c r="O394" s="22">
        <f>_xlfn.CEILING.MATH(F394*1.56)-1</f>
        <v>694</v>
      </c>
    </row>
    <row r="395" spans="1:15" s="22" customFormat="1">
      <c r="A395" s="22">
        <v>179</v>
      </c>
      <c r="B395" s="22" t="s">
        <v>412</v>
      </c>
      <c r="C395" s="22" t="s">
        <v>1646</v>
      </c>
      <c r="E395" s="22">
        <v>1</v>
      </c>
      <c r="F395" s="22">
        <v>445.5</v>
      </c>
      <c r="G395" s="30">
        <f>IF(OR(M395="",O395="",M395=0),"",(M395-O395)/M395)</f>
        <v>0.22109988776655443</v>
      </c>
      <c r="H395" s="22">
        <v>445.5</v>
      </c>
      <c r="I395" s="22">
        <v>90</v>
      </c>
      <c r="J395" s="22">
        <v>1</v>
      </c>
      <c r="K395" s="22">
        <v>100</v>
      </c>
      <c r="L395" s="22">
        <v>18</v>
      </c>
      <c r="M395" s="22">
        <f>_xlfn.CEILING.MATH(F395*2)</f>
        <v>891</v>
      </c>
      <c r="N395" s="22">
        <f>H395*1.18</f>
        <v>525.68999999999994</v>
      </c>
      <c r="O395" s="22">
        <f>_xlfn.CEILING.MATH(F395*1.56)-1</f>
        <v>694</v>
      </c>
    </row>
    <row r="396" spans="1:15" s="22" customFormat="1">
      <c r="A396" s="22">
        <v>180</v>
      </c>
      <c r="B396" s="22" t="s">
        <v>413</v>
      </c>
      <c r="C396" s="22" t="s">
        <v>1647</v>
      </c>
      <c r="E396" s="22">
        <v>1</v>
      </c>
      <c r="F396" s="22">
        <v>445.5</v>
      </c>
      <c r="G396" s="30">
        <f>IF(OR(M396="",O396="",M396=0),"",(M396-O396)/M396)</f>
        <v>0.22109988776655443</v>
      </c>
      <c r="H396" s="22">
        <v>445.5</v>
      </c>
      <c r="I396" s="22">
        <v>73</v>
      </c>
      <c r="J396" s="22">
        <v>1</v>
      </c>
      <c r="K396" s="22">
        <v>100</v>
      </c>
      <c r="L396" s="22">
        <v>18</v>
      </c>
      <c r="M396" s="22">
        <f>_xlfn.CEILING.MATH(F396*2)</f>
        <v>891</v>
      </c>
      <c r="N396" s="22">
        <f>H396*1.18</f>
        <v>525.68999999999994</v>
      </c>
      <c r="O396" s="22">
        <f>_xlfn.CEILING.MATH(F396*1.56)-1</f>
        <v>694</v>
      </c>
    </row>
    <row r="397" spans="1:15" s="22" customFormat="1">
      <c r="A397" s="22">
        <v>181</v>
      </c>
      <c r="B397" s="22" t="s">
        <v>414</v>
      </c>
      <c r="C397" s="22" t="s">
        <v>1648</v>
      </c>
      <c r="E397" s="22">
        <v>1</v>
      </c>
      <c r="F397" s="22">
        <v>445.5</v>
      </c>
      <c r="G397" s="30">
        <f>IF(OR(M397="",O397="",M397=0),"",(M397-O397)/M397)</f>
        <v>0.22109988776655443</v>
      </c>
      <c r="H397" s="22">
        <v>445.5</v>
      </c>
      <c r="I397" s="22">
        <v>61</v>
      </c>
      <c r="J397" s="22">
        <v>1</v>
      </c>
      <c r="K397" s="22">
        <v>20</v>
      </c>
      <c r="L397" s="22">
        <v>18</v>
      </c>
      <c r="M397" s="22">
        <f>_xlfn.CEILING.MATH(F397*2)</f>
        <v>891</v>
      </c>
      <c r="N397" s="22">
        <f>H397*1.18</f>
        <v>525.68999999999994</v>
      </c>
      <c r="O397" s="22">
        <f>_xlfn.CEILING.MATH(F397*1.56)-1</f>
        <v>694</v>
      </c>
    </row>
    <row r="398" spans="1:15" s="22" customFormat="1">
      <c r="A398" s="22">
        <v>182</v>
      </c>
      <c r="B398" s="22" t="s">
        <v>415</v>
      </c>
      <c r="C398" s="22" t="s">
        <v>1649</v>
      </c>
      <c r="E398" s="22">
        <v>1</v>
      </c>
      <c r="F398" s="22">
        <v>184.5</v>
      </c>
      <c r="G398" s="30">
        <f>IF(OR(M398="",O398="",M398=0),"",(M398-O398)/M398)</f>
        <v>0.22222222222222221</v>
      </c>
      <c r="H398" s="22">
        <v>184.5</v>
      </c>
      <c r="I398" s="22">
        <v>254</v>
      </c>
      <c r="J398" s="22">
        <v>6</v>
      </c>
      <c r="K398" s="22">
        <v>48</v>
      </c>
      <c r="L398" s="22">
        <v>18</v>
      </c>
      <c r="M398" s="22">
        <f>_xlfn.CEILING.MATH(F398*2)</f>
        <v>369</v>
      </c>
      <c r="N398" s="22">
        <f>H398*1.18</f>
        <v>217.70999999999998</v>
      </c>
      <c r="O398" s="22">
        <f>_xlfn.CEILING.MATH(F398*1.56)-1</f>
        <v>287</v>
      </c>
    </row>
    <row r="399" spans="1:15" s="22" customFormat="1">
      <c r="A399" s="22">
        <v>183</v>
      </c>
      <c r="B399" s="22" t="s">
        <v>416</v>
      </c>
      <c r="C399" s="22" t="s">
        <v>1650</v>
      </c>
      <c r="E399" s="22">
        <v>1</v>
      </c>
      <c r="F399" s="22">
        <v>2925</v>
      </c>
      <c r="G399" s="30">
        <f>IF(OR(M399="",O399="",M399=0),"",(M399-O399)/M399)</f>
        <v>0.22017094017094016</v>
      </c>
      <c r="H399" s="22">
        <v>2925</v>
      </c>
      <c r="I399" s="22">
        <v>176</v>
      </c>
      <c r="J399" s="22">
        <v>1</v>
      </c>
      <c r="K399" s="22">
        <v>5</v>
      </c>
      <c r="L399" s="22">
        <v>18</v>
      </c>
      <c r="M399" s="22">
        <f>_xlfn.CEILING.MATH(F399*2)</f>
        <v>5850</v>
      </c>
      <c r="N399" s="22">
        <f>H399*1.18</f>
        <v>3451.5</v>
      </c>
      <c r="O399" s="22">
        <f>_xlfn.CEILING.MATH(F399*1.56)-1</f>
        <v>4562</v>
      </c>
    </row>
    <row r="400" spans="1:15" s="22" customFormat="1">
      <c r="A400" s="22">
        <v>184</v>
      </c>
      <c r="B400" s="22" t="s">
        <v>417</v>
      </c>
      <c r="C400" s="22" t="s">
        <v>1651</v>
      </c>
      <c r="E400" s="22">
        <v>1</v>
      </c>
      <c r="F400" s="22">
        <v>144</v>
      </c>
      <c r="G400" s="30">
        <f>IF(OR(M400="",O400="",M400=0),"",(M400-O400)/M400)</f>
        <v>0.22222222222222221</v>
      </c>
      <c r="H400" s="22">
        <v>144</v>
      </c>
      <c r="I400" s="22">
        <v>364</v>
      </c>
      <c r="J400" s="22">
        <v>6</v>
      </c>
      <c r="K400" s="22">
        <v>120</v>
      </c>
      <c r="L400" s="22">
        <v>18</v>
      </c>
      <c r="M400" s="22">
        <f>_xlfn.CEILING.MATH(F400*2)</f>
        <v>288</v>
      </c>
      <c r="N400" s="22">
        <f>H400*1.18</f>
        <v>169.92</v>
      </c>
      <c r="O400" s="22">
        <f>_xlfn.CEILING.MATH(F400*1.56)-1</f>
        <v>224</v>
      </c>
    </row>
    <row r="401" spans="1:15" s="22" customFormat="1">
      <c r="A401" s="22">
        <v>185</v>
      </c>
      <c r="B401" s="22" t="s">
        <v>418</v>
      </c>
      <c r="C401" s="22" t="s">
        <v>1652</v>
      </c>
      <c r="E401" s="22">
        <v>1</v>
      </c>
      <c r="F401" s="22">
        <v>144</v>
      </c>
      <c r="G401" s="30">
        <f>IF(OR(M401="",O401="",M401=0),"",(M401-O401)/M401)</f>
        <v>0.22222222222222221</v>
      </c>
      <c r="H401" s="22">
        <v>144</v>
      </c>
      <c r="I401" s="22">
        <v>491</v>
      </c>
      <c r="J401" s="22">
        <v>6</v>
      </c>
      <c r="K401" s="22">
        <v>120</v>
      </c>
      <c r="L401" s="22">
        <v>18</v>
      </c>
      <c r="M401" s="22">
        <f>_xlfn.CEILING.MATH(F401*2)</f>
        <v>288</v>
      </c>
      <c r="N401" s="22">
        <f>H401*1.18</f>
        <v>169.92</v>
      </c>
      <c r="O401" s="22">
        <f>_xlfn.CEILING.MATH(F401*1.56)-1</f>
        <v>224</v>
      </c>
    </row>
    <row r="402" spans="1:15" s="22" customFormat="1">
      <c r="A402" s="22">
        <v>186</v>
      </c>
      <c r="B402" s="22" t="s">
        <v>419</v>
      </c>
      <c r="C402" s="22" t="s">
        <v>1653</v>
      </c>
      <c r="E402" s="22">
        <v>1</v>
      </c>
      <c r="F402" s="22">
        <v>144</v>
      </c>
      <c r="G402" s="30">
        <f>IF(OR(M402="",O402="",M402=0),"",(M402-O402)/M402)</f>
        <v>0.22222222222222221</v>
      </c>
      <c r="H402" s="22">
        <v>144</v>
      </c>
      <c r="I402" s="22">
        <v>254</v>
      </c>
      <c r="J402" s="22">
        <v>6</v>
      </c>
      <c r="K402" s="22">
        <v>120</v>
      </c>
      <c r="L402" s="22">
        <v>18</v>
      </c>
      <c r="M402" s="22">
        <f>_xlfn.CEILING.MATH(F402*2)</f>
        <v>288</v>
      </c>
      <c r="N402" s="22">
        <f>H402*1.18</f>
        <v>169.92</v>
      </c>
      <c r="O402" s="22">
        <f>_xlfn.CEILING.MATH(F402*1.56)-1</f>
        <v>224</v>
      </c>
    </row>
    <row r="403" spans="1:15" s="22" customFormat="1">
      <c r="A403" s="22">
        <v>187</v>
      </c>
      <c r="B403" s="22" t="s">
        <v>420</v>
      </c>
      <c r="C403" s="22" t="s">
        <v>1654</v>
      </c>
      <c r="E403" s="22">
        <v>1</v>
      </c>
      <c r="F403" s="22">
        <v>144</v>
      </c>
      <c r="G403" s="30">
        <f>IF(OR(M403="",O403="",M403=0),"",(M403-O403)/M403)</f>
        <v>0.22222222222222221</v>
      </c>
      <c r="H403" s="22">
        <v>144</v>
      </c>
      <c r="I403" s="22">
        <v>370</v>
      </c>
      <c r="J403" s="22">
        <v>6</v>
      </c>
      <c r="K403" s="22">
        <v>120</v>
      </c>
      <c r="L403" s="22">
        <v>18</v>
      </c>
      <c r="M403" s="22">
        <f>_xlfn.CEILING.MATH(F403*2)</f>
        <v>288</v>
      </c>
      <c r="N403" s="22">
        <f>H403*1.18</f>
        <v>169.92</v>
      </c>
      <c r="O403" s="22">
        <f>_xlfn.CEILING.MATH(F403*1.56)-1</f>
        <v>224</v>
      </c>
    </row>
    <row r="404" spans="1:15" s="22" customFormat="1">
      <c r="A404" s="22">
        <v>188</v>
      </c>
      <c r="B404" s="22" t="s">
        <v>421</v>
      </c>
      <c r="C404" s="22" t="s">
        <v>1655</v>
      </c>
      <c r="E404" s="22">
        <v>1</v>
      </c>
      <c r="F404" s="22">
        <v>144</v>
      </c>
      <c r="G404" s="30">
        <f>IF(OR(M404="",O404="",M404=0),"",(M404-O404)/M404)</f>
        <v>0.22222222222222221</v>
      </c>
      <c r="H404" s="22">
        <v>144</v>
      </c>
      <c r="I404" s="22">
        <v>395</v>
      </c>
      <c r="J404" s="22">
        <v>6</v>
      </c>
      <c r="K404" s="22">
        <v>60</v>
      </c>
      <c r="L404" s="22">
        <v>18</v>
      </c>
      <c r="M404" s="22">
        <f>_xlfn.CEILING.MATH(F404*2)</f>
        <v>288</v>
      </c>
      <c r="N404" s="22">
        <f>H404*1.18</f>
        <v>169.92</v>
      </c>
      <c r="O404" s="22">
        <f>_xlfn.CEILING.MATH(F404*1.56)-1</f>
        <v>224</v>
      </c>
    </row>
    <row r="405" spans="1:15" s="22" customFormat="1">
      <c r="A405" s="22">
        <v>189</v>
      </c>
      <c r="B405" s="22" t="s">
        <v>422</v>
      </c>
      <c r="C405" s="22" t="s">
        <v>1656</v>
      </c>
      <c r="E405" s="22">
        <v>1</v>
      </c>
      <c r="F405" s="22">
        <v>144</v>
      </c>
      <c r="G405" s="30">
        <f>IF(OR(M405="",O405="",M405=0),"",(M405-O405)/M405)</f>
        <v>0.22222222222222221</v>
      </c>
      <c r="H405" s="22">
        <v>144</v>
      </c>
      <c r="I405" s="22">
        <v>791</v>
      </c>
      <c r="J405" s="22">
        <v>6</v>
      </c>
      <c r="K405" s="22">
        <v>60</v>
      </c>
      <c r="L405" s="22">
        <v>18</v>
      </c>
      <c r="M405" s="22">
        <f>_xlfn.CEILING.MATH(F405*2)</f>
        <v>288</v>
      </c>
      <c r="N405" s="22">
        <f>H405*1.18</f>
        <v>169.92</v>
      </c>
      <c r="O405" s="22">
        <f>_xlfn.CEILING.MATH(F405*1.56)-1</f>
        <v>224</v>
      </c>
    </row>
    <row r="406" spans="1:15" s="22" customFormat="1">
      <c r="A406" s="22">
        <v>190</v>
      </c>
      <c r="B406" s="22" t="s">
        <v>423</v>
      </c>
      <c r="C406" s="22" t="s">
        <v>1657</v>
      </c>
      <c r="E406" s="22">
        <v>1</v>
      </c>
      <c r="F406" s="22">
        <v>150</v>
      </c>
      <c r="G406" s="30">
        <f>IF(OR(M406="",O406="",M406=0),"",(M406-O406)/M406)</f>
        <v>0.22333333333333333</v>
      </c>
      <c r="H406" s="22">
        <v>150</v>
      </c>
      <c r="I406" s="22">
        <v>337</v>
      </c>
      <c r="J406" s="22">
        <v>6</v>
      </c>
      <c r="K406" s="22">
        <v>48</v>
      </c>
      <c r="L406" s="22">
        <v>18</v>
      </c>
      <c r="M406" s="22">
        <f>_xlfn.CEILING.MATH(F406*2)</f>
        <v>300</v>
      </c>
      <c r="N406" s="22">
        <f>H406*1.18</f>
        <v>177</v>
      </c>
      <c r="O406" s="22">
        <f>_xlfn.CEILING.MATH(F406*1.56)-1</f>
        <v>233</v>
      </c>
    </row>
    <row r="407" spans="1:15" s="22" customFormat="1">
      <c r="A407" s="22">
        <v>191</v>
      </c>
      <c r="B407" s="22" t="s">
        <v>424</v>
      </c>
      <c r="C407" s="22" t="s">
        <v>1658</v>
      </c>
      <c r="E407" s="22">
        <v>1</v>
      </c>
      <c r="F407" s="22">
        <v>180</v>
      </c>
      <c r="G407" s="30">
        <f>IF(OR(M407="",O407="",M407=0),"",(M407-O407)/M407)</f>
        <v>0.22222222222222221</v>
      </c>
      <c r="H407" s="22">
        <v>180</v>
      </c>
      <c r="I407" s="22">
        <v>63</v>
      </c>
      <c r="J407" s="22">
        <v>6</v>
      </c>
      <c r="K407" s="22">
        <v>60</v>
      </c>
      <c r="L407" s="22">
        <v>18</v>
      </c>
      <c r="M407" s="22">
        <f>_xlfn.CEILING.MATH(F407*2)</f>
        <v>360</v>
      </c>
      <c r="N407" s="22">
        <f>H407*1.18</f>
        <v>212.39999999999998</v>
      </c>
      <c r="O407" s="22">
        <f>_xlfn.CEILING.MATH(F407*1.56)-1</f>
        <v>280</v>
      </c>
    </row>
    <row r="408" spans="1:15" s="22" customFormat="1">
      <c r="A408" s="22">
        <v>192</v>
      </c>
      <c r="B408" s="22" t="s">
        <v>425</v>
      </c>
      <c r="C408" s="22" t="s">
        <v>1659</v>
      </c>
      <c r="E408" s="22">
        <v>1</v>
      </c>
      <c r="F408" s="22">
        <v>192</v>
      </c>
      <c r="G408" s="30">
        <f>IF(OR(M408="",O408="",M408=0),"",(M408-O408)/M408)</f>
        <v>0.22135416666666666</v>
      </c>
      <c r="H408" s="22">
        <v>192</v>
      </c>
      <c r="I408" s="22">
        <v>93</v>
      </c>
      <c r="J408" s="22">
        <v>6</v>
      </c>
      <c r="K408" s="22">
        <v>60</v>
      </c>
      <c r="L408" s="22">
        <v>18</v>
      </c>
      <c r="M408" s="22">
        <f>_xlfn.CEILING.MATH(F408*2)</f>
        <v>384</v>
      </c>
      <c r="N408" s="22">
        <f>H408*1.18</f>
        <v>226.56</v>
      </c>
      <c r="O408" s="22">
        <f>_xlfn.CEILING.MATH(F408*1.56)-1</f>
        <v>299</v>
      </c>
    </row>
    <row r="409" spans="1:15" s="22" customFormat="1">
      <c r="A409" s="22">
        <v>193</v>
      </c>
      <c r="B409" s="22" t="s">
        <v>426</v>
      </c>
      <c r="C409" s="22" t="s">
        <v>1660</v>
      </c>
      <c r="E409" s="22">
        <v>1</v>
      </c>
      <c r="F409" s="22">
        <v>204</v>
      </c>
      <c r="G409" s="30">
        <f>IF(OR(M409="",O409="",M409=0),"",(M409-O409)/M409)</f>
        <v>0.22058823529411764</v>
      </c>
      <c r="H409" s="22">
        <v>204</v>
      </c>
      <c r="I409" s="22">
        <v>185</v>
      </c>
      <c r="J409" s="22">
        <v>6</v>
      </c>
      <c r="K409" s="22">
        <v>60</v>
      </c>
      <c r="L409" s="22">
        <v>18</v>
      </c>
      <c r="M409" s="22">
        <f>_xlfn.CEILING.MATH(F409*2)</f>
        <v>408</v>
      </c>
      <c r="N409" s="22">
        <f>H409*1.18</f>
        <v>240.72</v>
      </c>
      <c r="O409" s="22">
        <f>_xlfn.CEILING.MATH(F409*1.56)-1</f>
        <v>318</v>
      </c>
    </row>
    <row r="410" spans="1:15" s="22" customFormat="1">
      <c r="A410" s="22">
        <v>194</v>
      </c>
      <c r="B410" s="22" t="s">
        <v>427</v>
      </c>
      <c r="C410" s="22" t="s">
        <v>1661</v>
      </c>
      <c r="E410" s="22">
        <v>1</v>
      </c>
      <c r="F410" s="22">
        <v>2325</v>
      </c>
      <c r="G410" s="30">
        <f>IF(OR(M410="",O410="",M410=0),"",(M410-O410)/M410)</f>
        <v>0.22021505376344086</v>
      </c>
      <c r="H410" s="22">
        <v>2325</v>
      </c>
      <c r="I410" s="22">
        <v>470</v>
      </c>
      <c r="J410" s="22">
        <v>1</v>
      </c>
      <c r="K410" s="22">
        <v>4</v>
      </c>
      <c r="L410" s="22">
        <v>18</v>
      </c>
      <c r="M410" s="22">
        <f>_xlfn.CEILING.MATH(F410*2)</f>
        <v>4650</v>
      </c>
      <c r="N410" s="22">
        <f>H410*1.18</f>
        <v>2743.5</v>
      </c>
      <c r="O410" s="22">
        <f>_xlfn.CEILING.MATH(F410*1.56)-1</f>
        <v>3626</v>
      </c>
    </row>
    <row r="411" spans="1:15" s="22" customFormat="1">
      <c r="A411" s="22">
        <v>195</v>
      </c>
      <c r="B411" s="22" t="s">
        <v>428</v>
      </c>
      <c r="C411" s="22" t="s">
        <v>1662</v>
      </c>
      <c r="E411" s="22">
        <v>1</v>
      </c>
      <c r="F411" s="22">
        <v>79.89</v>
      </c>
      <c r="G411" s="30">
        <f>IF(OR(M411="",O411="",M411=0),"",(M411-O411)/M411)</f>
        <v>0.22500000000000001</v>
      </c>
      <c r="H411" s="22">
        <v>79.89</v>
      </c>
      <c r="I411" s="22">
        <v>0</v>
      </c>
      <c r="J411" s="22">
        <v>6</v>
      </c>
      <c r="K411" s="22">
        <v>120</v>
      </c>
      <c r="L411" s="22">
        <v>18</v>
      </c>
      <c r="M411" s="22">
        <f>_xlfn.CEILING.MATH(F411*2)</f>
        <v>160</v>
      </c>
      <c r="N411" s="22">
        <f>H411*1.18</f>
        <v>94.270200000000003</v>
      </c>
      <c r="O411" s="22">
        <f>_xlfn.CEILING.MATH(F411*1.56)-1</f>
        <v>124</v>
      </c>
    </row>
    <row r="412" spans="1:15" s="22" customFormat="1">
      <c r="A412" s="22">
        <v>196</v>
      </c>
      <c r="B412" s="22" t="s">
        <v>429</v>
      </c>
      <c r="C412" s="22" t="s">
        <v>1663</v>
      </c>
      <c r="E412" s="22">
        <v>1</v>
      </c>
      <c r="F412" s="22">
        <v>79.89</v>
      </c>
      <c r="G412" s="30">
        <f>IF(OR(M412="",O412="",M412=0),"",(M412-O412)/M412)</f>
        <v>0.22500000000000001</v>
      </c>
      <c r="H412" s="22">
        <v>79.89</v>
      </c>
      <c r="I412" s="22">
        <v>0</v>
      </c>
      <c r="J412" s="22">
        <v>6</v>
      </c>
      <c r="K412" s="22">
        <v>120</v>
      </c>
      <c r="L412" s="22">
        <v>18</v>
      </c>
      <c r="M412" s="22">
        <f>_xlfn.CEILING.MATH(F412*2)</f>
        <v>160</v>
      </c>
      <c r="N412" s="22">
        <f>H412*1.18</f>
        <v>94.270200000000003</v>
      </c>
      <c r="O412" s="22">
        <f>_xlfn.CEILING.MATH(F412*1.56)-1</f>
        <v>124</v>
      </c>
    </row>
    <row r="413" spans="1:15" s="22" customFormat="1">
      <c r="A413" s="22">
        <v>197</v>
      </c>
      <c r="B413" s="22" t="s">
        <v>430</v>
      </c>
      <c r="C413" s="22" t="s">
        <v>1664</v>
      </c>
      <c r="E413" s="22">
        <v>1</v>
      </c>
      <c r="F413" s="22">
        <v>79.89</v>
      </c>
      <c r="G413" s="30">
        <f>IF(OR(M413="",O413="",M413=0),"",(M413-O413)/M413)</f>
        <v>0.22500000000000001</v>
      </c>
      <c r="H413" s="22">
        <v>79.89</v>
      </c>
      <c r="I413" s="22">
        <v>0</v>
      </c>
      <c r="J413" s="22">
        <v>6</v>
      </c>
      <c r="K413" s="22">
        <v>120</v>
      </c>
      <c r="L413" s="22">
        <v>18</v>
      </c>
      <c r="M413" s="22">
        <f>_xlfn.CEILING.MATH(F413*2)</f>
        <v>160</v>
      </c>
      <c r="N413" s="22">
        <f>H413*1.18</f>
        <v>94.270200000000003</v>
      </c>
      <c r="O413" s="22">
        <f>_xlfn.CEILING.MATH(F413*1.56)-1</f>
        <v>124</v>
      </c>
    </row>
    <row r="414" spans="1:15" s="22" customFormat="1">
      <c r="A414" s="22">
        <v>198</v>
      </c>
      <c r="B414" s="22" t="s">
        <v>431</v>
      </c>
      <c r="C414" s="22" t="s">
        <v>1665</v>
      </c>
      <c r="E414" s="22">
        <v>1</v>
      </c>
      <c r="F414" s="22">
        <v>79.89</v>
      </c>
      <c r="G414" s="30">
        <f>IF(OR(M414="",O414="",M414=0),"",(M414-O414)/M414)</f>
        <v>0.22500000000000001</v>
      </c>
      <c r="H414" s="22">
        <v>79.89</v>
      </c>
      <c r="I414" s="22">
        <v>0</v>
      </c>
      <c r="J414" s="22">
        <v>6</v>
      </c>
      <c r="K414" s="22">
        <v>120</v>
      </c>
      <c r="L414" s="22">
        <v>18</v>
      </c>
      <c r="M414" s="22">
        <f>_xlfn.CEILING.MATH(F414*2)</f>
        <v>160</v>
      </c>
      <c r="N414" s="22">
        <f>H414*1.18</f>
        <v>94.270200000000003</v>
      </c>
      <c r="O414" s="22">
        <f>_xlfn.CEILING.MATH(F414*1.56)-1</f>
        <v>124</v>
      </c>
    </row>
    <row r="415" spans="1:15" s="22" customFormat="1">
      <c r="A415" s="22">
        <v>199</v>
      </c>
      <c r="B415" s="22" t="s">
        <v>432</v>
      </c>
      <c r="C415" s="22" t="s">
        <v>1666</v>
      </c>
      <c r="E415" s="22">
        <v>1</v>
      </c>
      <c r="F415" s="22">
        <v>79.89</v>
      </c>
      <c r="G415" s="30">
        <f>IF(OR(M415="",O415="",M415=0),"",(M415-O415)/M415)</f>
        <v>0.22500000000000001</v>
      </c>
      <c r="H415" s="22">
        <v>79.89</v>
      </c>
      <c r="I415" s="22">
        <v>0</v>
      </c>
      <c r="J415" s="22">
        <v>6</v>
      </c>
      <c r="K415" s="22">
        <v>120</v>
      </c>
      <c r="L415" s="22">
        <v>18</v>
      </c>
      <c r="M415" s="22">
        <f>_xlfn.CEILING.MATH(F415*2)</f>
        <v>160</v>
      </c>
      <c r="N415" s="22">
        <f>H415*1.18</f>
        <v>94.270200000000003</v>
      </c>
      <c r="O415" s="22">
        <f>_xlfn.CEILING.MATH(F415*1.56)-1</f>
        <v>124</v>
      </c>
    </row>
    <row r="416" spans="1:15" s="22" customFormat="1">
      <c r="A416" s="22">
        <v>200</v>
      </c>
      <c r="B416" s="22" t="s">
        <v>433</v>
      </c>
      <c r="C416" s="22" t="s">
        <v>1667</v>
      </c>
      <c r="E416" s="22">
        <v>1</v>
      </c>
      <c r="F416" s="22">
        <v>79.89</v>
      </c>
      <c r="G416" s="30">
        <f>IF(OR(M416="",O416="",M416=0),"",(M416-O416)/M416)</f>
        <v>0.22500000000000001</v>
      </c>
      <c r="H416" s="22">
        <v>79.89</v>
      </c>
      <c r="I416" s="22">
        <v>0</v>
      </c>
      <c r="J416" s="22">
        <v>6</v>
      </c>
      <c r="K416" s="22">
        <v>120</v>
      </c>
      <c r="L416" s="22">
        <v>18</v>
      </c>
      <c r="M416" s="22">
        <f>_xlfn.CEILING.MATH(F416*2)</f>
        <v>160</v>
      </c>
      <c r="N416" s="22">
        <f>H416*1.18</f>
        <v>94.270200000000003</v>
      </c>
      <c r="O416" s="22">
        <f>_xlfn.CEILING.MATH(F416*1.56)-1</f>
        <v>124</v>
      </c>
    </row>
    <row r="417" spans="1:15" s="22" customFormat="1">
      <c r="A417" s="22">
        <v>201</v>
      </c>
      <c r="B417" s="22" t="s">
        <v>434</v>
      </c>
      <c r="C417" s="22" t="s">
        <v>1668</v>
      </c>
      <c r="E417" s="22">
        <v>1</v>
      </c>
      <c r="F417" s="22">
        <v>79.89</v>
      </c>
      <c r="G417" s="30">
        <f>IF(OR(M417="",O417="",M417=0),"",(M417-O417)/M417)</f>
        <v>0.22500000000000001</v>
      </c>
      <c r="H417" s="22">
        <v>79.89</v>
      </c>
      <c r="I417" s="22">
        <v>0</v>
      </c>
      <c r="J417" s="22">
        <v>6</v>
      </c>
      <c r="K417" s="22">
        <v>120</v>
      </c>
      <c r="L417" s="22">
        <v>18</v>
      </c>
      <c r="M417" s="22">
        <f>_xlfn.CEILING.MATH(F417*2)</f>
        <v>160</v>
      </c>
      <c r="N417" s="22">
        <f>H417*1.18</f>
        <v>94.270200000000003</v>
      </c>
      <c r="O417" s="22">
        <f>_xlfn.CEILING.MATH(F417*1.56)-1</f>
        <v>124</v>
      </c>
    </row>
    <row r="418" spans="1:15" s="22" customFormat="1">
      <c r="A418" s="22">
        <v>202</v>
      </c>
      <c r="B418" s="22" t="s">
        <v>435</v>
      </c>
      <c r="C418" s="22" t="s">
        <v>1669</v>
      </c>
      <c r="E418" s="22">
        <v>1</v>
      </c>
      <c r="F418" s="22">
        <v>79.89</v>
      </c>
      <c r="G418" s="30">
        <f>IF(OR(M418="",O418="",M418=0),"",(M418-O418)/M418)</f>
        <v>0.22500000000000001</v>
      </c>
      <c r="H418" s="22">
        <v>79.89</v>
      </c>
      <c r="I418" s="22">
        <v>0</v>
      </c>
      <c r="J418" s="22">
        <v>6</v>
      </c>
      <c r="K418" s="22">
        <v>120</v>
      </c>
      <c r="L418" s="22">
        <v>18</v>
      </c>
      <c r="M418" s="22">
        <f>_xlfn.CEILING.MATH(F418*2)</f>
        <v>160</v>
      </c>
      <c r="N418" s="22">
        <f>H418*1.18</f>
        <v>94.270200000000003</v>
      </c>
      <c r="O418" s="22">
        <f>_xlfn.CEILING.MATH(F418*1.56)-1</f>
        <v>124</v>
      </c>
    </row>
    <row r="419" spans="1:15" s="22" customFormat="1">
      <c r="A419" s="22">
        <v>203</v>
      </c>
      <c r="B419" s="22" t="s">
        <v>436</v>
      </c>
      <c r="C419" s="22" t="s">
        <v>1670</v>
      </c>
      <c r="E419" s="22">
        <v>1</v>
      </c>
      <c r="F419" s="22">
        <v>79.89</v>
      </c>
      <c r="G419" s="30">
        <f>IF(OR(M419="",O419="",M419=0),"",(M419-O419)/M419)</f>
        <v>0.22500000000000001</v>
      </c>
      <c r="H419" s="22">
        <v>79.89</v>
      </c>
      <c r="I419" s="22">
        <v>0</v>
      </c>
      <c r="J419" s="22">
        <v>6</v>
      </c>
      <c r="K419" s="22">
        <v>120</v>
      </c>
      <c r="L419" s="22">
        <v>18</v>
      </c>
      <c r="M419" s="22">
        <f>_xlfn.CEILING.MATH(F419*2)</f>
        <v>160</v>
      </c>
      <c r="N419" s="22">
        <f>H419*1.18</f>
        <v>94.270200000000003</v>
      </c>
      <c r="O419" s="22">
        <f>_xlfn.CEILING.MATH(F419*1.56)-1</f>
        <v>124</v>
      </c>
    </row>
    <row r="420" spans="1:15" s="22" customFormat="1">
      <c r="A420" s="22">
        <v>204</v>
      </c>
      <c r="B420" s="22" t="s">
        <v>437</v>
      </c>
      <c r="C420" s="22" t="s">
        <v>1671</v>
      </c>
      <c r="E420" s="22">
        <v>1</v>
      </c>
      <c r="F420" s="22">
        <v>79.89</v>
      </c>
      <c r="G420" s="30">
        <f>IF(OR(M420="",O420="",M420=0),"",(M420-O420)/M420)</f>
        <v>0.22500000000000001</v>
      </c>
      <c r="H420" s="22">
        <v>79.89</v>
      </c>
      <c r="I420" s="22">
        <v>0</v>
      </c>
      <c r="J420" s="22">
        <v>6</v>
      </c>
      <c r="K420" s="22">
        <v>120</v>
      </c>
      <c r="L420" s="22">
        <v>18</v>
      </c>
      <c r="M420" s="22">
        <f>_xlfn.CEILING.MATH(F420*2)</f>
        <v>160</v>
      </c>
      <c r="N420" s="22">
        <f>H420*1.18</f>
        <v>94.270200000000003</v>
      </c>
      <c r="O420" s="22">
        <f>_xlfn.CEILING.MATH(F420*1.56)-1</f>
        <v>124</v>
      </c>
    </row>
    <row r="421" spans="1:15" s="22" customFormat="1">
      <c r="A421" s="22">
        <v>205</v>
      </c>
      <c r="B421" s="22" t="s">
        <v>438</v>
      </c>
      <c r="C421" s="22" t="s">
        <v>1672</v>
      </c>
      <c r="E421" s="22">
        <v>1</v>
      </c>
      <c r="F421" s="22">
        <v>79.89</v>
      </c>
      <c r="G421" s="30">
        <f>IF(OR(M421="",O421="",M421=0),"",(M421-O421)/M421)</f>
        <v>0.22500000000000001</v>
      </c>
      <c r="H421" s="22">
        <v>79.89</v>
      </c>
      <c r="I421" s="22">
        <v>0</v>
      </c>
      <c r="J421" s="22">
        <v>6</v>
      </c>
      <c r="K421" s="22">
        <v>120</v>
      </c>
      <c r="L421" s="22">
        <v>18</v>
      </c>
      <c r="M421" s="22">
        <f>_xlfn.CEILING.MATH(F421*2)</f>
        <v>160</v>
      </c>
      <c r="N421" s="22">
        <f>H421*1.18</f>
        <v>94.270200000000003</v>
      </c>
      <c r="O421" s="22">
        <f>_xlfn.CEILING.MATH(F421*1.56)-1</f>
        <v>124</v>
      </c>
    </row>
    <row r="422" spans="1:15" s="22" customFormat="1">
      <c r="A422" s="22">
        <v>206</v>
      </c>
      <c r="B422" s="22" t="s">
        <v>439</v>
      </c>
      <c r="C422" s="22" t="s">
        <v>1673</v>
      </c>
      <c r="E422" s="22">
        <v>1</v>
      </c>
      <c r="F422" s="22">
        <v>79.89</v>
      </c>
      <c r="G422" s="30">
        <f>IF(OR(M422="",O422="",M422=0),"",(M422-O422)/M422)</f>
        <v>0.22500000000000001</v>
      </c>
      <c r="H422" s="22">
        <v>79.89</v>
      </c>
      <c r="I422" s="22">
        <v>0</v>
      </c>
      <c r="J422" s="22">
        <v>6</v>
      </c>
      <c r="K422" s="22">
        <v>120</v>
      </c>
      <c r="L422" s="22">
        <v>18</v>
      </c>
      <c r="M422" s="22">
        <f>_xlfn.CEILING.MATH(F422*2)</f>
        <v>160</v>
      </c>
      <c r="N422" s="22">
        <f>H422*1.18</f>
        <v>94.270200000000003</v>
      </c>
      <c r="O422" s="22">
        <f>_xlfn.CEILING.MATH(F422*1.56)-1</f>
        <v>124</v>
      </c>
    </row>
    <row r="423" spans="1:15" s="22" customFormat="1">
      <c r="A423" s="22">
        <v>207</v>
      </c>
      <c r="B423" s="22" t="s">
        <v>440</v>
      </c>
      <c r="C423" s="22" t="s">
        <v>1674</v>
      </c>
      <c r="E423" s="22">
        <v>1</v>
      </c>
      <c r="F423" s="22">
        <v>79.89</v>
      </c>
      <c r="G423" s="30">
        <f>IF(OR(M423="",O423="",M423=0),"",(M423-O423)/M423)</f>
        <v>0.22500000000000001</v>
      </c>
      <c r="H423" s="22">
        <v>79.89</v>
      </c>
      <c r="I423" s="22">
        <v>0</v>
      </c>
      <c r="J423" s="22">
        <v>6</v>
      </c>
      <c r="K423" s="22">
        <v>120</v>
      </c>
      <c r="L423" s="22">
        <v>18</v>
      </c>
      <c r="M423" s="22">
        <f>_xlfn.CEILING.MATH(F423*2)</f>
        <v>160</v>
      </c>
      <c r="N423" s="22">
        <f>H423*1.18</f>
        <v>94.270200000000003</v>
      </c>
      <c r="O423" s="22">
        <f>_xlfn.CEILING.MATH(F423*1.56)-1</f>
        <v>124</v>
      </c>
    </row>
    <row r="424" spans="1:15" s="22" customFormat="1">
      <c r="A424" s="22">
        <v>208</v>
      </c>
      <c r="B424" s="22" t="s">
        <v>441</v>
      </c>
      <c r="C424" s="22" t="s">
        <v>1675</v>
      </c>
      <c r="E424" s="22">
        <v>1</v>
      </c>
      <c r="F424" s="22">
        <v>79.89</v>
      </c>
      <c r="G424" s="30">
        <f>IF(OR(M424="",O424="",M424=0),"",(M424-O424)/M424)</f>
        <v>0.22500000000000001</v>
      </c>
      <c r="H424" s="22">
        <v>79.89</v>
      </c>
      <c r="I424" s="22">
        <v>0</v>
      </c>
      <c r="J424" s="22">
        <v>6</v>
      </c>
      <c r="K424" s="22">
        <v>120</v>
      </c>
      <c r="L424" s="22">
        <v>18</v>
      </c>
      <c r="M424" s="22">
        <f>_xlfn.CEILING.MATH(F424*2)</f>
        <v>160</v>
      </c>
      <c r="N424" s="22">
        <f>H424*1.18</f>
        <v>94.270200000000003</v>
      </c>
      <c r="O424" s="22">
        <f>_xlfn.CEILING.MATH(F424*1.56)-1</f>
        <v>124</v>
      </c>
    </row>
    <row r="425" spans="1:15" s="22" customFormat="1">
      <c r="A425" s="22">
        <v>209</v>
      </c>
      <c r="B425" s="22" t="s">
        <v>442</v>
      </c>
      <c r="C425" s="22" t="s">
        <v>1676</v>
      </c>
      <c r="E425" s="22">
        <v>1</v>
      </c>
      <c r="F425" s="22">
        <v>79.89</v>
      </c>
      <c r="G425" s="30">
        <f>IF(OR(M425="",O425="",M425=0),"",(M425-O425)/M425)</f>
        <v>0.22500000000000001</v>
      </c>
      <c r="H425" s="22">
        <v>79.89</v>
      </c>
      <c r="I425" s="22">
        <v>0</v>
      </c>
      <c r="J425" s="22">
        <v>6</v>
      </c>
      <c r="K425" s="22">
        <v>120</v>
      </c>
      <c r="L425" s="22">
        <v>18</v>
      </c>
      <c r="M425" s="22">
        <f>_xlfn.CEILING.MATH(F425*2)</f>
        <v>160</v>
      </c>
      <c r="N425" s="22">
        <f>H425*1.18</f>
        <v>94.270200000000003</v>
      </c>
      <c r="O425" s="22">
        <f>_xlfn.CEILING.MATH(F425*1.56)-1</f>
        <v>124</v>
      </c>
    </row>
    <row r="426" spans="1:15" s="22" customFormat="1">
      <c r="A426" s="22">
        <v>210</v>
      </c>
      <c r="B426" s="22" t="s">
        <v>443</v>
      </c>
      <c r="C426" s="22" t="s">
        <v>1677</v>
      </c>
      <c r="E426" s="22">
        <v>1</v>
      </c>
      <c r="F426" s="22">
        <v>79.89</v>
      </c>
      <c r="G426" s="30">
        <f>IF(OR(M426="",O426="",M426=0),"",(M426-O426)/M426)</f>
        <v>0.22500000000000001</v>
      </c>
      <c r="H426" s="22">
        <v>79.89</v>
      </c>
      <c r="I426" s="22">
        <v>0</v>
      </c>
      <c r="J426" s="22">
        <v>6</v>
      </c>
      <c r="K426" s="22">
        <v>120</v>
      </c>
      <c r="L426" s="22">
        <v>18</v>
      </c>
      <c r="M426" s="22">
        <f>_xlfn.CEILING.MATH(F426*2)</f>
        <v>160</v>
      </c>
      <c r="N426" s="22">
        <f>H426*1.18</f>
        <v>94.270200000000003</v>
      </c>
      <c r="O426" s="22">
        <f>_xlfn.CEILING.MATH(F426*1.56)-1</f>
        <v>124</v>
      </c>
    </row>
    <row r="427" spans="1:15" s="22" customFormat="1">
      <c r="A427" s="22">
        <v>211</v>
      </c>
      <c r="B427" s="22" t="s">
        <v>444</v>
      </c>
      <c r="C427" s="22" t="s">
        <v>1678</v>
      </c>
      <c r="E427" s="22">
        <v>1</v>
      </c>
      <c r="F427" s="22">
        <v>79.89</v>
      </c>
      <c r="G427" s="30">
        <f>IF(OR(M427="",O427="",M427=0),"",(M427-O427)/M427)</f>
        <v>0.22500000000000001</v>
      </c>
      <c r="H427" s="22">
        <v>79.89</v>
      </c>
      <c r="I427" s="22">
        <v>0</v>
      </c>
      <c r="J427" s="22">
        <v>6</v>
      </c>
      <c r="K427" s="22">
        <v>120</v>
      </c>
      <c r="L427" s="22">
        <v>18</v>
      </c>
      <c r="M427" s="22">
        <f>_xlfn.CEILING.MATH(F427*2)</f>
        <v>160</v>
      </c>
      <c r="N427" s="22">
        <f>H427*1.18</f>
        <v>94.270200000000003</v>
      </c>
      <c r="O427" s="22">
        <f>_xlfn.CEILING.MATH(F427*1.56)-1</f>
        <v>124</v>
      </c>
    </row>
    <row r="428" spans="1:15" s="22" customFormat="1">
      <c r="A428" s="22">
        <v>212</v>
      </c>
      <c r="B428" s="22" t="s">
        <v>445</v>
      </c>
      <c r="C428" s="22" t="s">
        <v>1679</v>
      </c>
      <c r="E428" s="22">
        <v>1</v>
      </c>
      <c r="F428" s="22">
        <v>79.89</v>
      </c>
      <c r="G428" s="30">
        <f>IF(OR(M428="",O428="",M428=0),"",(M428-O428)/M428)</f>
        <v>0.22500000000000001</v>
      </c>
      <c r="H428" s="22">
        <v>79.89</v>
      </c>
      <c r="I428" s="22">
        <v>0</v>
      </c>
      <c r="J428" s="22">
        <v>6</v>
      </c>
      <c r="K428" s="22">
        <v>120</v>
      </c>
      <c r="L428" s="22">
        <v>18</v>
      </c>
      <c r="M428" s="22">
        <f>_xlfn.CEILING.MATH(F428*2)</f>
        <v>160</v>
      </c>
      <c r="N428" s="22">
        <f>H428*1.18</f>
        <v>94.270200000000003</v>
      </c>
      <c r="O428" s="22">
        <f>_xlfn.CEILING.MATH(F428*1.56)-1</f>
        <v>124</v>
      </c>
    </row>
    <row r="429" spans="1:15" s="22" customFormat="1">
      <c r="A429" s="22">
        <v>213</v>
      </c>
      <c r="B429" s="22" t="s">
        <v>446</v>
      </c>
      <c r="C429" s="22" t="s">
        <v>1680</v>
      </c>
      <c r="E429" s="22">
        <v>1</v>
      </c>
      <c r="F429" s="22">
        <v>79.89</v>
      </c>
      <c r="G429" s="30">
        <f>IF(OR(M429="",O429="",M429=0),"",(M429-O429)/M429)</f>
        <v>0.22500000000000001</v>
      </c>
      <c r="H429" s="22">
        <v>79.89</v>
      </c>
      <c r="I429" s="22">
        <v>0</v>
      </c>
      <c r="J429" s="22">
        <v>6</v>
      </c>
      <c r="K429" s="22">
        <v>120</v>
      </c>
      <c r="L429" s="22">
        <v>18</v>
      </c>
      <c r="M429" s="22">
        <f>_xlfn.CEILING.MATH(F429*2)</f>
        <v>160</v>
      </c>
      <c r="N429" s="22">
        <f>H429*1.18</f>
        <v>94.270200000000003</v>
      </c>
      <c r="O429" s="22">
        <f>_xlfn.CEILING.MATH(F429*1.56)-1</f>
        <v>124</v>
      </c>
    </row>
    <row r="430" spans="1:15" s="22" customFormat="1">
      <c r="A430" s="22">
        <v>214</v>
      </c>
      <c r="B430" s="22" t="s">
        <v>447</v>
      </c>
      <c r="C430" s="22" t="s">
        <v>1681</v>
      </c>
      <c r="E430" s="22">
        <v>1</v>
      </c>
      <c r="F430" s="22">
        <v>79.89</v>
      </c>
      <c r="G430" s="30">
        <f>IF(OR(M430="",O430="",M430=0),"",(M430-O430)/M430)</f>
        <v>0.22500000000000001</v>
      </c>
      <c r="H430" s="22">
        <v>79.89</v>
      </c>
      <c r="I430" s="22">
        <v>0</v>
      </c>
      <c r="J430" s="22">
        <v>6</v>
      </c>
      <c r="K430" s="22">
        <v>120</v>
      </c>
      <c r="L430" s="22">
        <v>18</v>
      </c>
      <c r="M430" s="22">
        <f>_xlfn.CEILING.MATH(F430*2)</f>
        <v>160</v>
      </c>
      <c r="N430" s="22">
        <f>H430*1.18</f>
        <v>94.270200000000003</v>
      </c>
      <c r="O430" s="22">
        <f>_xlfn.CEILING.MATH(F430*1.56)-1</f>
        <v>124</v>
      </c>
    </row>
    <row r="431" spans="1:15" s="22" customFormat="1">
      <c r="A431" s="22">
        <v>215</v>
      </c>
      <c r="B431" s="22" t="s">
        <v>448</v>
      </c>
      <c r="C431" s="22" t="s">
        <v>1682</v>
      </c>
      <c r="E431" s="22">
        <v>1</v>
      </c>
      <c r="F431" s="22">
        <v>79.89</v>
      </c>
      <c r="G431" s="30">
        <f>IF(OR(M431="",O431="",M431=0),"",(M431-O431)/M431)</f>
        <v>0.22500000000000001</v>
      </c>
      <c r="H431" s="22">
        <v>79.89</v>
      </c>
      <c r="I431" s="22">
        <v>0</v>
      </c>
      <c r="J431" s="22">
        <v>6</v>
      </c>
      <c r="K431" s="22">
        <v>120</v>
      </c>
      <c r="L431" s="22">
        <v>18</v>
      </c>
      <c r="M431" s="22">
        <f>_xlfn.CEILING.MATH(F431*2)</f>
        <v>160</v>
      </c>
      <c r="N431" s="22">
        <f>H431*1.18</f>
        <v>94.270200000000003</v>
      </c>
      <c r="O431" s="22">
        <f>_xlfn.CEILING.MATH(F431*1.56)-1</f>
        <v>124</v>
      </c>
    </row>
    <row r="432" spans="1:15" s="22" customFormat="1">
      <c r="A432" s="22">
        <v>216</v>
      </c>
      <c r="B432" s="22" t="s">
        <v>449</v>
      </c>
      <c r="C432" s="22" t="s">
        <v>1683</v>
      </c>
      <c r="E432" s="22">
        <v>1</v>
      </c>
      <c r="F432" s="22">
        <v>79.89</v>
      </c>
      <c r="G432" s="30">
        <f>IF(OR(M432="",O432="",M432=0),"",(M432-O432)/M432)</f>
        <v>0.22500000000000001</v>
      </c>
      <c r="H432" s="22">
        <v>79.89</v>
      </c>
      <c r="I432" s="22">
        <v>0</v>
      </c>
      <c r="J432" s="22">
        <v>6</v>
      </c>
      <c r="K432" s="22">
        <v>120</v>
      </c>
      <c r="L432" s="22">
        <v>18</v>
      </c>
      <c r="M432" s="22">
        <f>_xlfn.CEILING.MATH(F432*2)</f>
        <v>160</v>
      </c>
      <c r="N432" s="22">
        <f>H432*1.18</f>
        <v>94.270200000000003</v>
      </c>
      <c r="O432" s="22">
        <f>_xlfn.CEILING.MATH(F432*1.56)-1</f>
        <v>124</v>
      </c>
    </row>
    <row r="433" spans="1:15" s="22" customFormat="1">
      <c r="A433" s="22">
        <v>217</v>
      </c>
      <c r="B433" s="22" t="s">
        <v>450</v>
      </c>
      <c r="C433" s="22" t="s">
        <v>1684</v>
      </c>
      <c r="E433" s="22">
        <v>1</v>
      </c>
      <c r="F433" s="22">
        <v>79.89</v>
      </c>
      <c r="G433" s="30">
        <f>IF(OR(M433="",O433="",M433=0),"",(M433-O433)/M433)</f>
        <v>0.22500000000000001</v>
      </c>
      <c r="H433" s="22">
        <v>79.89</v>
      </c>
      <c r="I433" s="22">
        <v>0</v>
      </c>
      <c r="J433" s="22">
        <v>6</v>
      </c>
      <c r="K433" s="22">
        <v>120</v>
      </c>
      <c r="L433" s="22">
        <v>18</v>
      </c>
      <c r="M433" s="22">
        <f>_xlfn.CEILING.MATH(F433*2)</f>
        <v>160</v>
      </c>
      <c r="N433" s="22">
        <f>H433*1.18</f>
        <v>94.270200000000003</v>
      </c>
      <c r="O433" s="22">
        <f>_xlfn.CEILING.MATH(F433*1.56)-1</f>
        <v>124</v>
      </c>
    </row>
    <row r="434" spans="1:15" s="22" customFormat="1">
      <c r="A434" s="22">
        <v>218</v>
      </c>
      <c r="B434" s="22" t="s">
        <v>451</v>
      </c>
      <c r="C434" s="22" t="s">
        <v>1685</v>
      </c>
      <c r="E434" s="22">
        <v>1</v>
      </c>
      <c r="F434" s="22">
        <v>79.89</v>
      </c>
      <c r="G434" s="30">
        <f>IF(OR(M434="",O434="",M434=0),"",(M434-O434)/M434)</f>
        <v>0.22500000000000001</v>
      </c>
      <c r="H434" s="22">
        <v>79.89</v>
      </c>
      <c r="I434" s="22">
        <v>0</v>
      </c>
      <c r="J434" s="22">
        <v>6</v>
      </c>
      <c r="K434" s="22">
        <v>120</v>
      </c>
      <c r="L434" s="22">
        <v>18</v>
      </c>
      <c r="M434" s="22">
        <f>_xlfn.CEILING.MATH(F434*2)</f>
        <v>160</v>
      </c>
      <c r="N434" s="22">
        <f>H434*1.18</f>
        <v>94.270200000000003</v>
      </c>
      <c r="O434" s="22">
        <f>_xlfn.CEILING.MATH(F434*1.56)-1</f>
        <v>124</v>
      </c>
    </row>
    <row r="435" spans="1:15" s="22" customFormat="1">
      <c r="A435" s="22">
        <v>219</v>
      </c>
      <c r="B435" s="22" t="s">
        <v>452</v>
      </c>
      <c r="C435" s="22" t="s">
        <v>1686</v>
      </c>
      <c r="E435" s="22">
        <v>1</v>
      </c>
      <c r="F435" s="22">
        <v>79.89</v>
      </c>
      <c r="G435" s="30">
        <f>IF(OR(M435="",O435="",M435=0),"",(M435-O435)/M435)</f>
        <v>0.22500000000000001</v>
      </c>
      <c r="H435" s="22">
        <v>79.89</v>
      </c>
      <c r="I435" s="22">
        <v>0</v>
      </c>
      <c r="J435" s="22">
        <v>6</v>
      </c>
      <c r="K435" s="22">
        <v>120</v>
      </c>
      <c r="L435" s="22">
        <v>18</v>
      </c>
      <c r="M435" s="22">
        <f>_xlfn.CEILING.MATH(F435*2)</f>
        <v>160</v>
      </c>
      <c r="N435" s="22">
        <f>H435*1.18</f>
        <v>94.270200000000003</v>
      </c>
      <c r="O435" s="22">
        <f>_xlfn.CEILING.MATH(F435*1.56)-1</f>
        <v>124</v>
      </c>
    </row>
    <row r="436" spans="1:15" s="22" customFormat="1">
      <c r="A436" s="22">
        <v>220</v>
      </c>
      <c r="B436" s="22" t="s">
        <v>453</v>
      </c>
      <c r="C436" s="22" t="s">
        <v>1687</v>
      </c>
      <c r="E436" s="22">
        <v>1</v>
      </c>
      <c r="F436" s="22">
        <v>79.89</v>
      </c>
      <c r="G436" s="30">
        <f>IF(OR(M436="",O436="",M436=0),"",(M436-O436)/M436)</f>
        <v>0.22500000000000001</v>
      </c>
      <c r="H436" s="22">
        <v>79.89</v>
      </c>
      <c r="I436" s="22">
        <v>0</v>
      </c>
      <c r="J436" s="22">
        <v>6</v>
      </c>
      <c r="K436" s="22">
        <v>120</v>
      </c>
      <c r="L436" s="22">
        <v>18</v>
      </c>
      <c r="M436" s="22">
        <f>_xlfn.CEILING.MATH(F436*2)</f>
        <v>160</v>
      </c>
      <c r="N436" s="22">
        <f>H436*1.18</f>
        <v>94.270200000000003</v>
      </c>
      <c r="O436" s="22">
        <f>_xlfn.CEILING.MATH(F436*1.56)-1</f>
        <v>124</v>
      </c>
    </row>
    <row r="437" spans="1:15" s="22" customFormat="1">
      <c r="A437" s="22">
        <v>221</v>
      </c>
      <c r="B437" s="22" t="s">
        <v>454</v>
      </c>
      <c r="C437" s="22" t="s">
        <v>1688</v>
      </c>
      <c r="E437" s="22">
        <v>1</v>
      </c>
      <c r="F437" s="22">
        <v>79.89</v>
      </c>
      <c r="G437" s="30">
        <f>IF(OR(M437="",O437="",M437=0),"",(M437-O437)/M437)</f>
        <v>0.22500000000000001</v>
      </c>
      <c r="H437" s="22">
        <v>79.89</v>
      </c>
      <c r="I437" s="22">
        <v>0</v>
      </c>
      <c r="J437" s="22">
        <v>6</v>
      </c>
      <c r="K437" s="22">
        <v>120</v>
      </c>
      <c r="L437" s="22">
        <v>18</v>
      </c>
      <c r="M437" s="22">
        <f>_xlfn.CEILING.MATH(F437*2)</f>
        <v>160</v>
      </c>
      <c r="N437" s="22">
        <f>H437*1.18</f>
        <v>94.270200000000003</v>
      </c>
      <c r="O437" s="22">
        <f>_xlfn.CEILING.MATH(F437*1.56)-1</f>
        <v>124</v>
      </c>
    </row>
    <row r="438" spans="1:15" s="22" customFormat="1">
      <c r="A438" s="22">
        <v>222</v>
      </c>
      <c r="B438" s="22" t="s">
        <v>455</v>
      </c>
      <c r="C438" s="22" t="s">
        <v>1689</v>
      </c>
      <c r="E438" s="22">
        <v>1</v>
      </c>
      <c r="F438" s="22">
        <v>114</v>
      </c>
      <c r="G438" s="30">
        <f>IF(OR(M438="",O438="",M438=0),"",(M438-O438)/M438)</f>
        <v>0.22368421052631579</v>
      </c>
      <c r="H438" s="22">
        <v>114</v>
      </c>
      <c r="I438" s="22">
        <v>13</v>
      </c>
      <c r="J438" s="22">
        <v>6</v>
      </c>
      <c r="K438" s="22">
        <v>300</v>
      </c>
      <c r="L438" s="22">
        <v>18</v>
      </c>
      <c r="M438" s="22">
        <f>_xlfn.CEILING.MATH(F438*2)</f>
        <v>228</v>
      </c>
      <c r="N438" s="22">
        <f>H438*1.18</f>
        <v>134.51999999999998</v>
      </c>
      <c r="O438" s="22">
        <f>_xlfn.CEILING.MATH(F438*1.56)-1</f>
        <v>177</v>
      </c>
    </row>
    <row r="439" spans="1:15" s="22" customFormat="1">
      <c r="A439" s="22">
        <v>223</v>
      </c>
      <c r="B439" s="22" t="s">
        <v>456</v>
      </c>
      <c r="C439" s="22" t="s">
        <v>1690</v>
      </c>
      <c r="E439" s="22">
        <v>1</v>
      </c>
      <c r="F439" s="22">
        <v>114</v>
      </c>
      <c r="G439" s="30">
        <f>IF(OR(M439="",O439="",M439=0),"",(M439-O439)/M439)</f>
        <v>0.22368421052631579</v>
      </c>
      <c r="H439" s="22">
        <v>114</v>
      </c>
      <c r="I439" s="22">
        <v>231</v>
      </c>
      <c r="J439" s="22">
        <v>6</v>
      </c>
      <c r="K439" s="22">
        <v>300</v>
      </c>
      <c r="L439" s="22">
        <v>18</v>
      </c>
      <c r="M439" s="22">
        <f>_xlfn.CEILING.MATH(F439*2)</f>
        <v>228</v>
      </c>
      <c r="N439" s="22">
        <f>H439*1.18</f>
        <v>134.51999999999998</v>
      </c>
      <c r="O439" s="22">
        <f>_xlfn.CEILING.MATH(F439*1.56)-1</f>
        <v>177</v>
      </c>
    </row>
    <row r="440" spans="1:15" s="22" customFormat="1">
      <c r="A440" s="22">
        <v>224</v>
      </c>
      <c r="B440" s="22" t="s">
        <v>457</v>
      </c>
      <c r="C440" s="22" t="s">
        <v>1691</v>
      </c>
      <c r="E440" s="22">
        <v>1</v>
      </c>
      <c r="F440" s="22">
        <v>114</v>
      </c>
      <c r="G440" s="30">
        <f>IF(OR(M440="",O440="",M440=0),"",(M440-O440)/M440)</f>
        <v>0.22368421052631579</v>
      </c>
      <c r="H440" s="22">
        <v>114</v>
      </c>
      <c r="I440" s="22">
        <v>59</v>
      </c>
      <c r="J440" s="22">
        <v>6</v>
      </c>
      <c r="K440" s="22">
        <v>300</v>
      </c>
      <c r="L440" s="22">
        <v>18</v>
      </c>
      <c r="M440" s="22">
        <f>_xlfn.CEILING.MATH(F440*2)</f>
        <v>228</v>
      </c>
      <c r="N440" s="22">
        <f>H440*1.18</f>
        <v>134.51999999999998</v>
      </c>
      <c r="O440" s="22">
        <f>_xlfn.CEILING.MATH(F440*1.56)-1</f>
        <v>177</v>
      </c>
    </row>
    <row r="441" spans="1:15" s="22" customFormat="1">
      <c r="A441" s="22">
        <v>225</v>
      </c>
      <c r="B441" s="22" t="s">
        <v>458</v>
      </c>
      <c r="C441" s="22" t="s">
        <v>1692</v>
      </c>
      <c r="E441" s="22">
        <v>1</v>
      </c>
      <c r="F441" s="22">
        <v>114</v>
      </c>
      <c r="G441" s="30">
        <f>IF(OR(M441="",O441="",M441=0),"",(M441-O441)/M441)</f>
        <v>0.22368421052631579</v>
      </c>
      <c r="H441" s="22">
        <v>114</v>
      </c>
      <c r="I441" s="22">
        <v>5</v>
      </c>
      <c r="J441" s="22">
        <v>6</v>
      </c>
      <c r="K441" s="22">
        <v>96</v>
      </c>
      <c r="L441" s="22">
        <v>18</v>
      </c>
      <c r="M441" s="22">
        <f>_xlfn.CEILING.MATH(F441*2)</f>
        <v>228</v>
      </c>
      <c r="N441" s="22">
        <f>H441*1.18</f>
        <v>134.51999999999998</v>
      </c>
      <c r="O441" s="22">
        <f>_xlfn.CEILING.MATH(F441*1.56)-1</f>
        <v>177</v>
      </c>
    </row>
    <row r="442" spans="1:15" s="22" customFormat="1">
      <c r="A442" s="22">
        <v>226</v>
      </c>
      <c r="B442" s="22" t="s">
        <v>459</v>
      </c>
      <c r="C442" s="22" t="s">
        <v>1693</v>
      </c>
      <c r="E442" s="22">
        <v>1</v>
      </c>
      <c r="F442" s="22">
        <v>114</v>
      </c>
      <c r="G442" s="30">
        <f>IF(OR(M442="",O442="",M442=0),"",(M442-O442)/M442)</f>
        <v>0.22368421052631579</v>
      </c>
      <c r="H442" s="22">
        <v>114</v>
      </c>
      <c r="I442" s="22">
        <v>20</v>
      </c>
      <c r="J442" s="22">
        <v>6</v>
      </c>
      <c r="K442" s="22">
        <v>96</v>
      </c>
      <c r="L442" s="22">
        <v>18</v>
      </c>
      <c r="M442" s="22">
        <f>_xlfn.CEILING.MATH(F442*2)</f>
        <v>228</v>
      </c>
      <c r="N442" s="22">
        <f>H442*1.18</f>
        <v>134.51999999999998</v>
      </c>
      <c r="O442" s="22">
        <f>_xlfn.CEILING.MATH(F442*1.56)-1</f>
        <v>177</v>
      </c>
    </row>
    <row r="443" spans="1:15" s="22" customFormat="1">
      <c r="A443" s="22">
        <v>227</v>
      </c>
      <c r="B443" s="22" t="s">
        <v>460</v>
      </c>
      <c r="C443" s="22" t="s">
        <v>1694</v>
      </c>
      <c r="E443" s="22">
        <v>1</v>
      </c>
      <c r="F443" s="22">
        <v>132</v>
      </c>
      <c r="G443" s="30">
        <f>IF(OR(M443="",O443="",M443=0),"",(M443-O443)/M443)</f>
        <v>0.22348484848484848</v>
      </c>
      <c r="H443" s="22">
        <v>132</v>
      </c>
      <c r="I443" s="22">
        <v>61</v>
      </c>
      <c r="J443" s="22">
        <v>6</v>
      </c>
      <c r="K443" s="22">
        <v>498</v>
      </c>
      <c r="L443" s="22">
        <v>18</v>
      </c>
      <c r="M443" s="22">
        <f>_xlfn.CEILING.MATH(F443*2)</f>
        <v>264</v>
      </c>
      <c r="N443" s="22">
        <f>H443*1.18</f>
        <v>155.76</v>
      </c>
      <c r="O443" s="22">
        <f>_xlfn.CEILING.MATH(F443*1.56)-1</f>
        <v>205</v>
      </c>
    </row>
    <row r="444" spans="1:15" s="22" customFormat="1">
      <c r="A444" s="22">
        <v>228</v>
      </c>
      <c r="B444" s="22" t="s">
        <v>461</v>
      </c>
      <c r="C444" s="22" t="s">
        <v>1695</v>
      </c>
      <c r="E444" s="22">
        <v>1</v>
      </c>
      <c r="F444" s="22">
        <v>132</v>
      </c>
      <c r="G444" s="30">
        <f>IF(OR(M444="",O444="",M444=0),"",(M444-O444)/M444)</f>
        <v>0.22348484848484848</v>
      </c>
      <c r="H444" s="22">
        <v>132</v>
      </c>
      <c r="I444" s="22">
        <v>168</v>
      </c>
      <c r="J444" s="22">
        <v>5</v>
      </c>
      <c r="K444" s="22">
        <v>120</v>
      </c>
      <c r="L444" s="22">
        <v>18</v>
      </c>
      <c r="M444" s="22">
        <f>_xlfn.CEILING.MATH(F444*2)</f>
        <v>264</v>
      </c>
      <c r="N444" s="22">
        <f>H444*1.18</f>
        <v>155.76</v>
      </c>
      <c r="O444" s="22">
        <f>_xlfn.CEILING.MATH(F444*1.56)-1</f>
        <v>205</v>
      </c>
    </row>
    <row r="445" spans="1:15" s="22" customFormat="1">
      <c r="A445" s="22">
        <v>229</v>
      </c>
      <c r="B445" s="22" t="s">
        <v>462</v>
      </c>
      <c r="C445" s="22" t="s">
        <v>1696</v>
      </c>
      <c r="E445" s="22">
        <v>1</v>
      </c>
      <c r="F445" s="22">
        <v>135</v>
      </c>
      <c r="G445" s="30">
        <f>IF(OR(M445="",O445="",M445=0),"",(M445-O445)/M445)</f>
        <v>0.22222222222222221</v>
      </c>
      <c r="H445" s="22">
        <v>135</v>
      </c>
      <c r="I445" s="22">
        <v>198</v>
      </c>
      <c r="J445" s="22">
        <v>5</v>
      </c>
      <c r="K445" s="22">
        <v>500</v>
      </c>
      <c r="L445" s="22">
        <v>18</v>
      </c>
      <c r="M445" s="22">
        <f>_xlfn.CEILING.MATH(F445*2)</f>
        <v>270</v>
      </c>
      <c r="N445" s="22">
        <f>H445*1.18</f>
        <v>159.29999999999998</v>
      </c>
      <c r="O445" s="22">
        <f>_xlfn.CEILING.MATH(F445*1.56)-1</f>
        <v>210</v>
      </c>
    </row>
    <row r="446" spans="1:15" s="22" customFormat="1">
      <c r="A446" s="22">
        <v>230</v>
      </c>
      <c r="B446" s="22" t="s">
        <v>463</v>
      </c>
      <c r="C446" s="22" t="s">
        <v>1697</v>
      </c>
      <c r="E446" s="22">
        <v>1</v>
      </c>
      <c r="F446" s="22">
        <v>135</v>
      </c>
      <c r="G446" s="30">
        <f>IF(OR(M446="",O446="",M446=0),"",(M446-O446)/M446)</f>
        <v>0.22222222222222221</v>
      </c>
      <c r="H446" s="22">
        <v>135</v>
      </c>
      <c r="I446" s="22">
        <v>0</v>
      </c>
      <c r="J446" s="22">
        <v>5</v>
      </c>
      <c r="K446" s="22">
        <v>500</v>
      </c>
      <c r="L446" s="22">
        <v>18</v>
      </c>
      <c r="M446" s="22">
        <f>_xlfn.CEILING.MATH(F446*2)</f>
        <v>270</v>
      </c>
      <c r="N446" s="22">
        <f>H446*1.18</f>
        <v>159.29999999999998</v>
      </c>
      <c r="O446" s="22">
        <f>_xlfn.CEILING.MATH(F446*1.56)-1</f>
        <v>210</v>
      </c>
    </row>
    <row r="447" spans="1:15" s="22" customFormat="1">
      <c r="A447" s="22">
        <v>231</v>
      </c>
      <c r="B447" s="22" t="s">
        <v>464</v>
      </c>
      <c r="C447" s="22" t="s">
        <v>1698</v>
      </c>
      <c r="E447" s="22">
        <v>1</v>
      </c>
      <c r="F447" s="22">
        <v>163.5</v>
      </c>
      <c r="G447" s="30">
        <f>IF(OR(M447="",O447="",M447=0),"",(M447-O447)/M447)</f>
        <v>0.22018348623853212</v>
      </c>
      <c r="H447" s="22">
        <v>163.5</v>
      </c>
      <c r="I447" s="22">
        <v>138</v>
      </c>
      <c r="J447" s="22">
        <v>5</v>
      </c>
      <c r="K447" s="22">
        <v>100</v>
      </c>
      <c r="L447" s="22">
        <v>18</v>
      </c>
      <c r="M447" s="22">
        <f>_xlfn.CEILING.MATH(F447*2)</f>
        <v>327</v>
      </c>
      <c r="N447" s="22">
        <f>H447*1.18</f>
        <v>192.92999999999998</v>
      </c>
      <c r="O447" s="22">
        <f>_xlfn.CEILING.MATH(F447*1.56)-1</f>
        <v>255</v>
      </c>
    </row>
    <row r="448" spans="1:15" s="22" customFormat="1">
      <c r="A448" s="22">
        <v>232</v>
      </c>
      <c r="B448" s="22" t="s">
        <v>465</v>
      </c>
      <c r="C448" s="22" t="s">
        <v>1699</v>
      </c>
      <c r="E448" s="22">
        <v>1</v>
      </c>
      <c r="F448" s="22">
        <v>174</v>
      </c>
      <c r="G448" s="30">
        <f>IF(OR(M448="",O448="",M448=0),"",(M448-O448)/M448)</f>
        <v>0.22126436781609196</v>
      </c>
      <c r="H448" s="22">
        <v>174</v>
      </c>
      <c r="I448" s="22">
        <v>132</v>
      </c>
      <c r="J448" s="22">
        <v>4</v>
      </c>
      <c r="K448" s="22">
        <v>100</v>
      </c>
      <c r="L448" s="22">
        <v>18</v>
      </c>
      <c r="M448" s="22">
        <f>_xlfn.CEILING.MATH(F448*2)</f>
        <v>348</v>
      </c>
      <c r="N448" s="22">
        <f>H448*1.18</f>
        <v>205.32</v>
      </c>
      <c r="O448" s="22">
        <f>_xlfn.CEILING.MATH(F448*1.56)-1</f>
        <v>271</v>
      </c>
    </row>
    <row r="449" spans="1:15" s="22" customFormat="1">
      <c r="A449" s="22">
        <v>233</v>
      </c>
      <c r="B449" s="22" t="s">
        <v>466</v>
      </c>
      <c r="C449" s="22" t="s">
        <v>1700</v>
      </c>
      <c r="E449" s="22">
        <v>1</v>
      </c>
      <c r="F449" s="22">
        <v>216</v>
      </c>
      <c r="G449" s="30">
        <f>IF(OR(M449="",O449="",M449=0),"",(M449-O449)/M449)</f>
        <v>0.22222222222222221</v>
      </c>
      <c r="H449" s="22">
        <v>216</v>
      </c>
      <c r="I449" s="22">
        <v>67</v>
      </c>
      <c r="J449" s="22">
        <v>4</v>
      </c>
      <c r="K449" s="22">
        <v>100</v>
      </c>
      <c r="L449" s="22">
        <v>18</v>
      </c>
      <c r="M449" s="22">
        <f>_xlfn.CEILING.MATH(F449*2)</f>
        <v>432</v>
      </c>
      <c r="N449" s="22">
        <f>H449*1.18</f>
        <v>254.88</v>
      </c>
      <c r="O449" s="22">
        <f>_xlfn.CEILING.MATH(F449*1.56)-1</f>
        <v>336</v>
      </c>
    </row>
    <row r="450" spans="1:15" s="22" customFormat="1">
      <c r="A450" s="22">
        <v>234</v>
      </c>
      <c r="B450" s="22" t="s">
        <v>467</v>
      </c>
      <c r="C450" s="22" t="s">
        <v>1701</v>
      </c>
      <c r="E450" s="22">
        <v>1</v>
      </c>
      <c r="F450" s="22">
        <v>67.5</v>
      </c>
      <c r="G450" s="30">
        <f>IF(OR(M450="",O450="",M450=0),"",(M450-O450)/M450)</f>
        <v>0.22222222222222221</v>
      </c>
      <c r="H450" s="22">
        <v>67.5</v>
      </c>
      <c r="I450" s="22">
        <v>340</v>
      </c>
      <c r="J450" s="22">
        <v>12</v>
      </c>
      <c r="K450" s="22">
        <v>300</v>
      </c>
      <c r="L450" s="22">
        <v>18</v>
      </c>
      <c r="M450" s="22">
        <f>_xlfn.CEILING.MATH(F450*2)</f>
        <v>135</v>
      </c>
      <c r="N450" s="22">
        <f>H450*1.18</f>
        <v>79.649999999999991</v>
      </c>
      <c r="O450" s="22">
        <f>_xlfn.CEILING.MATH(F450*1.56)-1</f>
        <v>105</v>
      </c>
    </row>
    <row r="451" spans="1:15" s="22" customFormat="1">
      <c r="A451" s="22">
        <v>235</v>
      </c>
      <c r="B451" s="22" t="s">
        <v>468</v>
      </c>
      <c r="C451" s="22" t="s">
        <v>1702</v>
      </c>
      <c r="E451" s="22">
        <v>1</v>
      </c>
      <c r="F451" s="22">
        <v>67.5</v>
      </c>
      <c r="G451" s="30">
        <f>IF(OR(M451="",O451="",M451=0),"",(M451-O451)/M451)</f>
        <v>0.22222222222222221</v>
      </c>
      <c r="H451" s="22">
        <v>67.5</v>
      </c>
      <c r="I451" s="22">
        <v>393</v>
      </c>
      <c r="J451" s="22">
        <v>12</v>
      </c>
      <c r="K451" s="22">
        <v>300</v>
      </c>
      <c r="L451" s="22">
        <v>18</v>
      </c>
      <c r="M451" s="22">
        <f>_xlfn.CEILING.MATH(F451*2)</f>
        <v>135</v>
      </c>
      <c r="N451" s="22">
        <f>H451*1.18</f>
        <v>79.649999999999991</v>
      </c>
      <c r="O451" s="22">
        <f>_xlfn.CEILING.MATH(F451*1.56)-1</f>
        <v>105</v>
      </c>
    </row>
    <row r="452" spans="1:15" s="22" customFormat="1">
      <c r="A452" s="22">
        <v>236</v>
      </c>
      <c r="B452" s="22" t="s">
        <v>469</v>
      </c>
      <c r="C452" s="22" t="s">
        <v>1703</v>
      </c>
      <c r="E452" s="22">
        <v>1</v>
      </c>
      <c r="F452" s="22">
        <v>67.5</v>
      </c>
      <c r="G452" s="30">
        <f>IF(OR(M452="",O452="",M452=0),"",(M452-O452)/M452)</f>
        <v>0.22222222222222221</v>
      </c>
      <c r="H452" s="22">
        <v>67.5</v>
      </c>
      <c r="I452" s="22">
        <v>236</v>
      </c>
      <c r="J452" s="22">
        <v>12</v>
      </c>
      <c r="K452" s="22">
        <v>240</v>
      </c>
      <c r="L452" s="22">
        <v>18</v>
      </c>
      <c r="M452" s="22">
        <f>_xlfn.CEILING.MATH(F452*2)</f>
        <v>135</v>
      </c>
      <c r="N452" s="22">
        <f>H452*1.18</f>
        <v>79.649999999999991</v>
      </c>
      <c r="O452" s="22">
        <f>_xlfn.CEILING.MATH(F452*1.56)-1</f>
        <v>105</v>
      </c>
    </row>
    <row r="453" spans="1:15" s="22" customFormat="1">
      <c r="A453" s="22">
        <v>237</v>
      </c>
      <c r="B453" s="22" t="s">
        <v>470</v>
      </c>
      <c r="C453" s="22" t="s">
        <v>1704</v>
      </c>
      <c r="E453" s="22">
        <v>1</v>
      </c>
      <c r="F453" s="22">
        <v>67.5</v>
      </c>
      <c r="G453" s="30">
        <f>IF(OR(M453="",O453="",M453=0),"",(M453-O453)/M453)</f>
        <v>0.22222222222222221</v>
      </c>
      <c r="H453" s="22">
        <v>67.5</v>
      </c>
      <c r="I453" s="22">
        <v>252</v>
      </c>
      <c r="J453" s="22">
        <v>12</v>
      </c>
      <c r="K453" s="22">
        <v>240</v>
      </c>
      <c r="L453" s="22">
        <v>18</v>
      </c>
      <c r="M453" s="22">
        <f>_xlfn.CEILING.MATH(F453*2)</f>
        <v>135</v>
      </c>
      <c r="N453" s="22">
        <f>H453*1.18</f>
        <v>79.649999999999991</v>
      </c>
      <c r="O453" s="22">
        <f>_xlfn.CEILING.MATH(F453*1.56)-1</f>
        <v>105</v>
      </c>
    </row>
    <row r="454" spans="1:15" s="22" customFormat="1">
      <c r="A454" s="22">
        <v>238</v>
      </c>
      <c r="B454" s="22" t="s">
        <v>471</v>
      </c>
      <c r="C454" s="22" t="s">
        <v>1705</v>
      </c>
      <c r="E454" s="22">
        <v>1</v>
      </c>
      <c r="F454" s="22">
        <v>67.5</v>
      </c>
      <c r="G454" s="30">
        <f>IF(OR(M454="",O454="",M454=0),"",(M454-O454)/M454)</f>
        <v>0.22222222222222221</v>
      </c>
      <c r="H454" s="22">
        <v>67.5</v>
      </c>
      <c r="I454" s="22">
        <v>430</v>
      </c>
      <c r="J454" s="22">
        <v>12</v>
      </c>
      <c r="K454" s="22">
        <v>240</v>
      </c>
      <c r="L454" s="22">
        <v>18</v>
      </c>
      <c r="M454" s="22">
        <f>_xlfn.CEILING.MATH(F454*2)</f>
        <v>135</v>
      </c>
      <c r="N454" s="22">
        <f>H454*1.18</f>
        <v>79.649999999999991</v>
      </c>
      <c r="O454" s="22">
        <f>_xlfn.CEILING.MATH(F454*1.56)-1</f>
        <v>105</v>
      </c>
    </row>
    <row r="455" spans="1:15" s="22" customFormat="1">
      <c r="A455" s="22">
        <v>239</v>
      </c>
      <c r="B455" s="22" t="s">
        <v>472</v>
      </c>
      <c r="C455" s="22" t="s">
        <v>1706</v>
      </c>
      <c r="E455" s="22">
        <v>1</v>
      </c>
      <c r="F455" s="22">
        <v>67.5</v>
      </c>
      <c r="G455" s="30">
        <f>IF(OR(M455="",O455="",M455=0),"",(M455-O455)/M455)</f>
        <v>0.22222222222222221</v>
      </c>
      <c r="H455" s="22">
        <v>67.5</v>
      </c>
      <c r="I455" s="22">
        <v>236</v>
      </c>
      <c r="J455" s="22">
        <v>12</v>
      </c>
      <c r="K455" s="22">
        <v>240</v>
      </c>
      <c r="L455" s="22">
        <v>18</v>
      </c>
      <c r="M455" s="22">
        <f>_xlfn.CEILING.MATH(F455*2)</f>
        <v>135</v>
      </c>
      <c r="N455" s="22">
        <f>H455*1.18</f>
        <v>79.649999999999991</v>
      </c>
      <c r="O455" s="22">
        <f>_xlfn.CEILING.MATH(F455*1.56)-1</f>
        <v>105</v>
      </c>
    </row>
    <row r="456" spans="1:15" s="22" customFormat="1">
      <c r="A456" s="22">
        <v>240</v>
      </c>
      <c r="B456" s="22" t="s">
        <v>473</v>
      </c>
      <c r="C456" s="22" t="s">
        <v>1707</v>
      </c>
      <c r="E456" s="22">
        <v>1</v>
      </c>
      <c r="F456" s="22">
        <v>76.5</v>
      </c>
      <c r="G456" s="30">
        <f>IF(OR(M456="",O456="",M456=0),"",(M456-O456)/M456)</f>
        <v>0.22222222222222221</v>
      </c>
      <c r="H456" s="22">
        <v>76.5</v>
      </c>
      <c r="I456" s="22">
        <v>344</v>
      </c>
      <c r="J456" s="22">
        <v>10</v>
      </c>
      <c r="K456" s="22">
        <v>120</v>
      </c>
      <c r="L456" s="22">
        <v>18</v>
      </c>
      <c r="M456" s="22">
        <f>_xlfn.CEILING.MATH(F456*2)</f>
        <v>153</v>
      </c>
      <c r="N456" s="22">
        <f>H456*1.18</f>
        <v>90.27</v>
      </c>
      <c r="O456" s="22">
        <f>_xlfn.CEILING.MATH(F456*1.56)-1</f>
        <v>119</v>
      </c>
    </row>
    <row r="457" spans="1:15" s="22" customFormat="1">
      <c r="A457" s="22">
        <v>241</v>
      </c>
      <c r="B457" s="22" t="s">
        <v>474</v>
      </c>
      <c r="C457" s="22" t="s">
        <v>1708</v>
      </c>
      <c r="E457" s="22">
        <v>1</v>
      </c>
      <c r="F457" s="22">
        <v>76.5</v>
      </c>
      <c r="G457" s="30">
        <f>IF(OR(M457="",O457="",M457=0),"",(M457-O457)/M457)</f>
        <v>0.22222222222222221</v>
      </c>
      <c r="H457" s="22">
        <v>76.5</v>
      </c>
      <c r="I457" s="22">
        <v>147</v>
      </c>
      <c r="J457" s="22">
        <v>5</v>
      </c>
      <c r="K457" s="22">
        <v>300</v>
      </c>
      <c r="L457" s="22">
        <v>18</v>
      </c>
      <c r="M457" s="22">
        <f>_xlfn.CEILING.MATH(F457*2)</f>
        <v>153</v>
      </c>
      <c r="N457" s="22">
        <f>H457*1.18</f>
        <v>90.27</v>
      </c>
      <c r="O457" s="22">
        <f>_xlfn.CEILING.MATH(F457*1.56)-1</f>
        <v>119</v>
      </c>
    </row>
    <row r="458" spans="1:15" s="22" customFormat="1">
      <c r="A458" s="22">
        <v>242</v>
      </c>
      <c r="B458" s="22" t="s">
        <v>475</v>
      </c>
      <c r="C458" s="22" t="s">
        <v>1709</v>
      </c>
      <c r="E458" s="22">
        <v>1</v>
      </c>
      <c r="F458" s="22">
        <v>76.5</v>
      </c>
      <c r="G458" s="30">
        <f>IF(OR(M458="",O458="",M458=0),"",(M458-O458)/M458)</f>
        <v>0.22222222222222221</v>
      </c>
      <c r="H458" s="22">
        <v>76.5</v>
      </c>
      <c r="I458" s="22">
        <v>385</v>
      </c>
      <c r="J458" s="22">
        <v>5</v>
      </c>
      <c r="K458" s="22">
        <v>75</v>
      </c>
      <c r="L458" s="22">
        <v>18</v>
      </c>
      <c r="M458" s="22">
        <f>_xlfn.CEILING.MATH(F458*2)</f>
        <v>153</v>
      </c>
      <c r="N458" s="22">
        <f>H458*1.18</f>
        <v>90.27</v>
      </c>
      <c r="O458" s="22">
        <f>_xlfn.CEILING.MATH(F458*1.56)-1</f>
        <v>119</v>
      </c>
    </row>
    <row r="459" spans="1:15" s="22" customFormat="1">
      <c r="A459" s="22">
        <v>243</v>
      </c>
      <c r="B459" s="22" t="s">
        <v>476</v>
      </c>
      <c r="C459" s="22" t="s">
        <v>1710</v>
      </c>
      <c r="E459" s="22">
        <v>1</v>
      </c>
      <c r="F459" s="22">
        <v>79.5</v>
      </c>
      <c r="G459" s="30">
        <f>IF(OR(M459="",O459="",M459=0),"",(M459-O459)/M459)</f>
        <v>0.22012578616352202</v>
      </c>
      <c r="H459" s="22">
        <v>79.5</v>
      </c>
      <c r="I459" s="22">
        <v>605</v>
      </c>
      <c r="J459" s="22">
        <v>4</v>
      </c>
      <c r="K459" s="22">
        <v>1000</v>
      </c>
      <c r="L459" s="22">
        <v>18</v>
      </c>
      <c r="M459" s="22">
        <f>_xlfn.CEILING.MATH(F459*2)</f>
        <v>159</v>
      </c>
      <c r="N459" s="22">
        <f>H459*1.18</f>
        <v>93.809999999999988</v>
      </c>
      <c r="O459" s="22">
        <f>_xlfn.CEILING.MATH(F459*1.56)-1</f>
        <v>124</v>
      </c>
    </row>
    <row r="460" spans="1:15" s="22" customFormat="1">
      <c r="A460" s="22">
        <v>244</v>
      </c>
      <c r="B460" s="22" t="s">
        <v>477</v>
      </c>
      <c r="C460" s="22" t="s">
        <v>1711</v>
      </c>
      <c r="E460" s="22">
        <v>1</v>
      </c>
      <c r="F460" s="22">
        <v>90</v>
      </c>
      <c r="G460" s="30">
        <f>IF(OR(M460="",O460="",M460=0),"",(M460-O460)/M460)</f>
        <v>0.22222222222222221</v>
      </c>
      <c r="H460" s="22">
        <v>90</v>
      </c>
      <c r="I460" s="22">
        <v>367</v>
      </c>
      <c r="J460" s="22">
        <v>4</v>
      </c>
      <c r="K460" s="22">
        <v>300</v>
      </c>
      <c r="L460" s="22">
        <v>18</v>
      </c>
      <c r="M460" s="22">
        <f>_xlfn.CEILING.MATH(F460*2)</f>
        <v>180</v>
      </c>
      <c r="N460" s="22">
        <f>H460*1.18</f>
        <v>106.19999999999999</v>
      </c>
      <c r="O460" s="22">
        <f>_xlfn.CEILING.MATH(F460*1.56)-1</f>
        <v>140</v>
      </c>
    </row>
    <row r="461" spans="1:15" s="22" customFormat="1">
      <c r="A461" s="22">
        <v>245</v>
      </c>
      <c r="B461" s="22" t="s">
        <v>478</v>
      </c>
      <c r="C461" s="22" t="s">
        <v>1712</v>
      </c>
      <c r="E461" s="22">
        <v>1</v>
      </c>
      <c r="F461" s="22">
        <v>99</v>
      </c>
      <c r="G461" s="30">
        <f>IF(OR(M461="",O461="",M461=0),"",(M461-O461)/M461)</f>
        <v>0.22222222222222221</v>
      </c>
      <c r="H461" s="22">
        <v>99</v>
      </c>
      <c r="I461" s="22">
        <v>301</v>
      </c>
      <c r="J461" s="22">
        <v>4</v>
      </c>
      <c r="K461" s="22">
        <v>120</v>
      </c>
      <c r="L461" s="22">
        <v>18</v>
      </c>
      <c r="M461" s="22">
        <f>_xlfn.CEILING.MATH(F461*2)</f>
        <v>198</v>
      </c>
      <c r="N461" s="22">
        <f>H461*1.18</f>
        <v>116.82</v>
      </c>
      <c r="O461" s="22">
        <f>_xlfn.CEILING.MATH(F461*1.56)-1</f>
        <v>154</v>
      </c>
    </row>
    <row r="462" spans="1:15" s="22" customFormat="1">
      <c r="A462" s="22">
        <v>246</v>
      </c>
      <c r="B462" s="22" t="s">
        <v>479</v>
      </c>
      <c r="C462" s="22" t="s">
        <v>1713</v>
      </c>
      <c r="E462" s="22">
        <v>1</v>
      </c>
      <c r="F462" s="22">
        <v>144</v>
      </c>
      <c r="G462" s="30">
        <f>IF(OR(M462="",O462="",M462=0),"",(M462-O462)/M462)</f>
        <v>0.22222222222222221</v>
      </c>
      <c r="H462" s="22">
        <v>144</v>
      </c>
      <c r="I462" s="22">
        <v>174</v>
      </c>
      <c r="J462" s="22">
        <v>3</v>
      </c>
      <c r="K462" s="22">
        <v>75</v>
      </c>
      <c r="L462" s="22">
        <v>18</v>
      </c>
      <c r="M462" s="22">
        <f>_xlfn.CEILING.MATH(F462*2)</f>
        <v>288</v>
      </c>
      <c r="N462" s="22">
        <f>H462*1.18</f>
        <v>169.92</v>
      </c>
      <c r="O462" s="22">
        <f>_xlfn.CEILING.MATH(F462*1.56)-1</f>
        <v>224</v>
      </c>
    </row>
    <row r="463" spans="1:15" s="22" customFormat="1">
      <c r="A463" s="22">
        <v>247</v>
      </c>
      <c r="B463" s="22" t="s">
        <v>480</v>
      </c>
      <c r="C463" s="22" t="s">
        <v>1714</v>
      </c>
      <c r="E463" s="22">
        <v>1</v>
      </c>
      <c r="F463" s="22">
        <v>144</v>
      </c>
      <c r="G463" s="30">
        <f>IF(OR(M463="",O463="",M463=0),"",(M463-O463)/M463)</f>
        <v>0.22222222222222221</v>
      </c>
      <c r="H463" s="22">
        <v>144</v>
      </c>
      <c r="I463" s="22">
        <v>170</v>
      </c>
      <c r="J463" s="22">
        <v>3</v>
      </c>
      <c r="K463" s="22">
        <v>75</v>
      </c>
      <c r="L463" s="22">
        <v>18</v>
      </c>
      <c r="M463" s="22">
        <f>_xlfn.CEILING.MATH(F463*2)</f>
        <v>288</v>
      </c>
      <c r="N463" s="22">
        <f>H463*1.18</f>
        <v>169.92</v>
      </c>
      <c r="O463" s="22">
        <f>_xlfn.CEILING.MATH(F463*1.56)-1</f>
        <v>224</v>
      </c>
    </row>
    <row r="464" spans="1:15" s="22" customFormat="1">
      <c r="A464" s="22">
        <v>248</v>
      </c>
      <c r="B464" s="22" t="s">
        <v>481</v>
      </c>
      <c r="C464" s="22" t="s">
        <v>1715</v>
      </c>
      <c r="E464" s="22">
        <v>1</v>
      </c>
      <c r="F464" s="22">
        <v>180</v>
      </c>
      <c r="G464" s="30">
        <f>IF(OR(M464="",O464="",M464=0),"",(M464-O464)/M464)</f>
        <v>0.22222222222222221</v>
      </c>
      <c r="H464" s="22">
        <v>180</v>
      </c>
      <c r="I464" s="22">
        <v>137</v>
      </c>
      <c r="J464" s="22">
        <v>8</v>
      </c>
      <c r="K464" s="22">
        <v>56</v>
      </c>
      <c r="L464" s="22">
        <v>18</v>
      </c>
      <c r="M464" s="22">
        <f>_xlfn.CEILING.MATH(F464*2)</f>
        <v>360</v>
      </c>
      <c r="N464" s="22">
        <f>H464*1.18</f>
        <v>212.39999999999998</v>
      </c>
      <c r="O464" s="22">
        <f>_xlfn.CEILING.MATH(F464*1.56)-1</f>
        <v>280</v>
      </c>
    </row>
    <row r="465" spans="1:15" s="22" customFormat="1">
      <c r="A465" s="22">
        <v>249</v>
      </c>
      <c r="B465" s="22" t="s">
        <v>482</v>
      </c>
      <c r="C465" s="22" t="s">
        <v>1716</v>
      </c>
      <c r="E465" s="22">
        <v>1</v>
      </c>
      <c r="F465" s="22">
        <v>180</v>
      </c>
      <c r="G465" s="30">
        <f>IF(OR(M465="",O465="",M465=0),"",(M465-O465)/M465)</f>
        <v>0.22222222222222221</v>
      </c>
      <c r="H465" s="22">
        <v>180</v>
      </c>
      <c r="I465" s="22">
        <v>120</v>
      </c>
      <c r="J465" s="22">
        <v>6</v>
      </c>
      <c r="K465" s="22">
        <v>60</v>
      </c>
      <c r="L465" s="22">
        <v>18</v>
      </c>
      <c r="M465" s="22">
        <f>_xlfn.CEILING.MATH(F465*2)</f>
        <v>360</v>
      </c>
      <c r="N465" s="22">
        <f>H465*1.18</f>
        <v>212.39999999999998</v>
      </c>
      <c r="O465" s="22">
        <f>_xlfn.CEILING.MATH(F465*1.56)-1</f>
        <v>280</v>
      </c>
    </row>
    <row r="466" spans="1:15" s="22" customFormat="1">
      <c r="A466" s="22">
        <v>250</v>
      </c>
      <c r="B466" s="22" t="s">
        <v>483</v>
      </c>
      <c r="C466" s="22" t="s">
        <v>1717</v>
      </c>
      <c r="E466" s="22">
        <v>1</v>
      </c>
      <c r="F466" s="22">
        <v>1490</v>
      </c>
      <c r="G466" s="30">
        <f>IF(OR(M466="",O466="",M466=0),"",(M466-O466)/M466)</f>
        <v>0.22013422818791947</v>
      </c>
      <c r="H466" s="22">
        <v>1490</v>
      </c>
      <c r="I466" s="22">
        <v>1473</v>
      </c>
      <c r="J466" s="22">
        <v>1</v>
      </c>
      <c r="K466" s="22">
        <v>12</v>
      </c>
      <c r="L466" s="22">
        <v>18</v>
      </c>
      <c r="M466" s="22">
        <f>_xlfn.CEILING.MATH(F466*2)</f>
        <v>2980</v>
      </c>
      <c r="N466" s="22">
        <f>H466*1.18</f>
        <v>1758.1999999999998</v>
      </c>
      <c r="O466" s="22">
        <f>_xlfn.CEILING.MATH(F466*1.56)-1</f>
        <v>2324</v>
      </c>
    </row>
    <row r="467" spans="1:15" s="22" customFormat="1">
      <c r="A467" s="22">
        <v>251</v>
      </c>
      <c r="B467" s="22" t="s">
        <v>484</v>
      </c>
      <c r="C467" s="22" t="s">
        <v>1718</v>
      </c>
      <c r="E467" s="22">
        <v>1</v>
      </c>
      <c r="F467" s="22">
        <v>1755</v>
      </c>
      <c r="G467" s="30">
        <f>IF(OR(M467="",O467="",M467=0),"",(M467-O467)/M467)</f>
        <v>0.22022792022792023</v>
      </c>
      <c r="H467" s="22">
        <v>1755</v>
      </c>
      <c r="I467" s="22">
        <v>847</v>
      </c>
      <c r="J467" s="22">
        <v>1</v>
      </c>
      <c r="K467" s="22">
        <v>10</v>
      </c>
      <c r="L467" s="22">
        <v>18</v>
      </c>
      <c r="M467" s="22">
        <f>_xlfn.CEILING.MATH(F467*2)</f>
        <v>3510</v>
      </c>
      <c r="N467" s="22">
        <f>H467*1.18</f>
        <v>2070.9</v>
      </c>
      <c r="O467" s="22">
        <f>_xlfn.CEILING.MATH(F467*1.56)-1</f>
        <v>2737</v>
      </c>
    </row>
    <row r="468" spans="1:15" s="22" customFormat="1">
      <c r="A468" s="22">
        <v>252</v>
      </c>
      <c r="B468" s="22" t="s">
        <v>485</v>
      </c>
      <c r="C468" s="22" t="s">
        <v>1368</v>
      </c>
      <c r="E468" s="22">
        <v>1</v>
      </c>
      <c r="F468" s="22">
        <v>393</v>
      </c>
      <c r="G468" s="30">
        <f>IF(OR(M468="",O468="",M468=0),"",(M468-O468)/M468)</f>
        <v>0.22010178117048346</v>
      </c>
      <c r="H468" s="22">
        <v>393</v>
      </c>
      <c r="I468" s="22">
        <v>0</v>
      </c>
      <c r="J468" s="22">
        <v>10</v>
      </c>
      <c r="K468" s="22">
        <v>40</v>
      </c>
      <c r="L468" s="22">
        <v>18</v>
      </c>
      <c r="M468" s="22">
        <f>_xlfn.CEILING.MATH(F468*2)</f>
        <v>786</v>
      </c>
      <c r="N468" s="22">
        <f>H468*1.18</f>
        <v>463.73999999999995</v>
      </c>
      <c r="O468" s="22">
        <f>_xlfn.CEILING.MATH(F468*1.56)-1</f>
        <v>613</v>
      </c>
    </row>
    <row r="469" spans="1:15" s="22" customFormat="1">
      <c r="A469" s="22">
        <v>253</v>
      </c>
      <c r="B469" s="22" t="s">
        <v>486</v>
      </c>
      <c r="C469" s="22" t="s">
        <v>1719</v>
      </c>
      <c r="E469" s="22">
        <v>1</v>
      </c>
      <c r="F469" s="22">
        <v>708</v>
      </c>
      <c r="G469" s="30">
        <f>IF(OR(M469="",O469="",M469=0),"",(M469-O469)/M469)</f>
        <v>0.22033898305084745</v>
      </c>
      <c r="H469" s="22">
        <v>708</v>
      </c>
      <c r="I469" s="22">
        <v>201</v>
      </c>
      <c r="J469" s="22">
        <v>1</v>
      </c>
      <c r="K469" s="22">
        <v>20</v>
      </c>
      <c r="L469" s="22">
        <v>18</v>
      </c>
      <c r="M469" s="22">
        <f>_xlfn.CEILING.MATH(F469*2)</f>
        <v>1416</v>
      </c>
      <c r="N469" s="22">
        <f>H469*1.18</f>
        <v>835.43999999999994</v>
      </c>
      <c r="O469" s="22">
        <f>_xlfn.CEILING.MATH(F469*1.56)-1</f>
        <v>1104</v>
      </c>
    </row>
    <row r="470" spans="1:15" s="22" customFormat="1">
      <c r="A470" s="22">
        <v>254</v>
      </c>
      <c r="B470" s="22" t="s">
        <v>487</v>
      </c>
      <c r="C470" s="22" t="s">
        <v>1720</v>
      </c>
      <c r="E470" s="22">
        <v>1</v>
      </c>
      <c r="F470" s="22">
        <v>6690</v>
      </c>
      <c r="G470" s="30">
        <f>IF(OR(M470="",O470="",M470=0),"",(M470-O470)/M470)</f>
        <v>0.22002989536621823</v>
      </c>
      <c r="H470" s="22">
        <v>6690</v>
      </c>
      <c r="I470" s="22">
        <v>138</v>
      </c>
      <c r="J470" s="22">
        <v>1</v>
      </c>
      <c r="K470" s="22">
        <v>3</v>
      </c>
      <c r="L470" s="22">
        <v>18</v>
      </c>
      <c r="M470" s="22">
        <f>_xlfn.CEILING.MATH(F470*2)</f>
        <v>13380</v>
      </c>
      <c r="N470" s="22">
        <f>H470*1.18</f>
        <v>7894.2</v>
      </c>
      <c r="O470" s="22">
        <f>_xlfn.CEILING.MATH(F470*1.56)-1</f>
        <v>10436</v>
      </c>
    </row>
    <row r="471" spans="1:15" s="22" customFormat="1">
      <c r="A471" s="22">
        <v>255</v>
      </c>
      <c r="B471" s="22" t="s">
        <v>488</v>
      </c>
      <c r="C471" s="22" t="s">
        <v>1721</v>
      </c>
      <c r="E471" s="22">
        <v>1</v>
      </c>
      <c r="F471" s="22">
        <v>1522.5</v>
      </c>
      <c r="G471" s="30">
        <f>IF(OR(M471="",O471="",M471=0),"",(M471-O471)/M471)</f>
        <v>0.2200328407224959</v>
      </c>
      <c r="H471" s="22">
        <v>1522.5</v>
      </c>
      <c r="I471" s="22">
        <v>62</v>
      </c>
      <c r="J471" s="22">
        <v>1</v>
      </c>
      <c r="K471" s="22">
        <v>4</v>
      </c>
      <c r="L471" s="22">
        <v>18</v>
      </c>
      <c r="M471" s="22">
        <f>_xlfn.CEILING.MATH(F471*2)</f>
        <v>3045</v>
      </c>
      <c r="N471" s="22">
        <f>H471*1.18</f>
        <v>1796.55</v>
      </c>
      <c r="O471" s="22">
        <f>_xlfn.CEILING.MATH(F471*1.56)-1</f>
        <v>2375</v>
      </c>
    </row>
    <row r="472" spans="1:15" s="22" customFormat="1">
      <c r="A472" s="22">
        <v>256</v>
      </c>
      <c r="B472" s="22" t="s">
        <v>489</v>
      </c>
      <c r="C472" s="22" t="s">
        <v>490</v>
      </c>
      <c r="E472" s="22">
        <v>1</v>
      </c>
      <c r="F472" s="22">
        <v>360</v>
      </c>
      <c r="G472" s="30">
        <f>IF(OR(M472="",O472="",M472=0),"",(M472-O472)/M472)</f>
        <v>0.22083333333333333</v>
      </c>
      <c r="H472" s="22">
        <v>360</v>
      </c>
      <c r="I472" s="22">
        <v>1499</v>
      </c>
      <c r="J472" s="22">
        <v>1</v>
      </c>
      <c r="K472" s="22">
        <v>40</v>
      </c>
      <c r="L472" s="22">
        <v>18</v>
      </c>
      <c r="M472" s="22">
        <f>_xlfn.CEILING.MATH(F472*2)</f>
        <v>720</v>
      </c>
      <c r="N472" s="22">
        <f>H472*1.18</f>
        <v>424.79999999999995</v>
      </c>
      <c r="O472" s="22">
        <f>_xlfn.CEILING.MATH(F472*1.56)-1</f>
        <v>561</v>
      </c>
    </row>
    <row r="473" spans="1:15" s="22" customFormat="1">
      <c r="A473" s="22">
        <v>257</v>
      </c>
      <c r="B473" s="22" t="s">
        <v>491</v>
      </c>
      <c r="C473" s="22" t="s">
        <v>1722</v>
      </c>
      <c r="E473" s="22">
        <v>1</v>
      </c>
      <c r="F473" s="22">
        <v>6495</v>
      </c>
      <c r="G473" s="30">
        <f>IF(OR(M473="",O473="",M473=0),"",(M473-O473)/M473)</f>
        <v>0.22001539645881446</v>
      </c>
      <c r="H473" s="22">
        <v>6495</v>
      </c>
      <c r="I473" s="22">
        <v>147</v>
      </c>
      <c r="J473" s="22">
        <v>1</v>
      </c>
      <c r="K473" s="22">
        <v>2</v>
      </c>
      <c r="L473" s="22">
        <v>18</v>
      </c>
      <c r="M473" s="22">
        <f>_xlfn.CEILING.MATH(F473*2)</f>
        <v>12990</v>
      </c>
      <c r="N473" s="22">
        <f>H473*1.18</f>
        <v>7664.0999999999995</v>
      </c>
      <c r="O473" s="22">
        <f>_xlfn.CEILING.MATH(F473*1.56)-1</f>
        <v>10132</v>
      </c>
    </row>
    <row r="474" spans="1:15" s="22" customFormat="1">
      <c r="A474" s="22">
        <v>258</v>
      </c>
      <c r="B474" s="22" t="s">
        <v>492</v>
      </c>
      <c r="C474" s="22" t="s">
        <v>1723</v>
      </c>
      <c r="E474" s="22">
        <v>1</v>
      </c>
      <c r="F474" s="22">
        <v>435</v>
      </c>
      <c r="G474" s="30">
        <f>IF(OR(M474="",O474="",M474=0),"",(M474-O474)/M474)</f>
        <v>0.22068965517241379</v>
      </c>
      <c r="H474" s="22">
        <v>435</v>
      </c>
      <c r="I474" s="22">
        <v>72</v>
      </c>
      <c r="J474" s="22">
        <v>6</v>
      </c>
      <c r="K474" s="22">
        <v>24</v>
      </c>
      <c r="L474" s="22">
        <v>18</v>
      </c>
      <c r="M474" s="22">
        <f>_xlfn.CEILING.MATH(F474*2)</f>
        <v>870</v>
      </c>
      <c r="N474" s="22">
        <f>H474*1.18</f>
        <v>513.29999999999995</v>
      </c>
      <c r="O474" s="22">
        <f>_xlfn.CEILING.MATH(F474*1.56)-1</f>
        <v>678</v>
      </c>
    </row>
    <row r="475" spans="1:15" s="22" customFormat="1">
      <c r="A475" s="22">
        <v>259</v>
      </c>
      <c r="B475" s="22" t="s">
        <v>493</v>
      </c>
      <c r="C475" s="22" t="s">
        <v>1724</v>
      </c>
      <c r="E475" s="22">
        <v>1</v>
      </c>
      <c r="F475" s="22">
        <v>79.89</v>
      </c>
      <c r="G475" s="30">
        <f>IF(OR(M475="",O475="",M475=0),"",(M475-O475)/M475)</f>
        <v>0.22500000000000001</v>
      </c>
      <c r="H475" s="22">
        <v>79.89</v>
      </c>
      <c r="I475" s="22">
        <v>0</v>
      </c>
      <c r="J475" s="22">
        <v>6</v>
      </c>
      <c r="K475" s="22">
        <v>120</v>
      </c>
      <c r="L475" s="22">
        <v>18</v>
      </c>
      <c r="M475" s="22">
        <f>_xlfn.CEILING.MATH(F475*2)</f>
        <v>160</v>
      </c>
      <c r="N475" s="22">
        <f>H475*1.18</f>
        <v>94.270200000000003</v>
      </c>
      <c r="O475" s="22">
        <f>_xlfn.CEILING.MATH(F475*1.56)-1</f>
        <v>124</v>
      </c>
    </row>
    <row r="476" spans="1:15" s="22" customFormat="1">
      <c r="A476" s="22">
        <v>260</v>
      </c>
      <c r="B476" s="22" t="s">
        <v>494</v>
      </c>
      <c r="C476" s="22" t="s">
        <v>1725</v>
      </c>
      <c r="E476" s="22">
        <v>1</v>
      </c>
      <c r="F476" s="22">
        <v>79.89</v>
      </c>
      <c r="G476" s="30">
        <f>IF(OR(M476="",O476="",M476=0),"",(M476-O476)/M476)</f>
        <v>0.22500000000000001</v>
      </c>
      <c r="H476" s="22">
        <v>79.89</v>
      </c>
      <c r="I476" s="22">
        <v>0</v>
      </c>
      <c r="J476" s="22">
        <v>6</v>
      </c>
      <c r="K476" s="22">
        <v>120</v>
      </c>
      <c r="L476" s="22">
        <v>18</v>
      </c>
      <c r="M476" s="22">
        <f>_xlfn.CEILING.MATH(F476*2)</f>
        <v>160</v>
      </c>
      <c r="N476" s="22">
        <f>H476*1.18</f>
        <v>94.270200000000003</v>
      </c>
      <c r="O476" s="22">
        <f>_xlfn.CEILING.MATH(F476*1.56)-1</f>
        <v>124</v>
      </c>
    </row>
    <row r="477" spans="1:15" s="22" customFormat="1">
      <c r="A477" s="22">
        <v>261</v>
      </c>
      <c r="B477" s="22" t="s">
        <v>495</v>
      </c>
      <c r="C477" s="22" t="s">
        <v>1726</v>
      </c>
      <c r="E477" s="22">
        <v>1</v>
      </c>
      <c r="F477" s="22">
        <v>79.89</v>
      </c>
      <c r="G477" s="30">
        <f>IF(OR(M477="",O477="",M477=0),"",(M477-O477)/M477)</f>
        <v>0.22500000000000001</v>
      </c>
      <c r="H477" s="22">
        <v>79.89</v>
      </c>
      <c r="I477" s="22">
        <v>0</v>
      </c>
      <c r="J477" s="22">
        <v>6</v>
      </c>
      <c r="K477" s="22">
        <v>120</v>
      </c>
      <c r="L477" s="22">
        <v>18</v>
      </c>
      <c r="M477" s="22">
        <f>_xlfn.CEILING.MATH(F477*2)</f>
        <v>160</v>
      </c>
      <c r="N477" s="22">
        <f>H477*1.18</f>
        <v>94.270200000000003</v>
      </c>
      <c r="O477" s="22">
        <f>_xlfn.CEILING.MATH(F477*1.56)-1</f>
        <v>124</v>
      </c>
    </row>
    <row r="478" spans="1:15" s="22" customFormat="1">
      <c r="A478" s="22">
        <v>262</v>
      </c>
      <c r="B478" s="22" t="s">
        <v>496</v>
      </c>
      <c r="C478" s="22" t="s">
        <v>1727</v>
      </c>
      <c r="E478" s="22">
        <v>1</v>
      </c>
      <c r="F478" s="22">
        <v>79.89</v>
      </c>
      <c r="G478" s="30">
        <f>IF(OR(M478="",O478="",M478=0),"",(M478-O478)/M478)</f>
        <v>0.22500000000000001</v>
      </c>
      <c r="H478" s="22">
        <v>79.89</v>
      </c>
      <c r="I478" s="22">
        <v>0</v>
      </c>
      <c r="J478" s="22">
        <v>6</v>
      </c>
      <c r="K478" s="22">
        <v>120</v>
      </c>
      <c r="L478" s="22">
        <v>18</v>
      </c>
      <c r="M478" s="22">
        <f>_xlfn.CEILING.MATH(F478*2)</f>
        <v>160</v>
      </c>
      <c r="N478" s="22">
        <f>H478*1.18</f>
        <v>94.270200000000003</v>
      </c>
      <c r="O478" s="22">
        <f>_xlfn.CEILING.MATH(F478*1.56)-1</f>
        <v>124</v>
      </c>
    </row>
    <row r="479" spans="1:15" s="22" customFormat="1">
      <c r="A479" s="22">
        <v>263</v>
      </c>
      <c r="B479" s="22" t="s">
        <v>497</v>
      </c>
      <c r="C479" s="22" t="s">
        <v>1728</v>
      </c>
      <c r="E479" s="22">
        <v>1</v>
      </c>
      <c r="F479" s="22">
        <v>79.89</v>
      </c>
      <c r="G479" s="30">
        <f>IF(OR(M479="",O479="",M479=0),"",(M479-O479)/M479)</f>
        <v>0.22500000000000001</v>
      </c>
      <c r="H479" s="22">
        <v>79.89</v>
      </c>
      <c r="I479" s="22">
        <v>0</v>
      </c>
      <c r="J479" s="22">
        <v>6</v>
      </c>
      <c r="K479" s="22">
        <v>120</v>
      </c>
      <c r="L479" s="22">
        <v>18</v>
      </c>
      <c r="M479" s="22">
        <f>_xlfn.CEILING.MATH(F479*2)</f>
        <v>160</v>
      </c>
      <c r="N479" s="22">
        <f>H479*1.18</f>
        <v>94.270200000000003</v>
      </c>
      <c r="O479" s="22">
        <f>_xlfn.CEILING.MATH(F479*1.56)-1</f>
        <v>124</v>
      </c>
    </row>
    <row r="480" spans="1:15" s="22" customFormat="1">
      <c r="A480" s="22">
        <v>264</v>
      </c>
      <c r="B480" s="22" t="s">
        <v>498</v>
      </c>
      <c r="C480" s="22" t="s">
        <v>1729</v>
      </c>
      <c r="E480" s="22">
        <v>1</v>
      </c>
      <c r="F480" s="22">
        <v>328.5</v>
      </c>
      <c r="G480" s="30">
        <f>IF(OR(M480="",O480="",M480=0),"",(M480-O480)/M480)</f>
        <v>0.22070015220700151</v>
      </c>
      <c r="H480" s="22">
        <v>328.5</v>
      </c>
      <c r="I480" s="22">
        <v>147</v>
      </c>
      <c r="J480" s="22">
        <v>1</v>
      </c>
      <c r="K480" s="22">
        <v>100</v>
      </c>
      <c r="L480" s="22">
        <v>18</v>
      </c>
      <c r="M480" s="22">
        <f>_xlfn.CEILING.MATH(F480*2)</f>
        <v>657</v>
      </c>
      <c r="N480" s="22">
        <f>H480*1.18</f>
        <v>387.63</v>
      </c>
      <c r="O480" s="22">
        <f>_xlfn.CEILING.MATH(F480*1.56)-1</f>
        <v>512</v>
      </c>
    </row>
    <row r="481" spans="1:15" s="22" customFormat="1">
      <c r="A481" s="22">
        <v>265</v>
      </c>
      <c r="B481" s="22" t="s">
        <v>499</v>
      </c>
      <c r="C481" s="22" t="s">
        <v>1730</v>
      </c>
      <c r="E481" s="22">
        <v>1</v>
      </c>
      <c r="F481" s="22">
        <v>342</v>
      </c>
      <c r="G481" s="30">
        <f>IF(OR(M481="",O481="",M481=0),"",(M481-O481)/M481)</f>
        <v>0.22076023391812866</v>
      </c>
      <c r="H481" s="22">
        <v>342</v>
      </c>
      <c r="I481" s="22">
        <v>97</v>
      </c>
      <c r="J481" s="22">
        <v>1</v>
      </c>
      <c r="K481" s="22">
        <v>100</v>
      </c>
      <c r="L481" s="22">
        <v>18</v>
      </c>
      <c r="M481" s="22">
        <f>_xlfn.CEILING.MATH(F481*2)</f>
        <v>684</v>
      </c>
      <c r="N481" s="22">
        <f>H481*1.18</f>
        <v>403.56</v>
      </c>
      <c r="O481" s="22">
        <f>_xlfn.CEILING.MATH(F481*1.56)-1</f>
        <v>533</v>
      </c>
    </row>
    <row r="482" spans="1:15" s="22" customFormat="1">
      <c r="A482" s="22">
        <v>266</v>
      </c>
      <c r="B482" s="22" t="s">
        <v>500</v>
      </c>
      <c r="C482" s="22" t="s">
        <v>1731</v>
      </c>
      <c r="E482" s="22">
        <v>1</v>
      </c>
      <c r="F482" s="22">
        <v>342</v>
      </c>
      <c r="G482" s="30">
        <f>IF(OR(M482="",O482="",M482=0),"",(M482-O482)/M482)</f>
        <v>0.22076023391812866</v>
      </c>
      <c r="H482" s="22">
        <v>342</v>
      </c>
      <c r="I482" s="22">
        <v>108</v>
      </c>
      <c r="J482" s="22">
        <v>1</v>
      </c>
      <c r="K482" s="22">
        <v>100</v>
      </c>
      <c r="L482" s="22">
        <v>18</v>
      </c>
      <c r="M482" s="22">
        <f>_xlfn.CEILING.MATH(F482*2)</f>
        <v>684</v>
      </c>
      <c r="N482" s="22">
        <f>H482*1.18</f>
        <v>403.56</v>
      </c>
      <c r="O482" s="22">
        <f>_xlfn.CEILING.MATH(F482*1.56)-1</f>
        <v>533</v>
      </c>
    </row>
    <row r="483" spans="1:15" s="22" customFormat="1">
      <c r="A483" s="22">
        <v>267</v>
      </c>
      <c r="B483" s="22" t="s">
        <v>501</v>
      </c>
      <c r="C483" s="22" t="s">
        <v>1732</v>
      </c>
      <c r="E483" s="22">
        <v>1</v>
      </c>
      <c r="F483" s="22">
        <v>382.5</v>
      </c>
      <c r="G483" s="30">
        <f>IF(OR(M483="",O483="",M483=0),"",(M483-O483)/M483)</f>
        <v>0.22091503267973855</v>
      </c>
      <c r="H483" s="22">
        <v>382.5</v>
      </c>
      <c r="I483" s="22">
        <v>57</v>
      </c>
      <c r="J483" s="22">
        <v>1</v>
      </c>
      <c r="K483" s="22">
        <v>100</v>
      </c>
      <c r="L483" s="22">
        <v>18</v>
      </c>
      <c r="M483" s="22">
        <f>_xlfn.CEILING.MATH(F483*2)</f>
        <v>765</v>
      </c>
      <c r="N483" s="22">
        <f>H483*1.18</f>
        <v>451.34999999999997</v>
      </c>
      <c r="O483" s="22">
        <f>_xlfn.CEILING.MATH(F483*1.56)-1</f>
        <v>596</v>
      </c>
    </row>
    <row r="484" spans="1:15" s="22" customFormat="1">
      <c r="A484" s="22">
        <v>268</v>
      </c>
      <c r="B484" s="22" t="s">
        <v>502</v>
      </c>
      <c r="C484" s="22" t="s">
        <v>1733</v>
      </c>
      <c r="E484" s="22">
        <v>1</v>
      </c>
      <c r="F484" s="22">
        <v>285</v>
      </c>
      <c r="G484" s="30">
        <f>IF(OR(M484="",O484="",M484=0),"",(M484-O484)/M484)</f>
        <v>0.22105263157894736</v>
      </c>
      <c r="H484" s="22">
        <v>285</v>
      </c>
      <c r="I484" s="22">
        <v>586</v>
      </c>
      <c r="J484" s="22">
        <v>6</v>
      </c>
      <c r="K484" s="22">
        <v>36</v>
      </c>
      <c r="L484" s="22">
        <v>18</v>
      </c>
      <c r="M484" s="22">
        <f>_xlfn.CEILING.MATH(F484*2)</f>
        <v>570</v>
      </c>
      <c r="N484" s="22">
        <f>H484*1.18</f>
        <v>336.29999999999995</v>
      </c>
      <c r="O484" s="22">
        <f>_xlfn.CEILING.MATH(F484*1.56)-1</f>
        <v>444</v>
      </c>
    </row>
    <row r="485" spans="1:15" s="22" customFormat="1">
      <c r="A485" s="22">
        <v>269</v>
      </c>
      <c r="B485" s="22" t="s">
        <v>503</v>
      </c>
      <c r="C485" s="22" t="s">
        <v>1734</v>
      </c>
      <c r="E485" s="22">
        <v>1</v>
      </c>
      <c r="F485" s="22">
        <v>301.5</v>
      </c>
      <c r="G485" s="30">
        <f>IF(OR(M485="",O485="",M485=0),"",(M485-O485)/M485)</f>
        <v>0.22056384742951907</v>
      </c>
      <c r="H485" s="22">
        <v>301.5</v>
      </c>
      <c r="I485" s="22">
        <v>2118</v>
      </c>
      <c r="J485" s="22">
        <v>1</v>
      </c>
      <c r="K485" s="22">
        <v>20</v>
      </c>
      <c r="L485" s="22">
        <v>18</v>
      </c>
      <c r="M485" s="22">
        <f>_xlfn.CEILING.MATH(F485*2)</f>
        <v>603</v>
      </c>
      <c r="N485" s="22">
        <f>H485*1.18</f>
        <v>355.77</v>
      </c>
      <c r="O485" s="22">
        <f>_xlfn.CEILING.MATH(F485*1.56)-1</f>
        <v>470</v>
      </c>
    </row>
    <row r="486" spans="1:15" s="22" customFormat="1">
      <c r="A486" s="22">
        <v>270</v>
      </c>
      <c r="B486" s="22" t="s">
        <v>504</v>
      </c>
      <c r="C486" s="22" t="s">
        <v>1735</v>
      </c>
      <c r="E486" s="22">
        <v>1</v>
      </c>
      <c r="F486" s="22">
        <v>1748.5</v>
      </c>
      <c r="G486" s="30">
        <f>IF(OR(M486="",O486="",M486=0),"",(M486-O486)/M486)</f>
        <v>0.22018873319988561</v>
      </c>
      <c r="H486" s="22">
        <v>1748.5</v>
      </c>
      <c r="I486" s="22">
        <v>292</v>
      </c>
      <c r="J486" s="22">
        <v>1</v>
      </c>
      <c r="K486" s="22">
        <v>10</v>
      </c>
      <c r="L486" s="22">
        <v>18</v>
      </c>
      <c r="M486" s="22">
        <f>_xlfn.CEILING.MATH(F486*2)</f>
        <v>3497</v>
      </c>
      <c r="N486" s="22">
        <f>H486*1.18</f>
        <v>2063.23</v>
      </c>
      <c r="O486" s="22">
        <f>_xlfn.CEILING.MATH(F486*1.56)-1</f>
        <v>2727</v>
      </c>
    </row>
    <row r="487" spans="1:15" s="22" customFormat="1">
      <c r="A487" s="22">
        <v>271</v>
      </c>
      <c r="B487" s="22" t="s">
        <v>505</v>
      </c>
      <c r="C487" s="22" t="s">
        <v>1736</v>
      </c>
      <c r="E487" s="22">
        <v>1</v>
      </c>
      <c r="F487" s="22">
        <v>484.5</v>
      </c>
      <c r="G487" s="30">
        <f>IF(OR(M487="",O487="",M487=0),"",(M487-O487)/M487)</f>
        <v>0.22084623323013416</v>
      </c>
      <c r="H487" s="22">
        <v>484.5</v>
      </c>
      <c r="I487" s="22">
        <v>399</v>
      </c>
      <c r="J487" s="22">
        <v>10</v>
      </c>
      <c r="K487" s="22">
        <v>40</v>
      </c>
      <c r="L487" s="22">
        <v>18</v>
      </c>
      <c r="M487" s="22">
        <f>_xlfn.CEILING.MATH(F487*2)</f>
        <v>969</v>
      </c>
      <c r="N487" s="22">
        <f>H487*1.18</f>
        <v>571.70999999999992</v>
      </c>
      <c r="O487" s="22">
        <f>_xlfn.CEILING.MATH(F487*1.56)-1</f>
        <v>755</v>
      </c>
    </row>
    <row r="488" spans="1:15" s="22" customFormat="1">
      <c r="A488" s="22">
        <v>272</v>
      </c>
      <c r="B488" s="22" t="s">
        <v>506</v>
      </c>
      <c r="C488" s="22" t="s">
        <v>1737</v>
      </c>
      <c r="E488" s="22">
        <v>1</v>
      </c>
      <c r="F488" s="22">
        <v>487.5</v>
      </c>
      <c r="G488" s="30">
        <f>IF(OR(M488="",O488="",M488=0),"",(M488-O488)/M488)</f>
        <v>0.22051282051282051</v>
      </c>
      <c r="H488" s="22">
        <v>487.5</v>
      </c>
      <c r="I488" s="22">
        <v>527</v>
      </c>
      <c r="J488" s="22">
        <v>10</v>
      </c>
      <c r="K488" s="22">
        <v>40</v>
      </c>
      <c r="L488" s="22">
        <v>18</v>
      </c>
      <c r="M488" s="22">
        <f>_xlfn.CEILING.MATH(F488*2)</f>
        <v>975</v>
      </c>
      <c r="N488" s="22">
        <f>H488*1.18</f>
        <v>575.25</v>
      </c>
      <c r="O488" s="22">
        <f>_xlfn.CEILING.MATH(F488*1.56)-1</f>
        <v>760</v>
      </c>
    </row>
    <row r="489" spans="1:15" s="22" customFormat="1">
      <c r="A489" s="22">
        <v>273</v>
      </c>
      <c r="B489" s="22" t="s">
        <v>507</v>
      </c>
      <c r="C489" s="22" t="s">
        <v>1738</v>
      </c>
      <c r="E489" s="22">
        <v>1</v>
      </c>
      <c r="F489" s="22">
        <v>190.5</v>
      </c>
      <c r="G489" s="30">
        <f>IF(OR(M489="",O489="",M489=0),"",(M489-O489)/M489)</f>
        <v>0.22047244094488189</v>
      </c>
      <c r="H489" s="22">
        <v>190.5</v>
      </c>
      <c r="I489" s="22">
        <v>1046</v>
      </c>
      <c r="J489" s="22">
        <v>20</v>
      </c>
      <c r="K489" s="22">
        <v>120</v>
      </c>
      <c r="L489" s="22">
        <v>18</v>
      </c>
      <c r="M489" s="22">
        <f>_xlfn.CEILING.MATH(F489*2)</f>
        <v>381</v>
      </c>
      <c r="N489" s="22">
        <f>H489*1.18</f>
        <v>224.79</v>
      </c>
      <c r="O489" s="22">
        <f>_xlfn.CEILING.MATH(F489*1.56)-1</f>
        <v>297</v>
      </c>
    </row>
    <row r="490" spans="1:15" s="22" customFormat="1">
      <c r="A490" s="22">
        <v>274</v>
      </c>
      <c r="B490" s="22" t="s">
        <v>508</v>
      </c>
      <c r="C490" s="22" t="s">
        <v>1739</v>
      </c>
      <c r="E490" s="22">
        <v>1</v>
      </c>
      <c r="F490" s="22">
        <v>975</v>
      </c>
      <c r="G490" s="30">
        <f>IF(OR(M490="",O490="",M490=0),"",(M490-O490)/M490)</f>
        <v>0.22051282051282051</v>
      </c>
      <c r="H490" s="22">
        <v>975</v>
      </c>
      <c r="I490" s="22">
        <v>172</v>
      </c>
      <c r="J490" s="22">
        <v>1</v>
      </c>
      <c r="K490" s="22">
        <v>20</v>
      </c>
      <c r="L490" s="22">
        <v>18</v>
      </c>
      <c r="M490" s="22">
        <f>_xlfn.CEILING.MATH(F490*2)</f>
        <v>1950</v>
      </c>
      <c r="N490" s="22">
        <f>H490*1.18</f>
        <v>1150.5</v>
      </c>
      <c r="O490" s="22">
        <f>_xlfn.CEILING.MATH(F490*1.56)-1</f>
        <v>1520</v>
      </c>
    </row>
    <row r="491" spans="1:15" s="22" customFormat="1">
      <c r="A491" s="22">
        <v>275</v>
      </c>
      <c r="B491" s="22" t="s">
        <v>509</v>
      </c>
      <c r="C491" s="22" t="s">
        <v>1740</v>
      </c>
      <c r="E491" s="22">
        <v>1</v>
      </c>
      <c r="F491" s="22">
        <v>135</v>
      </c>
      <c r="G491" s="30">
        <f>IF(OR(M491="",O491="",M491=0),"",(M491-O491)/M491)</f>
        <v>0.22222222222222221</v>
      </c>
      <c r="H491" s="22">
        <v>135</v>
      </c>
      <c r="I491" s="22">
        <v>173</v>
      </c>
      <c r="J491" s="22">
        <v>1</v>
      </c>
      <c r="K491" s="22">
        <v>120</v>
      </c>
      <c r="L491" s="22">
        <v>18</v>
      </c>
      <c r="M491" s="22">
        <f>_xlfn.CEILING.MATH(F491*2)</f>
        <v>270</v>
      </c>
      <c r="N491" s="22">
        <f>H491*1.18</f>
        <v>159.29999999999998</v>
      </c>
      <c r="O491" s="22">
        <f>_xlfn.CEILING.MATH(F491*1.56)-1</f>
        <v>210</v>
      </c>
    </row>
    <row r="492" spans="1:15" s="22" customFormat="1">
      <c r="A492" s="22">
        <v>276</v>
      </c>
      <c r="B492" s="22" t="s">
        <v>510</v>
      </c>
      <c r="C492" s="22" t="s">
        <v>1741</v>
      </c>
      <c r="E492" s="22">
        <v>1</v>
      </c>
      <c r="F492" s="22">
        <v>175.5</v>
      </c>
      <c r="G492" s="30">
        <f>IF(OR(M492="",O492="",M492=0),"",(M492-O492)/M492)</f>
        <v>0.22222222222222221</v>
      </c>
      <c r="H492" s="22">
        <v>175.5</v>
      </c>
      <c r="I492" s="22">
        <v>298</v>
      </c>
      <c r="J492" s="22">
        <v>1</v>
      </c>
      <c r="K492" s="22">
        <v>90</v>
      </c>
      <c r="L492" s="22">
        <v>18</v>
      </c>
      <c r="M492" s="22">
        <f>_xlfn.CEILING.MATH(F492*2)</f>
        <v>351</v>
      </c>
      <c r="N492" s="22">
        <f>H492*1.18</f>
        <v>207.08999999999997</v>
      </c>
      <c r="O492" s="22">
        <f>_xlfn.CEILING.MATH(F492*1.56)-1</f>
        <v>273</v>
      </c>
    </row>
    <row r="493" spans="1:15" s="22" customFormat="1">
      <c r="A493" s="22">
        <v>277</v>
      </c>
      <c r="B493" s="22" t="s">
        <v>511</v>
      </c>
      <c r="C493" s="22" t="s">
        <v>1742</v>
      </c>
      <c r="E493" s="22">
        <v>1</v>
      </c>
      <c r="F493" s="22">
        <v>190</v>
      </c>
      <c r="G493" s="30">
        <f>IF(OR(M493="",O493="",M493=0),"",(M493-O493)/M493)</f>
        <v>0.22105263157894736</v>
      </c>
      <c r="H493" s="22">
        <v>190</v>
      </c>
      <c r="I493" s="22">
        <v>51</v>
      </c>
      <c r="J493" s="22">
        <v>1</v>
      </c>
      <c r="K493" s="22">
        <v>36</v>
      </c>
      <c r="L493" s="22">
        <v>18</v>
      </c>
      <c r="M493" s="22">
        <f>_xlfn.CEILING.MATH(F493*2)</f>
        <v>380</v>
      </c>
      <c r="N493" s="22">
        <f>H493*1.18</f>
        <v>224.2</v>
      </c>
      <c r="O493" s="22">
        <f>_xlfn.CEILING.MATH(F493*1.56)-1</f>
        <v>296</v>
      </c>
    </row>
    <row r="494" spans="1:15" s="22" customFormat="1">
      <c r="A494" s="22">
        <v>278</v>
      </c>
      <c r="B494" s="22" t="s">
        <v>512</v>
      </c>
      <c r="C494" s="22" t="s">
        <v>1743</v>
      </c>
      <c r="E494" s="22">
        <v>1</v>
      </c>
      <c r="F494" s="22">
        <v>229.5</v>
      </c>
      <c r="G494" s="30">
        <f>IF(OR(M494="",O494="",M494=0),"",(M494-O494)/M494)</f>
        <v>0.22004357298474944</v>
      </c>
      <c r="H494" s="22">
        <v>229.5</v>
      </c>
      <c r="I494" s="22">
        <v>5</v>
      </c>
      <c r="J494" s="22">
        <v>1</v>
      </c>
      <c r="K494" s="22">
        <v>36</v>
      </c>
      <c r="L494" s="22">
        <v>18</v>
      </c>
      <c r="M494" s="22">
        <f>_xlfn.CEILING.MATH(F494*2)</f>
        <v>459</v>
      </c>
      <c r="N494" s="22">
        <f>H494*1.18</f>
        <v>270.81</v>
      </c>
      <c r="O494" s="22">
        <f>_xlfn.CEILING.MATH(F494*1.56)-1</f>
        <v>358</v>
      </c>
    </row>
    <row r="495" spans="1:15" s="22" customFormat="1">
      <c r="A495" s="22">
        <v>279</v>
      </c>
      <c r="B495" s="22" t="s">
        <v>513</v>
      </c>
      <c r="C495" s="22" t="s">
        <v>1744</v>
      </c>
      <c r="E495" s="22">
        <v>1</v>
      </c>
      <c r="F495" s="22">
        <v>230</v>
      </c>
      <c r="G495" s="30">
        <f>IF(OR(M495="",O495="",M495=0),"",(M495-O495)/M495)</f>
        <v>0.22173913043478261</v>
      </c>
      <c r="H495" s="22">
        <v>230</v>
      </c>
      <c r="I495" s="22">
        <v>51</v>
      </c>
      <c r="J495" s="22">
        <v>6</v>
      </c>
      <c r="K495" s="22">
        <v>36</v>
      </c>
      <c r="L495" s="22">
        <v>18</v>
      </c>
      <c r="M495" s="22">
        <f>_xlfn.CEILING.MATH(F495*2)</f>
        <v>460</v>
      </c>
      <c r="N495" s="22">
        <f>H495*1.18</f>
        <v>271.39999999999998</v>
      </c>
      <c r="O495" s="22">
        <f>_xlfn.CEILING.MATH(F495*1.56)-1</f>
        <v>358</v>
      </c>
    </row>
    <row r="496" spans="1:15" s="22" customFormat="1">
      <c r="A496" s="22">
        <v>280</v>
      </c>
      <c r="B496" s="22" t="s">
        <v>514</v>
      </c>
      <c r="C496" s="22" t="s">
        <v>1745</v>
      </c>
      <c r="E496" s="22">
        <v>1</v>
      </c>
      <c r="F496" s="22">
        <v>297.5</v>
      </c>
      <c r="G496" s="30">
        <f>IF(OR(M496="",O496="",M496=0),"",(M496-O496)/M496)</f>
        <v>0.22016806722689075</v>
      </c>
      <c r="H496" s="22">
        <v>297.5</v>
      </c>
      <c r="I496" s="22">
        <v>62</v>
      </c>
      <c r="J496" s="22">
        <v>1</v>
      </c>
      <c r="K496" s="22">
        <v>36</v>
      </c>
      <c r="L496" s="22">
        <v>18</v>
      </c>
      <c r="M496" s="22">
        <f>_xlfn.CEILING.MATH(F496*2)</f>
        <v>595</v>
      </c>
      <c r="N496" s="22">
        <f>H496*1.18</f>
        <v>351.04999999999995</v>
      </c>
      <c r="O496" s="22">
        <f>_xlfn.CEILING.MATH(F496*1.56)-1</f>
        <v>464</v>
      </c>
    </row>
    <row r="497" spans="1:15" s="22" customFormat="1">
      <c r="A497" s="22">
        <v>281</v>
      </c>
      <c r="B497" s="22" t="s">
        <v>515</v>
      </c>
      <c r="C497" s="22" t="s">
        <v>1746</v>
      </c>
      <c r="E497" s="22">
        <v>1</v>
      </c>
      <c r="F497" s="22">
        <v>310</v>
      </c>
      <c r="G497" s="30">
        <f>IF(OR(M497="",O497="",M497=0),"",(M497-O497)/M497)</f>
        <v>0.22096774193548388</v>
      </c>
      <c r="H497" s="22">
        <v>310</v>
      </c>
      <c r="I497" s="22">
        <v>44</v>
      </c>
      <c r="J497" s="22">
        <v>6</v>
      </c>
      <c r="K497" s="22">
        <v>36</v>
      </c>
      <c r="L497" s="22">
        <v>18</v>
      </c>
      <c r="M497" s="22">
        <f>_xlfn.CEILING.MATH(F497*2)</f>
        <v>620</v>
      </c>
      <c r="N497" s="22">
        <f>H497*1.18</f>
        <v>365.79999999999995</v>
      </c>
      <c r="O497" s="22">
        <f>_xlfn.CEILING.MATH(F497*1.56)-1</f>
        <v>483</v>
      </c>
    </row>
    <row r="498" spans="1:15" s="22" customFormat="1">
      <c r="A498" s="22">
        <v>282</v>
      </c>
      <c r="B498" s="22" t="s">
        <v>516</v>
      </c>
      <c r="C498" s="22" t="s">
        <v>1747</v>
      </c>
      <c r="E498" s="22">
        <v>1</v>
      </c>
      <c r="F498" s="22">
        <v>145.5</v>
      </c>
      <c r="G498" s="30">
        <f>IF(OR(M498="",O498="",M498=0),"",(M498-O498)/M498)</f>
        <v>0.22336769759450173</v>
      </c>
      <c r="H498" s="22">
        <v>145.5</v>
      </c>
      <c r="I498" s="22">
        <v>1100</v>
      </c>
      <c r="J498" s="22">
        <v>1</v>
      </c>
      <c r="K498" s="22">
        <v>72</v>
      </c>
      <c r="L498" s="22">
        <v>18</v>
      </c>
      <c r="M498" s="22">
        <f>_xlfn.CEILING.MATH(F498*2)</f>
        <v>291</v>
      </c>
      <c r="N498" s="22">
        <f>H498*1.18</f>
        <v>171.69</v>
      </c>
      <c r="O498" s="22">
        <f>_xlfn.CEILING.MATH(F498*1.56)-1</f>
        <v>226</v>
      </c>
    </row>
    <row r="499" spans="1:15" s="22" customFormat="1">
      <c r="A499" s="22">
        <v>283</v>
      </c>
      <c r="B499" s="22" t="s">
        <v>517</v>
      </c>
      <c r="C499" s="22" t="s">
        <v>1748</v>
      </c>
      <c r="E499" s="22">
        <v>1</v>
      </c>
      <c r="F499" s="22">
        <v>198</v>
      </c>
      <c r="G499" s="30">
        <f>IF(OR(M499="",O499="",M499=0),"",(M499-O499)/M499)</f>
        <v>0.22222222222222221</v>
      </c>
      <c r="H499" s="22">
        <v>198</v>
      </c>
      <c r="I499" s="22">
        <v>0</v>
      </c>
      <c r="J499" s="22">
        <v>1</v>
      </c>
      <c r="K499" s="22">
        <v>36</v>
      </c>
      <c r="L499" s="22">
        <v>18</v>
      </c>
      <c r="M499" s="22">
        <f>_xlfn.CEILING.MATH(F499*2)</f>
        <v>396</v>
      </c>
      <c r="N499" s="22">
        <f>H499*1.18</f>
        <v>233.64</v>
      </c>
      <c r="O499" s="22">
        <f>_xlfn.CEILING.MATH(F499*1.56)-1</f>
        <v>308</v>
      </c>
    </row>
    <row r="500" spans="1:15" s="22" customFormat="1">
      <c r="A500" s="22">
        <v>284</v>
      </c>
      <c r="B500" s="22" t="s">
        <v>518</v>
      </c>
      <c r="C500" s="22" t="s">
        <v>1749</v>
      </c>
      <c r="E500" s="22">
        <v>1</v>
      </c>
      <c r="F500" s="22">
        <v>252</v>
      </c>
      <c r="G500" s="30">
        <f>IF(OR(M500="",O500="",M500=0),"",(M500-O500)/M500)</f>
        <v>0.22023809523809523</v>
      </c>
      <c r="H500" s="22">
        <v>252</v>
      </c>
      <c r="I500" s="22">
        <v>3469</v>
      </c>
      <c r="J500" s="22">
        <v>1</v>
      </c>
      <c r="K500" s="22">
        <v>36</v>
      </c>
      <c r="L500" s="22">
        <v>18</v>
      </c>
      <c r="M500" s="22">
        <f>_xlfn.CEILING.MATH(F500*2)</f>
        <v>504</v>
      </c>
      <c r="N500" s="22">
        <f>H500*1.18</f>
        <v>297.35999999999996</v>
      </c>
      <c r="O500" s="22">
        <f>_xlfn.CEILING.MATH(F500*1.56)-1</f>
        <v>393</v>
      </c>
    </row>
    <row r="501" spans="1:15" s="22" customFormat="1">
      <c r="A501" s="22">
        <v>285</v>
      </c>
      <c r="B501" s="22" t="s">
        <v>519</v>
      </c>
      <c r="C501" s="22" t="s">
        <v>1750</v>
      </c>
      <c r="E501" s="22">
        <v>1</v>
      </c>
      <c r="F501" s="22">
        <v>570</v>
      </c>
      <c r="G501" s="30">
        <f>IF(OR(M501="",O501="",M501=0),"",(M501-O501)/M501)</f>
        <v>0.22017543859649122</v>
      </c>
      <c r="H501" s="22">
        <v>570</v>
      </c>
      <c r="I501" s="22">
        <v>284</v>
      </c>
      <c r="J501" s="22">
        <v>1</v>
      </c>
      <c r="K501" s="22">
        <v>16</v>
      </c>
      <c r="L501" s="22">
        <v>18</v>
      </c>
      <c r="M501" s="22">
        <f>_xlfn.CEILING.MATH(F501*2)</f>
        <v>1140</v>
      </c>
      <c r="N501" s="22">
        <f>H501*1.18</f>
        <v>672.59999999999991</v>
      </c>
      <c r="O501" s="22">
        <f>_xlfn.CEILING.MATH(F501*1.56)-1</f>
        <v>889</v>
      </c>
    </row>
    <row r="502" spans="1:15" s="22" customFormat="1">
      <c r="A502" s="22">
        <v>286</v>
      </c>
      <c r="B502" s="22" t="s">
        <v>1751</v>
      </c>
      <c r="C502" s="22" t="s">
        <v>1752</v>
      </c>
      <c r="E502" s="22">
        <v>1</v>
      </c>
      <c r="F502" s="22">
        <v>1530</v>
      </c>
      <c r="G502" s="30">
        <f>IF(OR(M502="",O502="",M502=0),"",(M502-O502)/M502)</f>
        <v>0.22026143790849673</v>
      </c>
      <c r="H502" s="22">
        <v>1530</v>
      </c>
      <c r="I502" s="22">
        <v>4</v>
      </c>
      <c r="J502" s="22">
        <v>1</v>
      </c>
      <c r="K502" s="22">
        <v>16</v>
      </c>
      <c r="L502" s="22">
        <v>18</v>
      </c>
      <c r="M502" s="22">
        <f>_xlfn.CEILING.MATH(F502*2)</f>
        <v>3060</v>
      </c>
      <c r="N502" s="22">
        <f>H502*1.18</f>
        <v>1805.3999999999999</v>
      </c>
      <c r="O502" s="22">
        <f>_xlfn.CEILING.MATH(F502*1.56)-1</f>
        <v>2386</v>
      </c>
    </row>
    <row r="503" spans="1:15" s="22" customFormat="1">
      <c r="A503" s="22">
        <v>287</v>
      </c>
      <c r="B503" s="22" t="s">
        <v>1753</v>
      </c>
      <c r="C503" s="22" t="s">
        <v>1754</v>
      </c>
      <c r="E503" s="22">
        <v>1</v>
      </c>
      <c r="F503" s="22">
        <v>2610</v>
      </c>
      <c r="G503" s="30">
        <f>IF(OR(M503="",O503="",M503=0),"",(M503-O503)/M503)</f>
        <v>0.22011494252873562</v>
      </c>
      <c r="H503" s="22">
        <v>2610</v>
      </c>
      <c r="I503" s="22">
        <v>0</v>
      </c>
      <c r="J503" s="22">
        <v>1</v>
      </c>
      <c r="K503" s="22">
        <v>16</v>
      </c>
      <c r="L503" s="22">
        <v>18</v>
      </c>
      <c r="M503" s="22">
        <f>_xlfn.CEILING.MATH(F503*2)</f>
        <v>5220</v>
      </c>
      <c r="N503" s="22">
        <f>H503*1.18</f>
        <v>3079.7999999999997</v>
      </c>
      <c r="O503" s="22">
        <f>_xlfn.CEILING.MATH(F503*1.56)-1</f>
        <v>4071</v>
      </c>
    </row>
    <row r="504" spans="1:15" s="22" customFormat="1">
      <c r="A504" s="22">
        <v>288</v>
      </c>
      <c r="B504" s="22" t="s">
        <v>520</v>
      </c>
      <c r="C504" s="22" t="s">
        <v>1755</v>
      </c>
      <c r="E504" s="22">
        <v>1</v>
      </c>
      <c r="F504" s="22">
        <v>117</v>
      </c>
      <c r="G504" s="30">
        <f>IF(OR(M504="",O504="",M504=0),"",(M504-O504)/M504)</f>
        <v>0.22222222222222221</v>
      </c>
      <c r="H504" s="22">
        <v>117</v>
      </c>
      <c r="I504" s="22">
        <v>38</v>
      </c>
      <c r="J504" s="22">
        <v>1</v>
      </c>
      <c r="K504" s="22">
        <v>120</v>
      </c>
      <c r="L504" s="22">
        <v>18</v>
      </c>
      <c r="M504" s="22">
        <f>_xlfn.CEILING.MATH(F504*2)</f>
        <v>234</v>
      </c>
      <c r="N504" s="22">
        <f>H504*1.18</f>
        <v>138.06</v>
      </c>
      <c r="O504" s="22">
        <f>_xlfn.CEILING.MATH(F504*1.56)-1</f>
        <v>182</v>
      </c>
    </row>
    <row r="505" spans="1:15" s="22" customFormat="1">
      <c r="A505" s="22">
        <v>289</v>
      </c>
      <c r="B505" s="22" t="s">
        <v>521</v>
      </c>
      <c r="C505" s="22" t="s">
        <v>1756</v>
      </c>
      <c r="E505" s="22">
        <v>1</v>
      </c>
      <c r="F505" s="22">
        <v>780</v>
      </c>
      <c r="G505" s="30">
        <f>IF(OR(M505="",O505="",M505=0),"",(M505-O505)/M505)</f>
        <v>0.22051282051282051</v>
      </c>
      <c r="H505" s="22">
        <v>780</v>
      </c>
      <c r="I505" s="22">
        <v>347</v>
      </c>
      <c r="J505" s="22">
        <v>1</v>
      </c>
      <c r="K505" s="22">
        <v>20</v>
      </c>
      <c r="L505" s="22">
        <v>18</v>
      </c>
      <c r="M505" s="22">
        <f>_xlfn.CEILING.MATH(F505*2)</f>
        <v>1560</v>
      </c>
      <c r="N505" s="22">
        <f>H505*1.18</f>
        <v>920.4</v>
      </c>
      <c r="O505" s="22">
        <f>_xlfn.CEILING.MATH(F505*1.56)-1</f>
        <v>1216</v>
      </c>
    </row>
    <row r="506" spans="1:15" s="22" customFormat="1">
      <c r="A506" s="22">
        <v>290</v>
      </c>
      <c r="B506" s="22" t="s">
        <v>352</v>
      </c>
      <c r="C506" s="22" t="s">
        <v>1757</v>
      </c>
      <c r="E506" s="22">
        <v>1</v>
      </c>
      <c r="F506" s="22">
        <v>324</v>
      </c>
      <c r="G506" s="30">
        <f>IF(OR(M506="",O506="",M506=0),"",(M506-O506)/M506)</f>
        <v>0.22067901234567902</v>
      </c>
      <c r="H506" s="22">
        <v>324</v>
      </c>
      <c r="I506" s="22">
        <v>1468</v>
      </c>
      <c r="J506" s="22">
        <v>6</v>
      </c>
      <c r="K506" s="22">
        <v>36</v>
      </c>
      <c r="L506" s="22">
        <v>18</v>
      </c>
      <c r="M506" s="22">
        <f>_xlfn.CEILING.MATH(F506*2)</f>
        <v>648</v>
      </c>
      <c r="N506" s="22">
        <f>H506*1.18</f>
        <v>382.32</v>
      </c>
      <c r="O506" s="22">
        <f>_xlfn.CEILING.MATH(F506*1.56)-1</f>
        <v>505</v>
      </c>
    </row>
    <row r="507" spans="1:15" s="22" customFormat="1">
      <c r="A507" s="22">
        <v>291</v>
      </c>
      <c r="B507" s="22" t="s">
        <v>522</v>
      </c>
      <c r="C507" s="22" t="s">
        <v>1758</v>
      </c>
      <c r="E507" s="22">
        <v>1</v>
      </c>
      <c r="F507" s="22">
        <v>160.5</v>
      </c>
      <c r="G507" s="30">
        <f>IF(OR(M507="",O507="",M507=0),"",(M507-O507)/M507)</f>
        <v>0.22118380062305296</v>
      </c>
      <c r="H507" s="22">
        <v>160.5</v>
      </c>
      <c r="I507" s="22">
        <v>910</v>
      </c>
      <c r="J507" s="22">
        <v>12</v>
      </c>
      <c r="K507" s="22">
        <v>48</v>
      </c>
      <c r="L507" s="22">
        <v>18</v>
      </c>
      <c r="M507" s="22">
        <f>_xlfn.CEILING.MATH(F507*2)</f>
        <v>321</v>
      </c>
      <c r="N507" s="22">
        <f>H507*1.18</f>
        <v>189.39</v>
      </c>
      <c r="O507" s="22">
        <f>_xlfn.CEILING.MATH(F507*1.56)-1</f>
        <v>250</v>
      </c>
    </row>
    <row r="508" spans="1:15" s="22" customFormat="1">
      <c r="A508" s="22">
        <v>292</v>
      </c>
      <c r="B508" s="22" t="s">
        <v>523</v>
      </c>
      <c r="C508" s="22" t="s">
        <v>1759</v>
      </c>
      <c r="E508" s="22">
        <v>1</v>
      </c>
      <c r="F508" s="22">
        <v>23.5</v>
      </c>
      <c r="G508" s="30">
        <f>IF(OR(M508="",O508="",M508=0),"",(M508-O508)/M508)</f>
        <v>0.23404255319148937</v>
      </c>
      <c r="H508" s="22">
        <v>23.5</v>
      </c>
      <c r="I508" s="22">
        <v>1157</v>
      </c>
      <c r="J508" s="22">
        <v>20</v>
      </c>
      <c r="K508" s="22">
        <v>250</v>
      </c>
      <c r="L508" s="22">
        <v>18</v>
      </c>
      <c r="M508" s="22">
        <f>_xlfn.CEILING.MATH(F508*2)</f>
        <v>47</v>
      </c>
      <c r="N508" s="22">
        <f>H508*1.18</f>
        <v>27.729999999999997</v>
      </c>
      <c r="O508" s="22">
        <f>_xlfn.CEILING.MATH(F508*1.56)-1</f>
        <v>36</v>
      </c>
    </row>
    <row r="509" spans="1:15" s="22" customFormat="1">
      <c r="A509" s="22">
        <v>293</v>
      </c>
      <c r="B509" s="22" t="s">
        <v>524</v>
      </c>
      <c r="C509" s="22" t="s">
        <v>1760</v>
      </c>
      <c r="E509" s="22">
        <v>1</v>
      </c>
      <c r="F509" s="22">
        <v>29.5</v>
      </c>
      <c r="G509" s="30">
        <f>IF(OR(M509="",O509="",M509=0),"",(M509-O509)/M509)</f>
        <v>0.22033898305084745</v>
      </c>
      <c r="H509" s="22">
        <v>29.5</v>
      </c>
      <c r="I509" s="22">
        <v>849</v>
      </c>
      <c r="J509" s="22">
        <v>20</v>
      </c>
      <c r="K509" s="22">
        <v>600</v>
      </c>
      <c r="L509" s="22">
        <v>18</v>
      </c>
      <c r="M509" s="22">
        <f>_xlfn.CEILING.MATH(F509*2)</f>
        <v>59</v>
      </c>
      <c r="N509" s="22">
        <f>H509*1.18</f>
        <v>34.809999999999995</v>
      </c>
      <c r="O509" s="22">
        <f>_xlfn.CEILING.MATH(F509*1.56)-1</f>
        <v>46</v>
      </c>
    </row>
    <row r="510" spans="1:15" s="22" customFormat="1">
      <c r="A510" s="22">
        <v>294</v>
      </c>
      <c r="B510" s="22" t="s">
        <v>525</v>
      </c>
      <c r="C510" s="22" t="s">
        <v>1761</v>
      </c>
      <c r="E510" s="22">
        <v>1</v>
      </c>
      <c r="F510" s="22">
        <v>31.5</v>
      </c>
      <c r="G510" s="30">
        <f>IF(OR(M510="",O510="",M510=0),"",(M510-O510)/M510)</f>
        <v>0.22222222222222221</v>
      </c>
      <c r="H510" s="22">
        <v>31.5</v>
      </c>
      <c r="I510" s="22">
        <v>384</v>
      </c>
      <c r="J510" s="22">
        <v>20</v>
      </c>
      <c r="K510" s="22">
        <v>400</v>
      </c>
      <c r="L510" s="22">
        <v>18</v>
      </c>
      <c r="M510" s="22">
        <f>_xlfn.CEILING.MATH(F510*2)</f>
        <v>63</v>
      </c>
      <c r="N510" s="22">
        <f>H510*1.18</f>
        <v>37.169999999999995</v>
      </c>
      <c r="O510" s="22">
        <f>_xlfn.CEILING.MATH(F510*1.56)-1</f>
        <v>49</v>
      </c>
    </row>
    <row r="511" spans="1:15" s="22" customFormat="1">
      <c r="A511" s="22">
        <v>295</v>
      </c>
      <c r="B511" s="22" t="s">
        <v>526</v>
      </c>
      <c r="C511" s="22" t="s">
        <v>1762</v>
      </c>
      <c r="E511" s="22">
        <v>1</v>
      </c>
      <c r="F511" s="22">
        <v>40</v>
      </c>
      <c r="G511" s="30">
        <f>IF(OR(M511="",O511="",M511=0),"",(M511-O511)/M511)</f>
        <v>0.22500000000000001</v>
      </c>
      <c r="H511" s="22">
        <v>40</v>
      </c>
      <c r="I511" s="22">
        <v>688</v>
      </c>
      <c r="J511" s="22">
        <v>10</v>
      </c>
      <c r="K511" s="22">
        <v>200</v>
      </c>
      <c r="L511" s="22">
        <v>18</v>
      </c>
      <c r="M511" s="22">
        <f>_xlfn.CEILING.MATH(F511*2)</f>
        <v>80</v>
      </c>
      <c r="N511" s="22">
        <f>H511*1.18</f>
        <v>47.199999999999996</v>
      </c>
      <c r="O511" s="22">
        <f>_xlfn.CEILING.MATH(F511*1.56)-1</f>
        <v>62</v>
      </c>
    </row>
    <row r="512" spans="1:15" s="22" customFormat="1">
      <c r="A512" s="22">
        <v>296</v>
      </c>
      <c r="B512" s="22" t="s">
        <v>527</v>
      </c>
      <c r="C512" s="22" t="s">
        <v>1763</v>
      </c>
      <c r="E512" s="22">
        <v>1</v>
      </c>
      <c r="F512" s="22">
        <v>57.5</v>
      </c>
      <c r="G512" s="30">
        <f>IF(OR(M512="",O512="",M512=0),"",(M512-O512)/M512)</f>
        <v>0.22608695652173913</v>
      </c>
      <c r="H512" s="22">
        <v>57.5</v>
      </c>
      <c r="I512" s="22">
        <v>905</v>
      </c>
      <c r="J512" s="22">
        <v>10</v>
      </c>
      <c r="K512" s="22">
        <v>100</v>
      </c>
      <c r="L512" s="22">
        <v>18</v>
      </c>
      <c r="M512" s="22">
        <f>_xlfn.CEILING.MATH(F512*2)</f>
        <v>115</v>
      </c>
      <c r="N512" s="22">
        <f>H512*1.18</f>
        <v>67.849999999999994</v>
      </c>
      <c r="O512" s="22">
        <f>_xlfn.CEILING.MATH(F512*1.56)-1</f>
        <v>89</v>
      </c>
    </row>
    <row r="513" spans="1:15" s="22" customFormat="1">
      <c r="A513" s="22">
        <v>297</v>
      </c>
      <c r="B513" s="22" t="s">
        <v>528</v>
      </c>
      <c r="C513" s="22" t="s">
        <v>1764</v>
      </c>
      <c r="E513" s="22">
        <v>1</v>
      </c>
      <c r="F513" s="22">
        <v>5</v>
      </c>
      <c r="G513" s="30">
        <f>IF(OR(M513="",O513="",M513=0),"",(M513-O513)/M513)</f>
        <v>0.3</v>
      </c>
      <c r="H513" s="22">
        <v>5</v>
      </c>
      <c r="I513" s="22">
        <v>3331</v>
      </c>
      <c r="J513" s="22">
        <v>100</v>
      </c>
      <c r="K513" s="22">
        <v>3000</v>
      </c>
      <c r="L513" s="22">
        <v>18</v>
      </c>
      <c r="M513" s="22">
        <f>_xlfn.CEILING.MATH(F513*2)</f>
        <v>10</v>
      </c>
      <c r="N513" s="22">
        <f>H513*1.18</f>
        <v>5.8999999999999995</v>
      </c>
      <c r="O513" s="22">
        <f>_xlfn.CEILING.MATH(F513*1.56)-1</f>
        <v>7</v>
      </c>
    </row>
    <row r="514" spans="1:15" s="22" customFormat="1">
      <c r="A514" s="22">
        <v>298</v>
      </c>
      <c r="B514" s="22" t="s">
        <v>529</v>
      </c>
      <c r="C514" s="22" t="s">
        <v>1765</v>
      </c>
      <c r="E514" s="22">
        <v>1</v>
      </c>
      <c r="F514" s="22">
        <v>5.5</v>
      </c>
      <c r="G514" s="30">
        <f>IF(OR(M514="",O514="",M514=0),"",(M514-O514)/M514)</f>
        <v>0.27272727272727271</v>
      </c>
      <c r="H514" s="22">
        <v>5.5</v>
      </c>
      <c r="I514" s="22">
        <v>0</v>
      </c>
      <c r="J514" s="22">
        <v>100</v>
      </c>
      <c r="K514" s="22">
        <v>2000</v>
      </c>
      <c r="L514" s="22">
        <v>18</v>
      </c>
      <c r="M514" s="22">
        <f>_xlfn.CEILING.MATH(F514*2)</f>
        <v>11</v>
      </c>
      <c r="N514" s="22">
        <f>H514*1.18</f>
        <v>6.4899999999999993</v>
      </c>
      <c r="O514" s="22">
        <f>_xlfn.CEILING.MATH(F514*1.56)-1</f>
        <v>8</v>
      </c>
    </row>
    <row r="515" spans="1:15" s="22" customFormat="1">
      <c r="A515" s="22">
        <v>299</v>
      </c>
      <c r="B515" s="22" t="s">
        <v>530</v>
      </c>
      <c r="C515" s="22" t="s">
        <v>1766</v>
      </c>
      <c r="E515" s="22">
        <v>1</v>
      </c>
      <c r="F515" s="22">
        <v>90</v>
      </c>
      <c r="G515" s="30">
        <f>IF(OR(M515="",O515="",M515=0),"",(M515-O515)/M515)</f>
        <v>0.22222222222222221</v>
      </c>
      <c r="H515" s="22">
        <v>90</v>
      </c>
      <c r="I515" s="22">
        <v>330</v>
      </c>
      <c r="J515" s="22">
        <v>10</v>
      </c>
      <c r="K515" s="22">
        <v>100</v>
      </c>
      <c r="L515" s="22">
        <v>18</v>
      </c>
      <c r="M515" s="22">
        <f>_xlfn.CEILING.MATH(F515*2)</f>
        <v>180</v>
      </c>
      <c r="N515" s="22">
        <f>H515*1.18</f>
        <v>106.19999999999999</v>
      </c>
      <c r="O515" s="22">
        <f>_xlfn.CEILING.MATH(F515*1.56)-1</f>
        <v>140</v>
      </c>
    </row>
    <row r="516" spans="1:15" s="22" customFormat="1">
      <c r="A516" s="22">
        <v>300</v>
      </c>
      <c r="B516" s="22" t="s">
        <v>531</v>
      </c>
      <c r="C516" s="22" t="s">
        <v>1767</v>
      </c>
      <c r="E516" s="22">
        <v>1</v>
      </c>
      <c r="F516" s="22">
        <v>19</v>
      </c>
      <c r="G516" s="30">
        <f>IF(OR(M516="",O516="",M516=0),"",(M516-O516)/M516)</f>
        <v>0.23684210526315788</v>
      </c>
      <c r="H516" s="22">
        <v>19</v>
      </c>
      <c r="I516" s="22">
        <v>1036</v>
      </c>
      <c r="J516" s="22">
        <v>50</v>
      </c>
      <c r="K516" s="22">
        <v>500</v>
      </c>
      <c r="L516" s="22">
        <v>18</v>
      </c>
      <c r="M516" s="22">
        <f>_xlfn.CEILING.MATH(F516*2)</f>
        <v>38</v>
      </c>
      <c r="N516" s="22">
        <f>H516*1.18</f>
        <v>22.419999999999998</v>
      </c>
      <c r="O516" s="22">
        <f>_xlfn.CEILING.MATH(F516*1.56)-1</f>
        <v>29</v>
      </c>
    </row>
    <row r="517" spans="1:15" s="22" customFormat="1">
      <c r="A517" s="22">
        <v>301</v>
      </c>
      <c r="B517" s="22" t="s">
        <v>532</v>
      </c>
      <c r="C517" s="22" t="s">
        <v>1768</v>
      </c>
      <c r="E517" s="22">
        <v>1</v>
      </c>
      <c r="F517" s="22">
        <v>6</v>
      </c>
      <c r="G517" s="30">
        <f>IF(OR(M517="",O517="",M517=0),"",(M517-O517)/M517)</f>
        <v>0.25</v>
      </c>
      <c r="H517" s="22">
        <v>6</v>
      </c>
      <c r="I517" s="22">
        <v>1352</v>
      </c>
      <c r="J517" s="22">
        <v>100</v>
      </c>
      <c r="K517" s="22">
        <v>2000</v>
      </c>
      <c r="L517" s="22">
        <v>18</v>
      </c>
      <c r="M517" s="22">
        <f>_xlfn.CEILING.MATH(F517*2)</f>
        <v>12</v>
      </c>
      <c r="N517" s="22">
        <f>H517*1.18</f>
        <v>7.08</v>
      </c>
      <c r="O517" s="22">
        <f>_xlfn.CEILING.MATH(F517*1.56)-1</f>
        <v>9</v>
      </c>
    </row>
    <row r="518" spans="1:15" s="22" customFormat="1">
      <c r="A518" s="22">
        <v>302</v>
      </c>
      <c r="B518" s="22" t="s">
        <v>533</v>
      </c>
      <c r="C518" s="22" t="s">
        <v>1769</v>
      </c>
      <c r="E518" s="22">
        <v>1</v>
      </c>
      <c r="F518" s="22">
        <v>48</v>
      </c>
      <c r="G518" s="30">
        <f>IF(OR(M518="",O518="",M518=0),"",(M518-O518)/M518)</f>
        <v>0.22916666666666666</v>
      </c>
      <c r="H518" s="22">
        <v>48</v>
      </c>
      <c r="I518" s="22">
        <v>675</v>
      </c>
      <c r="J518" s="22">
        <v>25</v>
      </c>
      <c r="K518" s="22">
        <v>250</v>
      </c>
      <c r="L518" s="22">
        <v>18</v>
      </c>
      <c r="M518" s="22">
        <f>_xlfn.CEILING.MATH(F518*2)</f>
        <v>96</v>
      </c>
      <c r="N518" s="22">
        <f>H518*1.18</f>
        <v>56.64</v>
      </c>
      <c r="O518" s="22">
        <f>_xlfn.CEILING.MATH(F518*1.56)-1</f>
        <v>74</v>
      </c>
    </row>
    <row r="519" spans="1:15" s="22" customFormat="1">
      <c r="A519" s="22">
        <v>303</v>
      </c>
      <c r="B519" s="22" t="s">
        <v>534</v>
      </c>
      <c r="C519" s="22" t="s">
        <v>1770</v>
      </c>
      <c r="E519" s="22">
        <v>1</v>
      </c>
      <c r="F519" s="22">
        <v>86.5</v>
      </c>
      <c r="G519" s="30">
        <f>IF(OR(M519="",O519="",M519=0),"",(M519-O519)/M519)</f>
        <v>0.22543352601156069</v>
      </c>
      <c r="H519" s="22">
        <v>86.5</v>
      </c>
      <c r="I519" s="22">
        <v>1106</v>
      </c>
      <c r="J519" s="22">
        <v>10</v>
      </c>
      <c r="K519" s="22">
        <v>100</v>
      </c>
      <c r="L519" s="22">
        <v>18</v>
      </c>
      <c r="M519" s="22">
        <f>_xlfn.CEILING.MATH(F519*2)</f>
        <v>173</v>
      </c>
      <c r="N519" s="22">
        <f>H519*1.18</f>
        <v>102.07</v>
      </c>
      <c r="O519" s="22">
        <f>_xlfn.CEILING.MATH(F519*1.56)-1</f>
        <v>134</v>
      </c>
    </row>
    <row r="520" spans="1:15" s="22" customFormat="1">
      <c r="A520" s="22">
        <v>304</v>
      </c>
      <c r="B520" s="22" t="s">
        <v>535</v>
      </c>
      <c r="C520" s="22" t="s">
        <v>1771</v>
      </c>
      <c r="E520" s="22">
        <v>1</v>
      </c>
      <c r="F520" s="22">
        <v>120</v>
      </c>
      <c r="G520" s="30">
        <f>IF(OR(M520="",O520="",M520=0),"",(M520-O520)/M520)</f>
        <v>0.22083333333333333</v>
      </c>
      <c r="H520" s="22">
        <v>120</v>
      </c>
      <c r="I520" s="22">
        <v>2659</v>
      </c>
      <c r="J520" s="22">
        <v>10</v>
      </c>
      <c r="K520" s="22">
        <v>60</v>
      </c>
      <c r="L520" s="22">
        <v>18</v>
      </c>
      <c r="M520" s="22">
        <f>_xlfn.CEILING.MATH(F520*2)</f>
        <v>240</v>
      </c>
      <c r="N520" s="22">
        <f>H520*1.18</f>
        <v>141.6</v>
      </c>
      <c r="O520" s="22">
        <f>_xlfn.CEILING.MATH(F520*1.56)-1</f>
        <v>187</v>
      </c>
    </row>
    <row r="521" spans="1:15" s="22" customFormat="1">
      <c r="A521" s="22">
        <v>305</v>
      </c>
      <c r="B521" s="22" t="s">
        <v>536</v>
      </c>
      <c r="C521" s="22" t="s">
        <v>1772</v>
      </c>
      <c r="E521" s="22">
        <v>1</v>
      </c>
      <c r="F521" s="22">
        <v>207</v>
      </c>
      <c r="G521" s="30">
        <f>IF(OR(M521="",O521="",M521=0),"",(M521-O521)/M521)</f>
        <v>0.22222222222222221</v>
      </c>
      <c r="H521" s="22">
        <v>207</v>
      </c>
      <c r="I521" s="22">
        <v>181</v>
      </c>
      <c r="J521" s="22">
        <v>10</v>
      </c>
      <c r="K521" s="22">
        <v>40</v>
      </c>
      <c r="L521" s="22">
        <v>18</v>
      </c>
      <c r="M521" s="22">
        <f>_xlfn.CEILING.MATH(F521*2)</f>
        <v>414</v>
      </c>
      <c r="N521" s="22">
        <f>H521*1.18</f>
        <v>244.26</v>
      </c>
      <c r="O521" s="22">
        <f>_xlfn.CEILING.MATH(F521*1.56)-1</f>
        <v>322</v>
      </c>
    </row>
    <row r="522" spans="1:15" s="22" customFormat="1">
      <c r="A522" s="22">
        <v>306</v>
      </c>
      <c r="B522" s="22" t="s">
        <v>537</v>
      </c>
      <c r="C522" s="22" t="s">
        <v>1773</v>
      </c>
      <c r="E522" s="22">
        <v>1</v>
      </c>
      <c r="F522" s="22">
        <v>286.5</v>
      </c>
      <c r="G522" s="30">
        <f>IF(OR(M522="",O522="",M522=0),"",(M522-O522)/M522)</f>
        <v>0.22164048865619546</v>
      </c>
      <c r="H522" s="22">
        <v>286.5</v>
      </c>
      <c r="I522" s="22">
        <v>183</v>
      </c>
      <c r="J522" s="22">
        <v>10</v>
      </c>
      <c r="K522" s="22">
        <v>20</v>
      </c>
      <c r="L522" s="22">
        <v>18</v>
      </c>
      <c r="M522" s="22">
        <f>_xlfn.CEILING.MATH(F522*2)</f>
        <v>573</v>
      </c>
      <c r="N522" s="22">
        <f>H522*1.18</f>
        <v>338.07</v>
      </c>
      <c r="O522" s="22">
        <f>_xlfn.CEILING.MATH(F522*1.56)-1</f>
        <v>446</v>
      </c>
    </row>
    <row r="523" spans="1:15" s="22" customFormat="1">
      <c r="A523" s="22">
        <v>307</v>
      </c>
      <c r="B523" s="22" t="s">
        <v>538</v>
      </c>
      <c r="C523" s="22" t="s">
        <v>1774</v>
      </c>
      <c r="E523" s="22">
        <v>1</v>
      </c>
      <c r="F523" s="22">
        <v>5</v>
      </c>
      <c r="G523" s="30">
        <f>IF(OR(M523="",O523="",M523=0),"",(M523-O523)/M523)</f>
        <v>0.3</v>
      </c>
      <c r="H523" s="22">
        <v>5</v>
      </c>
      <c r="I523" s="22">
        <v>10</v>
      </c>
      <c r="J523" s="22">
        <v>100</v>
      </c>
      <c r="K523" s="22">
        <v>3000</v>
      </c>
      <c r="L523" s="22">
        <v>18</v>
      </c>
      <c r="M523" s="22">
        <f>_xlfn.CEILING.MATH(F523*2)</f>
        <v>10</v>
      </c>
      <c r="N523" s="22">
        <f>H523*1.18</f>
        <v>5.8999999999999995</v>
      </c>
      <c r="O523" s="22">
        <f>_xlfn.CEILING.MATH(F523*1.56)-1</f>
        <v>7</v>
      </c>
    </row>
    <row r="524" spans="1:15" s="22" customFormat="1">
      <c r="A524" s="22">
        <v>308</v>
      </c>
      <c r="B524" s="22" t="s">
        <v>539</v>
      </c>
      <c r="C524" s="22" t="s">
        <v>1775</v>
      </c>
      <c r="E524" s="22">
        <v>1</v>
      </c>
      <c r="F524" s="22">
        <v>5.5</v>
      </c>
      <c r="G524" s="30">
        <f>IF(OR(M524="",O524="",M524=0),"",(M524-O524)/M524)</f>
        <v>0.27272727272727271</v>
      </c>
      <c r="H524" s="22">
        <v>5.5</v>
      </c>
      <c r="I524" s="22">
        <v>12074</v>
      </c>
      <c r="J524" s="22">
        <v>100</v>
      </c>
      <c r="K524" s="22">
        <v>3000</v>
      </c>
      <c r="L524" s="22">
        <v>18</v>
      </c>
      <c r="M524" s="22">
        <f>_xlfn.CEILING.MATH(F524*2)</f>
        <v>11</v>
      </c>
      <c r="N524" s="22">
        <f>H524*1.18</f>
        <v>6.4899999999999993</v>
      </c>
      <c r="O524" s="22">
        <f>_xlfn.CEILING.MATH(F524*1.56)-1</f>
        <v>8</v>
      </c>
    </row>
    <row r="525" spans="1:15" s="22" customFormat="1">
      <c r="A525" s="22">
        <v>309</v>
      </c>
      <c r="B525" s="22" t="s">
        <v>540</v>
      </c>
      <c r="C525" s="22" t="s">
        <v>1776</v>
      </c>
      <c r="E525" s="22">
        <v>1</v>
      </c>
      <c r="F525" s="22">
        <v>544.5</v>
      </c>
      <c r="G525" s="30">
        <f>IF(OR(M525="",O525="",M525=0),"",(M525-O525)/M525)</f>
        <v>0.22038567493112948</v>
      </c>
      <c r="H525" s="22">
        <v>544.5</v>
      </c>
      <c r="I525" s="22">
        <v>257</v>
      </c>
      <c r="J525" s="22">
        <v>5</v>
      </c>
      <c r="K525" s="22">
        <v>20</v>
      </c>
      <c r="L525" s="22">
        <v>18</v>
      </c>
      <c r="M525" s="22">
        <f>_xlfn.CEILING.MATH(F525*2)</f>
        <v>1089</v>
      </c>
      <c r="N525" s="22">
        <f>H525*1.18</f>
        <v>642.51</v>
      </c>
      <c r="O525" s="22">
        <f>_xlfn.CEILING.MATH(F525*1.56)-1</f>
        <v>849</v>
      </c>
    </row>
    <row r="526" spans="1:15" s="22" customFormat="1">
      <c r="A526" s="22">
        <v>310</v>
      </c>
      <c r="B526" s="22" t="s">
        <v>541</v>
      </c>
      <c r="C526" s="22" t="s">
        <v>1777</v>
      </c>
      <c r="E526" s="22">
        <v>1</v>
      </c>
      <c r="F526" s="22">
        <v>648</v>
      </c>
      <c r="G526" s="30">
        <f>IF(OR(M526="",O526="",M526=0),"",(M526-O526)/M526)</f>
        <v>0.22067901234567902</v>
      </c>
      <c r="H526" s="22">
        <v>648</v>
      </c>
      <c r="I526" s="22">
        <v>20</v>
      </c>
      <c r="J526" s="22">
        <v>1</v>
      </c>
      <c r="K526" s="22">
        <v>8</v>
      </c>
      <c r="L526" s="22">
        <v>18</v>
      </c>
      <c r="M526" s="22">
        <f>_xlfn.CEILING.MATH(F526*2)</f>
        <v>1296</v>
      </c>
      <c r="N526" s="22">
        <f>H526*1.18</f>
        <v>764.64</v>
      </c>
      <c r="O526" s="22">
        <f>_xlfn.CEILING.MATH(F526*1.56)-1</f>
        <v>1010</v>
      </c>
    </row>
    <row r="527" spans="1:15" s="22" customFormat="1">
      <c r="A527" s="22">
        <v>311</v>
      </c>
      <c r="B527" s="22" t="s">
        <v>542</v>
      </c>
      <c r="C527" s="22" t="s">
        <v>1778</v>
      </c>
      <c r="E527" s="22">
        <v>1</v>
      </c>
      <c r="F527" s="22">
        <v>1050</v>
      </c>
      <c r="G527" s="30">
        <f>IF(OR(M527="",O527="",M527=0),"",(M527-O527)/M527)</f>
        <v>0.22047619047619046</v>
      </c>
      <c r="H527" s="22">
        <v>1050</v>
      </c>
      <c r="I527" s="22">
        <v>14</v>
      </c>
      <c r="J527" s="22">
        <v>1</v>
      </c>
      <c r="K527" s="22">
        <v>10</v>
      </c>
      <c r="L527" s="22">
        <v>18</v>
      </c>
      <c r="M527" s="22">
        <f>_xlfn.CEILING.MATH(F527*2)</f>
        <v>2100</v>
      </c>
      <c r="N527" s="22">
        <f>H527*1.18</f>
        <v>1239</v>
      </c>
      <c r="O527" s="22">
        <f>_xlfn.CEILING.MATH(F527*1.56)-1</f>
        <v>1637</v>
      </c>
    </row>
    <row r="528" spans="1:15" s="22" customFormat="1">
      <c r="A528" s="22">
        <v>312</v>
      </c>
      <c r="B528" s="22" t="s">
        <v>543</v>
      </c>
      <c r="C528" s="22" t="s">
        <v>1779</v>
      </c>
      <c r="E528" s="22">
        <v>1</v>
      </c>
      <c r="F528" s="22">
        <v>6</v>
      </c>
      <c r="G528" s="30">
        <f>IF(OR(M528="",O528="",M528=0),"",(M528-O528)/M528)</f>
        <v>0.25</v>
      </c>
      <c r="H528" s="22">
        <v>6</v>
      </c>
      <c r="I528" s="22">
        <v>10769</v>
      </c>
      <c r="J528" s="22">
        <v>100</v>
      </c>
      <c r="K528" s="22">
        <v>3000</v>
      </c>
      <c r="L528" s="22">
        <v>18</v>
      </c>
      <c r="M528" s="22">
        <f>_xlfn.CEILING.MATH(F528*2)</f>
        <v>12</v>
      </c>
      <c r="N528" s="22">
        <f>H528*1.18</f>
        <v>7.08</v>
      </c>
      <c r="O528" s="22">
        <f>_xlfn.CEILING.MATH(F528*1.56)-1</f>
        <v>9</v>
      </c>
    </row>
    <row r="529" spans="1:15" s="22" customFormat="1">
      <c r="A529" s="22">
        <v>313</v>
      </c>
      <c r="B529" s="22" t="s">
        <v>544</v>
      </c>
      <c r="C529" s="22" t="s">
        <v>1780</v>
      </c>
      <c r="E529" s="22">
        <v>1</v>
      </c>
      <c r="F529" s="22">
        <v>11.5</v>
      </c>
      <c r="G529" s="30">
        <f>IF(OR(M529="",O529="",M529=0),"",(M529-O529)/M529)</f>
        <v>0.2608695652173913</v>
      </c>
      <c r="H529" s="22">
        <v>11.5</v>
      </c>
      <c r="I529" s="22">
        <v>4400</v>
      </c>
      <c r="J529" s="22">
        <v>50</v>
      </c>
      <c r="K529" s="22">
        <v>1000</v>
      </c>
      <c r="L529" s="22">
        <v>18</v>
      </c>
      <c r="M529" s="22">
        <f>_xlfn.CEILING.MATH(F529*2)</f>
        <v>23</v>
      </c>
      <c r="N529" s="22">
        <f>H529*1.18</f>
        <v>13.569999999999999</v>
      </c>
      <c r="O529" s="22">
        <f>_xlfn.CEILING.MATH(F529*1.56)-1</f>
        <v>17</v>
      </c>
    </row>
    <row r="530" spans="1:15" s="22" customFormat="1">
      <c r="A530" s="22">
        <v>314</v>
      </c>
      <c r="B530" s="22" t="s">
        <v>545</v>
      </c>
      <c r="C530" s="22" t="s">
        <v>1781</v>
      </c>
      <c r="E530" s="22">
        <v>1</v>
      </c>
      <c r="F530" s="22">
        <v>6</v>
      </c>
      <c r="G530" s="30">
        <f>IF(OR(M530="",O530="",M530=0),"",(M530-O530)/M530)</f>
        <v>0.25</v>
      </c>
      <c r="H530" s="22">
        <v>6</v>
      </c>
      <c r="I530" s="22">
        <v>1255</v>
      </c>
      <c r="J530" s="22">
        <v>100</v>
      </c>
      <c r="K530" s="22">
        <v>2000</v>
      </c>
      <c r="L530" s="22">
        <v>18</v>
      </c>
      <c r="M530" s="22">
        <f>_xlfn.CEILING.MATH(F530*2)</f>
        <v>12</v>
      </c>
      <c r="N530" s="22">
        <f>H530*1.18</f>
        <v>7.08</v>
      </c>
      <c r="O530" s="22">
        <f>_xlfn.CEILING.MATH(F530*1.56)-1</f>
        <v>9</v>
      </c>
    </row>
    <row r="531" spans="1:15" s="22" customFormat="1">
      <c r="A531" s="22">
        <v>315</v>
      </c>
      <c r="B531" s="22" t="s">
        <v>546</v>
      </c>
      <c r="C531" s="22" t="s">
        <v>1782</v>
      </c>
      <c r="E531" s="22">
        <v>1</v>
      </c>
      <c r="F531" s="22">
        <v>48</v>
      </c>
      <c r="G531" s="30">
        <f>IF(OR(M531="",O531="",M531=0),"",(M531-O531)/M531)</f>
        <v>0.22916666666666666</v>
      </c>
      <c r="H531" s="22">
        <v>48</v>
      </c>
      <c r="I531" s="22">
        <v>323</v>
      </c>
      <c r="J531" s="22">
        <v>25</v>
      </c>
      <c r="K531" s="22">
        <v>150</v>
      </c>
      <c r="L531" s="22">
        <v>18</v>
      </c>
      <c r="M531" s="22">
        <f>_xlfn.CEILING.MATH(F531*2)</f>
        <v>96</v>
      </c>
      <c r="N531" s="22">
        <f>H531*1.18</f>
        <v>56.64</v>
      </c>
      <c r="O531" s="22">
        <f>_xlfn.CEILING.MATH(F531*1.56)-1</f>
        <v>74</v>
      </c>
    </row>
    <row r="532" spans="1:15" s="22" customFormat="1">
      <c r="A532" s="22">
        <v>316</v>
      </c>
      <c r="B532" s="22" t="s">
        <v>547</v>
      </c>
      <c r="C532" s="22" t="s">
        <v>1783</v>
      </c>
      <c r="E532" s="22">
        <v>1</v>
      </c>
      <c r="F532" s="22">
        <v>1755</v>
      </c>
      <c r="G532" s="30">
        <f>IF(OR(M532="",O532="",M532=0),"",(M532-O532)/M532)</f>
        <v>0.22022792022792023</v>
      </c>
      <c r="H532" s="22">
        <v>1755</v>
      </c>
      <c r="I532" s="22">
        <v>8</v>
      </c>
      <c r="J532" s="22">
        <v>1</v>
      </c>
      <c r="K532" s="22">
        <v>4</v>
      </c>
      <c r="L532" s="22">
        <v>18</v>
      </c>
      <c r="M532" s="22">
        <f>_xlfn.CEILING.MATH(F532*2)</f>
        <v>3510</v>
      </c>
      <c r="N532" s="22">
        <f>H532*1.18</f>
        <v>2070.9</v>
      </c>
      <c r="O532" s="22">
        <f>_xlfn.CEILING.MATH(F532*1.56)-1</f>
        <v>2737</v>
      </c>
    </row>
    <row r="533" spans="1:15" s="22" customFormat="1">
      <c r="A533" s="22">
        <v>317</v>
      </c>
      <c r="B533" s="22" t="s">
        <v>548</v>
      </c>
      <c r="C533" s="22" t="s">
        <v>1784</v>
      </c>
      <c r="E533" s="22">
        <v>1</v>
      </c>
      <c r="F533" s="22">
        <v>2790</v>
      </c>
      <c r="G533" s="30">
        <f>IF(OR(M533="",O533="",M533=0),"",(M533-O533)/M533)</f>
        <v>0.22007168458781362</v>
      </c>
      <c r="H533" s="22">
        <v>2790</v>
      </c>
      <c r="I533" s="22">
        <v>14</v>
      </c>
      <c r="J533" s="22">
        <v>1</v>
      </c>
      <c r="K533" s="22">
        <v>4</v>
      </c>
      <c r="L533" s="22">
        <v>18</v>
      </c>
      <c r="M533" s="22">
        <f>_xlfn.CEILING.MATH(F533*2)</f>
        <v>5580</v>
      </c>
      <c r="N533" s="22">
        <f>H533*1.18</f>
        <v>3292.2</v>
      </c>
      <c r="O533" s="22">
        <f>_xlfn.CEILING.MATH(F533*1.56)-1</f>
        <v>4352</v>
      </c>
    </row>
    <row r="534" spans="1:15" s="22" customFormat="1">
      <c r="A534" s="22">
        <v>318</v>
      </c>
      <c r="B534" s="22" t="s">
        <v>549</v>
      </c>
      <c r="C534" s="22" t="s">
        <v>1785</v>
      </c>
      <c r="E534" s="22">
        <v>1</v>
      </c>
      <c r="F534" s="22">
        <v>9.5</v>
      </c>
      <c r="G534" s="30">
        <f>IF(OR(M534="",O534="",M534=0),"",(M534-O534)/M534)</f>
        <v>0.26315789473684209</v>
      </c>
      <c r="H534" s="22">
        <v>9.5</v>
      </c>
      <c r="I534" s="22">
        <v>18920</v>
      </c>
      <c r="J534" s="22">
        <v>100</v>
      </c>
      <c r="K534" s="22">
        <v>1000</v>
      </c>
      <c r="L534" s="22">
        <v>18</v>
      </c>
      <c r="M534" s="22">
        <f>_xlfn.CEILING.MATH(F534*2)</f>
        <v>19</v>
      </c>
      <c r="N534" s="22">
        <f>H534*1.18</f>
        <v>11.209999999999999</v>
      </c>
      <c r="O534" s="22">
        <f>_xlfn.CEILING.MATH(F534*1.56)-1</f>
        <v>14</v>
      </c>
    </row>
    <row r="535" spans="1:15" s="22" customFormat="1">
      <c r="A535" s="22">
        <v>319</v>
      </c>
      <c r="B535" s="22" t="s">
        <v>550</v>
      </c>
      <c r="C535" s="22" t="s">
        <v>1786</v>
      </c>
      <c r="E535" s="22">
        <v>1</v>
      </c>
      <c r="F535" s="22">
        <v>12.5</v>
      </c>
      <c r="G535" s="30">
        <f>IF(OR(M535="",O535="",M535=0),"",(M535-O535)/M535)</f>
        <v>0.24</v>
      </c>
      <c r="H535" s="22">
        <v>12.5</v>
      </c>
      <c r="I535" s="22">
        <v>12147</v>
      </c>
      <c r="J535" s="22">
        <v>100</v>
      </c>
      <c r="K535" s="22">
        <v>1000</v>
      </c>
      <c r="L535" s="22">
        <v>18</v>
      </c>
      <c r="M535" s="22">
        <f>_xlfn.CEILING.MATH(F535*2)</f>
        <v>25</v>
      </c>
      <c r="N535" s="22">
        <f>H535*1.18</f>
        <v>14.75</v>
      </c>
      <c r="O535" s="22">
        <f>_xlfn.CEILING.MATH(F535*1.56)-1</f>
        <v>19</v>
      </c>
    </row>
    <row r="536" spans="1:15" s="22" customFormat="1">
      <c r="A536" s="22">
        <v>320</v>
      </c>
      <c r="B536" s="22" t="s">
        <v>551</v>
      </c>
      <c r="C536" s="22" t="s">
        <v>1787</v>
      </c>
      <c r="E536" s="22">
        <v>1</v>
      </c>
      <c r="F536" s="22">
        <v>28.5</v>
      </c>
      <c r="G536" s="30">
        <f>IF(OR(M536="",O536="",M536=0),"",(M536-O536)/M536)</f>
        <v>0.22807017543859648</v>
      </c>
      <c r="H536" s="22">
        <v>28.5</v>
      </c>
      <c r="I536" s="22">
        <v>1386</v>
      </c>
      <c r="J536" s="22">
        <v>25</v>
      </c>
      <c r="K536" s="22">
        <v>250</v>
      </c>
      <c r="L536" s="22">
        <v>18</v>
      </c>
      <c r="M536" s="22">
        <f>_xlfn.CEILING.MATH(F536*2)</f>
        <v>57</v>
      </c>
      <c r="N536" s="22">
        <f>H536*1.18</f>
        <v>33.629999999999995</v>
      </c>
      <c r="O536" s="22">
        <f>_xlfn.CEILING.MATH(F536*1.56)-1</f>
        <v>44</v>
      </c>
    </row>
    <row r="537" spans="1:15" s="22" customFormat="1">
      <c r="A537" s="22">
        <v>321</v>
      </c>
      <c r="B537" s="22" t="s">
        <v>552</v>
      </c>
      <c r="C537" s="22" t="s">
        <v>1788</v>
      </c>
      <c r="E537" s="22">
        <v>1</v>
      </c>
      <c r="F537" s="22">
        <v>9.5</v>
      </c>
      <c r="G537" s="30">
        <f>IF(OR(M537="",O537="",M537=0),"",(M537-O537)/M537)</f>
        <v>0.26315789473684209</v>
      </c>
      <c r="H537" s="22">
        <v>9.5</v>
      </c>
      <c r="I537" s="22">
        <v>290</v>
      </c>
      <c r="J537" s="22">
        <v>100</v>
      </c>
      <c r="K537" s="22">
        <v>1500</v>
      </c>
      <c r="L537" s="22">
        <v>18</v>
      </c>
      <c r="M537" s="22">
        <f>_xlfn.CEILING.MATH(F537*2)</f>
        <v>19</v>
      </c>
      <c r="N537" s="22">
        <f>H537*1.18</f>
        <v>11.209999999999999</v>
      </c>
      <c r="O537" s="22">
        <f>_xlfn.CEILING.MATH(F537*1.56)-1</f>
        <v>14</v>
      </c>
    </row>
    <row r="538" spans="1:15" s="22" customFormat="1">
      <c r="A538" s="22">
        <v>322</v>
      </c>
      <c r="B538" s="22" t="s">
        <v>553</v>
      </c>
      <c r="C538" s="22" t="s">
        <v>1789</v>
      </c>
      <c r="E538" s="22">
        <v>1</v>
      </c>
      <c r="F538" s="22">
        <v>5.5</v>
      </c>
      <c r="G538" s="30">
        <f>IF(OR(M538="",O538="",M538=0),"",(M538-O538)/M538)</f>
        <v>0.27272727272727271</v>
      </c>
      <c r="H538" s="22">
        <v>5.5</v>
      </c>
      <c r="I538" s="22">
        <v>0</v>
      </c>
      <c r="J538" s="22">
        <v>100</v>
      </c>
      <c r="K538" s="22">
        <v>2000</v>
      </c>
      <c r="L538" s="22">
        <v>18</v>
      </c>
      <c r="M538" s="22">
        <f>_xlfn.CEILING.MATH(F538*2)</f>
        <v>11</v>
      </c>
      <c r="N538" s="22">
        <f>H538*1.18</f>
        <v>6.4899999999999993</v>
      </c>
      <c r="O538" s="22">
        <f>_xlfn.CEILING.MATH(F538*1.56)-1</f>
        <v>8</v>
      </c>
    </row>
    <row r="539" spans="1:15" s="22" customFormat="1">
      <c r="A539" s="22">
        <v>323</v>
      </c>
      <c r="B539" s="22" t="s">
        <v>554</v>
      </c>
      <c r="C539" s="22" t="s">
        <v>1790</v>
      </c>
      <c r="E539" s="22">
        <v>1</v>
      </c>
      <c r="F539" s="22">
        <v>198</v>
      </c>
      <c r="G539" s="30">
        <f>IF(OR(M539="",O539="",M539=0),"",(M539-O539)/M539)</f>
        <v>0.22222222222222221</v>
      </c>
      <c r="H539" s="22">
        <v>198</v>
      </c>
      <c r="I539" s="22">
        <v>121</v>
      </c>
      <c r="J539" s="22">
        <v>10</v>
      </c>
      <c r="K539" s="22">
        <v>40</v>
      </c>
      <c r="L539" s="22">
        <v>18</v>
      </c>
      <c r="M539" s="22">
        <f>_xlfn.CEILING.MATH(F539*2)</f>
        <v>396</v>
      </c>
      <c r="N539" s="22">
        <f>H539*1.18</f>
        <v>233.64</v>
      </c>
      <c r="O539" s="22">
        <f>_xlfn.CEILING.MATH(F539*1.56)-1</f>
        <v>308</v>
      </c>
    </row>
    <row r="540" spans="1:15" s="22" customFormat="1">
      <c r="A540" s="22">
        <v>324</v>
      </c>
      <c r="B540" s="22" t="s">
        <v>555</v>
      </c>
      <c r="C540" s="22" t="s">
        <v>1791</v>
      </c>
      <c r="E540" s="22">
        <v>1</v>
      </c>
      <c r="F540" s="22">
        <v>19.5</v>
      </c>
      <c r="G540" s="30">
        <f>IF(OR(M540="",O540="",M540=0),"",(M540-O540)/M540)</f>
        <v>0.23076923076923078</v>
      </c>
      <c r="H540" s="22">
        <v>19.5</v>
      </c>
      <c r="I540" s="22">
        <v>10909</v>
      </c>
      <c r="J540" s="22">
        <v>50</v>
      </c>
      <c r="K540" s="22">
        <v>500</v>
      </c>
      <c r="L540" s="22">
        <v>18</v>
      </c>
      <c r="M540" s="22">
        <f>_xlfn.CEILING.MATH(F540*2)</f>
        <v>39</v>
      </c>
      <c r="N540" s="22">
        <f>H540*1.18</f>
        <v>23.009999999999998</v>
      </c>
      <c r="O540" s="22">
        <f>_xlfn.CEILING.MATH(F540*1.56)-1</f>
        <v>30</v>
      </c>
    </row>
    <row r="541" spans="1:15" s="22" customFormat="1">
      <c r="A541" s="22">
        <v>325</v>
      </c>
      <c r="B541" s="22" t="s">
        <v>556</v>
      </c>
      <c r="C541" s="22" t="s">
        <v>1792</v>
      </c>
      <c r="E541" s="22">
        <v>1</v>
      </c>
      <c r="F541" s="22">
        <v>12.5</v>
      </c>
      <c r="G541" s="30">
        <f>IF(OR(M541="",O541="",M541=0),"",(M541-O541)/M541)</f>
        <v>0.24</v>
      </c>
      <c r="H541" s="22">
        <v>12.5</v>
      </c>
      <c r="I541" s="22">
        <v>660</v>
      </c>
      <c r="J541" s="22">
        <v>50</v>
      </c>
      <c r="K541" s="22">
        <v>500</v>
      </c>
      <c r="L541" s="22">
        <v>18</v>
      </c>
      <c r="M541" s="22">
        <f>_xlfn.CEILING.MATH(F541*2)</f>
        <v>25</v>
      </c>
      <c r="N541" s="22">
        <f>H541*1.18</f>
        <v>14.75</v>
      </c>
      <c r="O541" s="22">
        <f>_xlfn.CEILING.MATH(F541*1.56)-1</f>
        <v>19</v>
      </c>
    </row>
    <row r="542" spans="1:15" s="22" customFormat="1">
      <c r="A542" s="22">
        <v>326</v>
      </c>
      <c r="B542" s="22" t="s">
        <v>557</v>
      </c>
      <c r="C542" s="22" t="s">
        <v>1793</v>
      </c>
      <c r="E542" s="22">
        <v>1</v>
      </c>
      <c r="F542" s="22">
        <v>30</v>
      </c>
      <c r="G542" s="30">
        <f>IF(OR(M542="",O542="",M542=0),"",(M542-O542)/M542)</f>
        <v>0.23333333333333334</v>
      </c>
      <c r="H542" s="22">
        <v>30</v>
      </c>
      <c r="I542" s="22">
        <v>4982</v>
      </c>
      <c r="J542" s="22">
        <v>25</v>
      </c>
      <c r="K542" s="22">
        <v>250</v>
      </c>
      <c r="L542" s="22">
        <v>18</v>
      </c>
      <c r="M542" s="22">
        <f>_xlfn.CEILING.MATH(F542*2)</f>
        <v>60</v>
      </c>
      <c r="N542" s="22">
        <f>H542*1.18</f>
        <v>35.4</v>
      </c>
      <c r="O542" s="22">
        <f>_xlfn.CEILING.MATH(F542*1.56)-1</f>
        <v>46</v>
      </c>
    </row>
    <row r="543" spans="1:15" s="22" customFormat="1">
      <c r="A543" s="22">
        <v>327</v>
      </c>
      <c r="B543" s="22" t="s">
        <v>558</v>
      </c>
      <c r="C543" s="22" t="s">
        <v>1794</v>
      </c>
      <c r="E543" s="22">
        <v>1</v>
      </c>
      <c r="F543" s="22">
        <v>109.0752</v>
      </c>
      <c r="G543" s="30">
        <f>IF(OR(M543="",O543="",M543=0),"",(M543-O543)/M543)</f>
        <v>0.22374429223744291</v>
      </c>
      <c r="H543" s="22">
        <v>109.07</v>
      </c>
      <c r="I543" s="22">
        <v>0</v>
      </c>
      <c r="J543" s="22">
        <v>10</v>
      </c>
      <c r="K543" s="22">
        <v>60</v>
      </c>
      <c r="L543" s="22">
        <v>18</v>
      </c>
      <c r="M543" s="22">
        <f>_xlfn.CEILING.MATH(F543*2)</f>
        <v>219</v>
      </c>
      <c r="N543" s="22">
        <f>H543*1.18</f>
        <v>128.70259999999999</v>
      </c>
      <c r="O543" s="22">
        <f>_xlfn.CEILING.MATH(F543*1.56)-1</f>
        <v>170</v>
      </c>
    </row>
    <row r="544" spans="1:15" s="22" customFormat="1">
      <c r="A544" s="22">
        <v>328</v>
      </c>
      <c r="B544" s="22" t="s">
        <v>559</v>
      </c>
      <c r="C544" s="22" t="s">
        <v>1795</v>
      </c>
      <c r="E544" s="22">
        <v>1</v>
      </c>
      <c r="F544" s="22">
        <v>120</v>
      </c>
      <c r="G544" s="30">
        <f>IF(OR(M544="",O544="",M544=0),"",(M544-O544)/M544)</f>
        <v>0.22083333333333333</v>
      </c>
      <c r="H544" s="22">
        <v>120</v>
      </c>
      <c r="I544" s="22">
        <v>167</v>
      </c>
      <c r="J544" s="22">
        <v>10</v>
      </c>
      <c r="K544" s="22">
        <v>60</v>
      </c>
      <c r="L544" s="22">
        <v>18</v>
      </c>
      <c r="M544" s="22">
        <f>_xlfn.CEILING.MATH(F544*2)</f>
        <v>240</v>
      </c>
      <c r="N544" s="22">
        <f>H544*1.18</f>
        <v>141.6</v>
      </c>
      <c r="O544" s="22">
        <f>_xlfn.CEILING.MATH(F544*1.56)-1</f>
        <v>187</v>
      </c>
    </row>
    <row r="545" spans="1:15" s="22" customFormat="1">
      <c r="A545" s="22">
        <v>329</v>
      </c>
      <c r="B545" s="22" t="s">
        <v>560</v>
      </c>
      <c r="C545" s="22" t="s">
        <v>1796</v>
      </c>
      <c r="E545" s="22">
        <v>1</v>
      </c>
      <c r="F545" s="22">
        <v>160.5</v>
      </c>
      <c r="G545" s="30">
        <f>IF(OR(M545="",O545="",M545=0),"",(M545-O545)/M545)</f>
        <v>0.22118380062305296</v>
      </c>
      <c r="H545" s="22">
        <v>160.5</v>
      </c>
      <c r="I545" s="22">
        <v>11284</v>
      </c>
      <c r="J545" s="22">
        <v>12</v>
      </c>
      <c r="K545" s="22">
        <v>48</v>
      </c>
      <c r="L545" s="22">
        <v>18</v>
      </c>
      <c r="M545" s="22">
        <f>_xlfn.CEILING.MATH(F545*2)</f>
        <v>321</v>
      </c>
      <c r="N545" s="22">
        <f>H545*1.18</f>
        <v>189.39</v>
      </c>
      <c r="O545" s="22">
        <f>_xlfn.CEILING.MATH(F545*1.56)-1</f>
        <v>250</v>
      </c>
    </row>
    <row r="546" spans="1:15" s="22" customFormat="1">
      <c r="A546" s="22">
        <v>330</v>
      </c>
      <c r="B546" s="22" t="s">
        <v>561</v>
      </c>
      <c r="C546" s="22" t="s">
        <v>1797</v>
      </c>
      <c r="E546" s="22">
        <v>1</v>
      </c>
      <c r="F546" s="22">
        <v>301.5</v>
      </c>
      <c r="G546" s="30">
        <f>IF(OR(M546="",O546="",M546=0),"",(M546-O546)/M546)</f>
        <v>0.22056384742951907</v>
      </c>
      <c r="H546" s="22">
        <v>301.5</v>
      </c>
      <c r="I546" s="22">
        <v>166</v>
      </c>
      <c r="J546" s="22">
        <v>12</v>
      </c>
      <c r="K546" s="22">
        <v>48</v>
      </c>
      <c r="L546" s="22">
        <v>18</v>
      </c>
      <c r="M546" s="22">
        <f>_xlfn.CEILING.MATH(F546*2)</f>
        <v>603</v>
      </c>
      <c r="N546" s="22">
        <f>H546*1.18</f>
        <v>355.77</v>
      </c>
      <c r="O546" s="22">
        <f>_xlfn.CEILING.MATH(F546*1.56)-1</f>
        <v>470</v>
      </c>
    </row>
    <row r="547" spans="1:15" s="22" customFormat="1">
      <c r="A547" s="22">
        <v>331</v>
      </c>
      <c r="B547" s="22" t="s">
        <v>562</v>
      </c>
      <c r="C547" s="22" t="s">
        <v>1798</v>
      </c>
      <c r="E547" s="22">
        <v>1</v>
      </c>
      <c r="F547" s="22">
        <v>301.5</v>
      </c>
      <c r="G547" s="30">
        <f>IF(OR(M547="",O547="",M547=0),"",(M547-O547)/M547)</f>
        <v>0.22056384742951907</v>
      </c>
      <c r="H547" s="22">
        <v>301.5</v>
      </c>
      <c r="I547" s="22">
        <v>381</v>
      </c>
      <c r="J547" s="22">
        <v>12</v>
      </c>
      <c r="K547" s="22">
        <v>48</v>
      </c>
      <c r="L547" s="22">
        <v>18</v>
      </c>
      <c r="M547" s="22">
        <f>_xlfn.CEILING.MATH(F547*2)</f>
        <v>603</v>
      </c>
      <c r="N547" s="22">
        <f>H547*1.18</f>
        <v>355.77</v>
      </c>
      <c r="O547" s="22">
        <f>_xlfn.CEILING.MATH(F547*1.56)-1</f>
        <v>470</v>
      </c>
    </row>
    <row r="548" spans="1:15" s="22" customFormat="1">
      <c r="A548" s="22">
        <v>332</v>
      </c>
      <c r="B548" s="22" t="s">
        <v>563</v>
      </c>
      <c r="C548" s="22" t="s">
        <v>1799</v>
      </c>
      <c r="E548" s="22">
        <v>1</v>
      </c>
      <c r="F548" s="22">
        <v>340.5</v>
      </c>
      <c r="G548" s="30">
        <f>IF(OR(M548="",O548="",M548=0),"",(M548-O548)/M548)</f>
        <v>0.22026431718061673</v>
      </c>
      <c r="H548" s="22">
        <v>340.5</v>
      </c>
      <c r="I548" s="22">
        <v>1146</v>
      </c>
      <c r="J548" s="22">
        <v>12</v>
      </c>
      <c r="K548" s="22">
        <v>48</v>
      </c>
      <c r="L548" s="22">
        <v>18</v>
      </c>
      <c r="M548" s="22">
        <f>_xlfn.CEILING.MATH(F548*2)</f>
        <v>681</v>
      </c>
      <c r="N548" s="22">
        <f>H548*1.18</f>
        <v>401.78999999999996</v>
      </c>
      <c r="O548" s="22">
        <f>_xlfn.CEILING.MATH(F548*1.56)-1</f>
        <v>531</v>
      </c>
    </row>
    <row r="549" spans="1:15" s="22" customFormat="1">
      <c r="A549" s="22">
        <v>333</v>
      </c>
      <c r="B549" s="22" t="s">
        <v>564</v>
      </c>
      <c r="C549" s="22" t="s">
        <v>1800</v>
      </c>
      <c r="E549" s="22">
        <v>1</v>
      </c>
      <c r="F549" s="22">
        <v>469.5</v>
      </c>
      <c r="G549" s="30">
        <f>IF(OR(M549="",O549="",M549=0),"",(M549-O549)/M549)</f>
        <v>0.22044728434504793</v>
      </c>
      <c r="H549" s="22">
        <v>469.5</v>
      </c>
      <c r="I549" s="22">
        <v>304</v>
      </c>
      <c r="J549" s="22">
        <v>12</v>
      </c>
      <c r="K549" s="22">
        <v>36</v>
      </c>
      <c r="L549" s="22">
        <v>18</v>
      </c>
      <c r="M549" s="22">
        <f>_xlfn.CEILING.MATH(F549*2)</f>
        <v>939</v>
      </c>
      <c r="N549" s="22">
        <f>H549*1.18</f>
        <v>554.01</v>
      </c>
      <c r="O549" s="22">
        <f>_xlfn.CEILING.MATH(F549*1.56)-1</f>
        <v>732</v>
      </c>
    </row>
    <row r="550" spans="1:15" s="22" customFormat="1">
      <c r="A550" s="22">
        <v>334</v>
      </c>
      <c r="B550" s="22" t="s">
        <v>565</v>
      </c>
      <c r="C550" s="22" t="s">
        <v>1801</v>
      </c>
      <c r="E550" s="22">
        <v>1</v>
      </c>
      <c r="F550" s="22">
        <v>234</v>
      </c>
      <c r="G550" s="30">
        <f>IF(OR(M550="",O550="",M550=0),"",(M550-O550)/M550)</f>
        <v>0.22008547008547008</v>
      </c>
      <c r="H550" s="22">
        <v>234</v>
      </c>
      <c r="I550" s="22">
        <v>2684</v>
      </c>
      <c r="J550" s="22">
        <v>12</v>
      </c>
      <c r="K550" s="22">
        <v>72</v>
      </c>
      <c r="L550" s="22">
        <v>18</v>
      </c>
      <c r="M550" s="22">
        <f>_xlfn.CEILING.MATH(F550*2)</f>
        <v>468</v>
      </c>
      <c r="N550" s="22">
        <f>H550*1.18</f>
        <v>276.12</v>
      </c>
      <c r="O550" s="22">
        <f>_xlfn.CEILING.MATH(F550*1.56)-1</f>
        <v>365</v>
      </c>
    </row>
    <row r="551" spans="1:15" s="22" customFormat="1">
      <c r="A551" s="22">
        <v>335</v>
      </c>
      <c r="B551" s="22" t="s">
        <v>566</v>
      </c>
      <c r="C551" s="22" t="s">
        <v>1802</v>
      </c>
      <c r="E551" s="22">
        <v>1</v>
      </c>
      <c r="F551" s="22">
        <v>199.5</v>
      </c>
      <c r="G551" s="30">
        <f>IF(OR(M551="",O551="",M551=0),"",(M551-O551)/M551)</f>
        <v>0.22055137844611528</v>
      </c>
      <c r="H551" s="22">
        <v>199.5</v>
      </c>
      <c r="I551" s="22">
        <v>2798</v>
      </c>
      <c r="J551" s="22">
        <v>12</v>
      </c>
      <c r="K551" s="22">
        <v>72</v>
      </c>
      <c r="L551" s="22">
        <v>18</v>
      </c>
      <c r="M551" s="22">
        <f>_xlfn.CEILING.MATH(F551*2)</f>
        <v>399</v>
      </c>
      <c r="N551" s="22">
        <f>H551*1.18</f>
        <v>235.41</v>
      </c>
      <c r="O551" s="22">
        <f>_xlfn.CEILING.MATH(F551*1.56)-1</f>
        <v>311</v>
      </c>
    </row>
    <row r="552" spans="1:15" s="22" customFormat="1">
      <c r="A552" s="22">
        <v>336</v>
      </c>
      <c r="B552" s="22" t="s">
        <v>567</v>
      </c>
      <c r="C552" s="22" t="s">
        <v>1803</v>
      </c>
      <c r="E552" s="22">
        <v>1</v>
      </c>
      <c r="F552" s="22">
        <v>648</v>
      </c>
      <c r="G552" s="30">
        <f>IF(OR(M552="",O552="",M552=0),"",(M552-O552)/M552)</f>
        <v>0.22067901234567902</v>
      </c>
      <c r="H552" s="22">
        <v>648</v>
      </c>
      <c r="I552" s="22">
        <v>126</v>
      </c>
      <c r="J552" s="22">
        <v>6</v>
      </c>
      <c r="K552" s="22">
        <v>36</v>
      </c>
      <c r="L552" s="22">
        <v>18</v>
      </c>
      <c r="M552" s="22">
        <f>_xlfn.CEILING.MATH(F552*2)</f>
        <v>1296</v>
      </c>
      <c r="N552" s="22">
        <f>H552*1.18</f>
        <v>764.64</v>
      </c>
      <c r="O552" s="22">
        <f>_xlfn.CEILING.MATH(F552*1.56)-1</f>
        <v>1010</v>
      </c>
    </row>
    <row r="553" spans="1:15" s="22" customFormat="1">
      <c r="A553" s="22">
        <v>337</v>
      </c>
      <c r="B553" s="22" t="s">
        <v>568</v>
      </c>
      <c r="C553" s="22" t="s">
        <v>1804</v>
      </c>
      <c r="E553" s="22">
        <v>1</v>
      </c>
      <c r="F553" s="22">
        <v>69</v>
      </c>
      <c r="G553" s="30">
        <f>IF(OR(M553="",O553="",M553=0),"",(M553-O553)/M553)</f>
        <v>0.22463768115942029</v>
      </c>
      <c r="H553" s="22">
        <v>69</v>
      </c>
      <c r="I553" s="22">
        <v>121</v>
      </c>
      <c r="J553" s="22">
        <v>5</v>
      </c>
      <c r="K553" s="22">
        <v>50</v>
      </c>
      <c r="L553" s="22">
        <v>18</v>
      </c>
      <c r="M553" s="22">
        <f>_xlfn.CEILING.MATH(F553*2)</f>
        <v>138</v>
      </c>
      <c r="N553" s="22">
        <f>H553*1.18</f>
        <v>81.42</v>
      </c>
      <c r="O553" s="22">
        <f>_xlfn.CEILING.MATH(F553*1.56)-1</f>
        <v>107</v>
      </c>
    </row>
    <row r="554" spans="1:15" s="22" customFormat="1">
      <c r="A554" s="22">
        <v>338</v>
      </c>
      <c r="B554" s="22" t="s">
        <v>569</v>
      </c>
      <c r="C554" s="22" t="s">
        <v>1805</v>
      </c>
      <c r="E554" s="22">
        <v>1</v>
      </c>
      <c r="F554" s="22">
        <v>8.5</v>
      </c>
      <c r="G554" s="30">
        <f>IF(OR(M554="",O554="",M554=0),"",(M554-O554)/M554)</f>
        <v>0.23529411764705882</v>
      </c>
      <c r="H554" s="22">
        <v>8.5</v>
      </c>
      <c r="I554" s="22">
        <v>595</v>
      </c>
      <c r="J554" s="22">
        <v>25</v>
      </c>
      <c r="K554" s="22">
        <v>1000</v>
      </c>
      <c r="L554" s="22">
        <v>18</v>
      </c>
      <c r="M554" s="22">
        <f>_xlfn.CEILING.MATH(F554*2)</f>
        <v>17</v>
      </c>
      <c r="N554" s="22">
        <f>H554*1.18</f>
        <v>10.029999999999999</v>
      </c>
      <c r="O554" s="22">
        <f>_xlfn.CEILING.MATH(F554*1.56)-1</f>
        <v>13</v>
      </c>
    </row>
    <row r="555" spans="1:15" s="22" customFormat="1">
      <c r="A555" s="22">
        <v>339</v>
      </c>
      <c r="B555" s="22" t="s">
        <v>570</v>
      </c>
      <c r="C555" s="22" t="s">
        <v>1806</v>
      </c>
      <c r="E555" s="22">
        <v>1</v>
      </c>
      <c r="F555" s="22">
        <v>9</v>
      </c>
      <c r="G555" s="30">
        <f>IF(OR(M555="",O555="",M555=0),"",(M555-O555)/M555)</f>
        <v>0.22222222222222221</v>
      </c>
      <c r="H555" s="22">
        <v>9</v>
      </c>
      <c r="I555" s="22">
        <v>365</v>
      </c>
      <c r="J555" s="22">
        <v>25</v>
      </c>
      <c r="K555" s="22">
        <v>1000</v>
      </c>
      <c r="L555" s="22">
        <v>18</v>
      </c>
      <c r="M555" s="22">
        <f>_xlfn.CEILING.MATH(F555*2)</f>
        <v>18</v>
      </c>
      <c r="N555" s="22">
        <f>H555*1.18</f>
        <v>10.62</v>
      </c>
      <c r="O555" s="22">
        <f>_xlfn.CEILING.MATH(F555*1.56)-1</f>
        <v>14</v>
      </c>
    </row>
    <row r="556" spans="1:15" s="22" customFormat="1">
      <c r="A556" s="22">
        <v>340</v>
      </c>
      <c r="B556" s="22" t="s">
        <v>571</v>
      </c>
      <c r="C556" s="22" t="s">
        <v>1807</v>
      </c>
      <c r="E556" s="22">
        <v>1</v>
      </c>
      <c r="F556" s="22">
        <v>10.5</v>
      </c>
      <c r="G556" s="30">
        <f>IF(OR(M556="",O556="",M556=0),"",(M556-O556)/M556)</f>
        <v>0.23809523809523808</v>
      </c>
      <c r="H556" s="22">
        <v>10.5</v>
      </c>
      <c r="I556" s="22">
        <v>356</v>
      </c>
      <c r="J556" s="22">
        <v>25</v>
      </c>
      <c r="K556" s="22">
        <v>1000</v>
      </c>
      <c r="L556" s="22">
        <v>18</v>
      </c>
      <c r="M556" s="22">
        <f>_xlfn.CEILING.MATH(F556*2)</f>
        <v>21</v>
      </c>
      <c r="N556" s="22">
        <f>H556*1.18</f>
        <v>12.389999999999999</v>
      </c>
      <c r="O556" s="22">
        <f>_xlfn.CEILING.MATH(F556*1.56)-1</f>
        <v>16</v>
      </c>
    </row>
    <row r="557" spans="1:15" s="22" customFormat="1">
      <c r="A557" s="22">
        <v>341</v>
      </c>
      <c r="B557" s="22" t="s">
        <v>572</v>
      </c>
      <c r="C557" s="22" t="s">
        <v>1808</v>
      </c>
      <c r="E557" s="22">
        <v>1</v>
      </c>
      <c r="F557" s="22">
        <v>20</v>
      </c>
      <c r="G557" s="30">
        <f>IF(OR(M557="",O557="",M557=0),"",(M557-O557)/M557)</f>
        <v>0.22500000000000001</v>
      </c>
      <c r="H557" s="22">
        <v>20</v>
      </c>
      <c r="I557" s="22">
        <v>40</v>
      </c>
      <c r="J557" s="22">
        <v>10</v>
      </c>
      <c r="K557" s="22">
        <v>400</v>
      </c>
      <c r="L557" s="22">
        <v>18</v>
      </c>
      <c r="M557" s="22">
        <f>_xlfn.CEILING.MATH(F557*2)</f>
        <v>40</v>
      </c>
      <c r="N557" s="22">
        <f>H557*1.18</f>
        <v>23.599999999999998</v>
      </c>
      <c r="O557" s="22">
        <f>_xlfn.CEILING.MATH(F557*1.56)-1</f>
        <v>31</v>
      </c>
    </row>
    <row r="558" spans="1:15" s="22" customFormat="1">
      <c r="A558" s="22">
        <v>342</v>
      </c>
      <c r="B558" s="22" t="s">
        <v>573</v>
      </c>
      <c r="C558" s="22" t="s">
        <v>1809</v>
      </c>
      <c r="E558" s="22">
        <v>1</v>
      </c>
      <c r="F558" s="22">
        <v>23.5</v>
      </c>
      <c r="G558" s="30">
        <f>IF(OR(M558="",O558="",M558=0),"",(M558-O558)/M558)</f>
        <v>0.23404255319148937</v>
      </c>
      <c r="H558" s="22">
        <v>23.5</v>
      </c>
      <c r="I558" s="22">
        <v>2126</v>
      </c>
      <c r="J558" s="22">
        <v>10</v>
      </c>
      <c r="K558" s="22">
        <v>400</v>
      </c>
      <c r="L558" s="22">
        <v>18</v>
      </c>
      <c r="M558" s="22">
        <f>_xlfn.CEILING.MATH(F558*2)</f>
        <v>47</v>
      </c>
      <c r="N558" s="22">
        <f>H558*1.18</f>
        <v>27.729999999999997</v>
      </c>
      <c r="O558" s="22">
        <f>_xlfn.CEILING.MATH(F558*1.56)-1</f>
        <v>36</v>
      </c>
    </row>
    <row r="559" spans="1:15" s="22" customFormat="1">
      <c r="A559" s="22">
        <v>343</v>
      </c>
      <c r="B559" s="22" t="s">
        <v>574</v>
      </c>
      <c r="C559" s="22" t="s">
        <v>1810</v>
      </c>
      <c r="E559" s="22">
        <v>1</v>
      </c>
      <c r="F559" s="22">
        <v>35</v>
      </c>
      <c r="G559" s="30">
        <f>IF(OR(M559="",O559="",M559=0),"",(M559-O559)/M559)</f>
        <v>0.22857142857142856</v>
      </c>
      <c r="H559" s="22">
        <v>35</v>
      </c>
      <c r="I559" s="22">
        <v>47</v>
      </c>
      <c r="J559" s="22">
        <v>10</v>
      </c>
      <c r="K559" s="22">
        <v>200</v>
      </c>
      <c r="L559" s="22">
        <v>18</v>
      </c>
      <c r="M559" s="22">
        <f>_xlfn.CEILING.MATH(F559*2)</f>
        <v>70</v>
      </c>
      <c r="N559" s="22">
        <f>H559*1.18</f>
        <v>41.3</v>
      </c>
      <c r="O559" s="22">
        <f>_xlfn.CEILING.MATH(F559*1.56)-1</f>
        <v>54</v>
      </c>
    </row>
    <row r="560" spans="1:15" s="22" customFormat="1">
      <c r="A560" s="22">
        <v>344</v>
      </c>
      <c r="B560" s="22" t="s">
        <v>575</v>
      </c>
      <c r="C560" s="22" t="s">
        <v>1811</v>
      </c>
      <c r="E560" s="22">
        <v>1</v>
      </c>
      <c r="F560" s="22">
        <v>48</v>
      </c>
      <c r="G560" s="30">
        <f>IF(OR(M560="",O560="",M560=0),"",(M560-O560)/M560)</f>
        <v>0.22916666666666666</v>
      </c>
      <c r="H560" s="22">
        <v>48</v>
      </c>
      <c r="I560" s="22">
        <v>336</v>
      </c>
      <c r="J560" s="22">
        <v>5</v>
      </c>
      <c r="K560" s="22">
        <v>100</v>
      </c>
      <c r="L560" s="22">
        <v>18</v>
      </c>
      <c r="M560" s="22">
        <f>_xlfn.CEILING.MATH(F560*2)</f>
        <v>96</v>
      </c>
      <c r="N560" s="22">
        <f>H560*1.18</f>
        <v>56.64</v>
      </c>
      <c r="O560" s="22">
        <f>_xlfn.CEILING.MATH(F560*1.56)-1</f>
        <v>74</v>
      </c>
    </row>
    <row r="561" spans="1:15" s="22" customFormat="1">
      <c r="A561" s="22">
        <v>345</v>
      </c>
      <c r="B561" s="22" t="s">
        <v>576</v>
      </c>
      <c r="C561" s="22" t="s">
        <v>1812</v>
      </c>
      <c r="E561" s="22">
        <v>1</v>
      </c>
      <c r="F561" s="22">
        <v>332.5</v>
      </c>
      <c r="G561" s="30">
        <f>IF(OR(M561="",O561="",M561=0),"",(M561-O561)/M561)</f>
        <v>0.22105263157894736</v>
      </c>
      <c r="H561" s="22">
        <v>332.5</v>
      </c>
      <c r="I561" s="22">
        <v>0</v>
      </c>
      <c r="J561" s="22">
        <v>1</v>
      </c>
      <c r="K561" s="22">
        <v>60</v>
      </c>
      <c r="L561" s="22">
        <v>18</v>
      </c>
      <c r="M561" s="22">
        <f>_xlfn.CEILING.MATH(F561*2)</f>
        <v>665</v>
      </c>
      <c r="N561" s="22">
        <f>H561*1.18</f>
        <v>392.34999999999997</v>
      </c>
      <c r="O561" s="22">
        <f>_xlfn.CEILING.MATH(F561*1.56)-1</f>
        <v>518</v>
      </c>
    </row>
    <row r="562" spans="1:15" s="22" customFormat="1">
      <c r="A562" s="22">
        <v>346</v>
      </c>
      <c r="B562" s="22" t="s">
        <v>577</v>
      </c>
      <c r="C562" s="22" t="s">
        <v>1813</v>
      </c>
      <c r="E562" s="22">
        <v>1</v>
      </c>
      <c r="F562" s="22">
        <v>395</v>
      </c>
      <c r="G562" s="30">
        <f>IF(OR(M562="",O562="",M562=0),"",(M562-O562)/M562)</f>
        <v>0.22025316455696203</v>
      </c>
      <c r="H562" s="22">
        <v>395</v>
      </c>
      <c r="I562" s="22">
        <v>4</v>
      </c>
      <c r="J562" s="22">
        <v>1</v>
      </c>
      <c r="K562" s="22">
        <v>60</v>
      </c>
      <c r="L562" s="22">
        <v>18</v>
      </c>
      <c r="M562" s="22">
        <f>_xlfn.CEILING.MATH(F562*2)</f>
        <v>790</v>
      </c>
      <c r="N562" s="22">
        <f>H562*1.18</f>
        <v>466.09999999999997</v>
      </c>
      <c r="O562" s="22">
        <f>_xlfn.CEILING.MATH(F562*1.56)-1</f>
        <v>616</v>
      </c>
    </row>
    <row r="563" spans="1:15" s="22" customFormat="1">
      <c r="A563" s="22">
        <v>347</v>
      </c>
      <c r="B563" s="22" t="s">
        <v>578</v>
      </c>
      <c r="C563" s="22" t="s">
        <v>1814</v>
      </c>
      <c r="E563" s="22">
        <v>1</v>
      </c>
      <c r="F563" s="22">
        <v>457.5</v>
      </c>
      <c r="G563" s="30">
        <f>IF(OR(M563="",O563="",M563=0),"",(M563-O563)/M563)</f>
        <v>0.22076502732240438</v>
      </c>
      <c r="H563" s="22">
        <v>457.5</v>
      </c>
      <c r="I563" s="22">
        <v>41</v>
      </c>
      <c r="J563" s="22">
        <v>1</v>
      </c>
      <c r="K563" s="22">
        <v>40</v>
      </c>
      <c r="L563" s="22">
        <v>18</v>
      </c>
      <c r="M563" s="22">
        <f>_xlfn.CEILING.MATH(F563*2)</f>
        <v>915</v>
      </c>
      <c r="N563" s="22">
        <f>H563*1.18</f>
        <v>539.85</v>
      </c>
      <c r="O563" s="22">
        <f>_xlfn.CEILING.MATH(F563*1.56)-1</f>
        <v>713</v>
      </c>
    </row>
    <row r="564" spans="1:15" s="22" customFormat="1">
      <c r="A564" s="22">
        <v>348</v>
      </c>
      <c r="B564" s="22" t="s">
        <v>579</v>
      </c>
      <c r="C564" s="22" t="s">
        <v>1815</v>
      </c>
      <c r="E564" s="22">
        <v>1</v>
      </c>
      <c r="F564" s="22">
        <v>705</v>
      </c>
      <c r="G564" s="30">
        <f>IF(OR(M564="",O564="",M564=0),"",(M564-O564)/M564)</f>
        <v>0.22056737588652484</v>
      </c>
      <c r="H564" s="22">
        <v>705</v>
      </c>
      <c r="I564" s="22">
        <v>95</v>
      </c>
      <c r="J564" s="22">
        <v>1</v>
      </c>
      <c r="K564" s="22">
        <v>24</v>
      </c>
      <c r="L564" s="22">
        <v>18</v>
      </c>
      <c r="M564" s="22">
        <f>_xlfn.CEILING.MATH(F564*2)</f>
        <v>1410</v>
      </c>
      <c r="N564" s="22">
        <f>H564*1.18</f>
        <v>831.9</v>
      </c>
      <c r="O564" s="22">
        <f>_xlfn.CEILING.MATH(F564*1.56)-1</f>
        <v>1099</v>
      </c>
    </row>
    <row r="565" spans="1:15" s="22" customFormat="1">
      <c r="A565" s="22">
        <v>349</v>
      </c>
      <c r="B565" s="22" t="s">
        <v>580</v>
      </c>
      <c r="C565" s="22" t="s">
        <v>1816</v>
      </c>
      <c r="E565" s="22">
        <v>1</v>
      </c>
      <c r="F565" s="22">
        <v>1025</v>
      </c>
      <c r="G565" s="30">
        <f>IF(OR(M565="",O565="",M565=0),"",(M565-O565)/M565)</f>
        <v>0.22048780487804878</v>
      </c>
      <c r="H565" s="22">
        <v>1025</v>
      </c>
      <c r="I565" s="22">
        <v>0</v>
      </c>
      <c r="J565" s="22">
        <v>1</v>
      </c>
      <c r="K565" s="22">
        <v>18</v>
      </c>
      <c r="L565" s="22">
        <v>18</v>
      </c>
      <c r="M565" s="22">
        <f>_xlfn.CEILING.MATH(F565*2)</f>
        <v>2050</v>
      </c>
      <c r="N565" s="22">
        <f>H565*1.18</f>
        <v>1209.5</v>
      </c>
      <c r="O565" s="22">
        <f>_xlfn.CEILING.MATH(F565*1.56)-1</f>
        <v>1598</v>
      </c>
    </row>
    <row r="566" spans="1:15" s="22" customFormat="1">
      <c r="A566" s="22">
        <v>350</v>
      </c>
      <c r="B566" s="22" t="s">
        <v>581</v>
      </c>
      <c r="C566" s="22" t="s">
        <v>1817</v>
      </c>
      <c r="E566" s="22">
        <v>1</v>
      </c>
      <c r="F566" s="22">
        <v>1350</v>
      </c>
      <c r="G566" s="30">
        <f>IF(OR(M566="",O566="",M566=0),"",(M566-O566)/M566)</f>
        <v>0.22037037037037038</v>
      </c>
      <c r="H566" s="22">
        <v>1350</v>
      </c>
      <c r="I566" s="22">
        <v>35</v>
      </c>
      <c r="J566" s="22">
        <v>1</v>
      </c>
      <c r="K566" s="22">
        <v>12</v>
      </c>
      <c r="L566" s="22">
        <v>18</v>
      </c>
      <c r="M566" s="22">
        <f>_xlfn.CEILING.MATH(F566*2)</f>
        <v>2700</v>
      </c>
      <c r="N566" s="22">
        <f>H566*1.18</f>
        <v>1593</v>
      </c>
      <c r="O566" s="22">
        <f>_xlfn.CEILING.MATH(F566*1.56)-1</f>
        <v>2105</v>
      </c>
    </row>
    <row r="567" spans="1:15" s="22" customFormat="1">
      <c r="A567" s="22">
        <v>351</v>
      </c>
      <c r="B567" s="22" t="s">
        <v>582</v>
      </c>
      <c r="C567" s="22" t="s">
        <v>1818</v>
      </c>
      <c r="E567" s="22">
        <v>1</v>
      </c>
      <c r="F567" s="22">
        <v>1775</v>
      </c>
      <c r="G567" s="30">
        <f>IF(OR(M567="",O567="",M567=0),"",(M567-O567)/M567)</f>
        <v>0.22028169014084506</v>
      </c>
      <c r="H567" s="22">
        <v>1775</v>
      </c>
      <c r="I567" s="22">
        <v>1</v>
      </c>
      <c r="J567" s="22">
        <v>1</v>
      </c>
      <c r="K567" s="22">
        <v>1</v>
      </c>
      <c r="L567" s="22">
        <v>18</v>
      </c>
      <c r="M567" s="22">
        <f>_xlfn.CEILING.MATH(F567*2)</f>
        <v>3550</v>
      </c>
      <c r="N567" s="22">
        <f>H567*1.18</f>
        <v>2094.5</v>
      </c>
      <c r="O567" s="22">
        <f>_xlfn.CEILING.MATH(F567*1.56)-1</f>
        <v>2768</v>
      </c>
    </row>
    <row r="568" spans="1:15" s="22" customFormat="1">
      <c r="A568" s="22">
        <v>352</v>
      </c>
      <c r="B568" s="22" t="s">
        <v>1819</v>
      </c>
      <c r="C568" s="22" t="s">
        <v>1820</v>
      </c>
      <c r="E568" s="22">
        <v>1</v>
      </c>
      <c r="F568" s="22">
        <v>121.5</v>
      </c>
      <c r="G568" s="30">
        <f>IF(OR(M568="",O568="",M568=0),"",(M568-O568)/M568)</f>
        <v>0.22222222222222221</v>
      </c>
      <c r="H568" s="22">
        <v>121.5</v>
      </c>
      <c r="I568" s="22">
        <v>183</v>
      </c>
      <c r="J568" s="22">
        <v>6</v>
      </c>
      <c r="K568" s="22">
        <v>48</v>
      </c>
      <c r="L568" s="22">
        <v>18</v>
      </c>
      <c r="M568" s="22">
        <f>_xlfn.CEILING.MATH(F568*2)</f>
        <v>243</v>
      </c>
      <c r="N568" s="22">
        <f>H568*1.18</f>
        <v>143.37</v>
      </c>
      <c r="O568" s="22">
        <f>_xlfn.CEILING.MATH(F568*1.56)-1</f>
        <v>189</v>
      </c>
    </row>
    <row r="569" spans="1:15" s="22" customFormat="1">
      <c r="A569" s="22">
        <v>353</v>
      </c>
      <c r="B569" s="22" t="s">
        <v>1821</v>
      </c>
      <c r="C569" s="22" t="s">
        <v>1822</v>
      </c>
      <c r="E569" s="22">
        <v>1</v>
      </c>
      <c r="F569" s="22">
        <v>144</v>
      </c>
      <c r="G569" s="30">
        <f>IF(OR(M569="",O569="",M569=0),"",(M569-O569)/M569)</f>
        <v>0.22222222222222221</v>
      </c>
      <c r="H569" s="22">
        <v>144</v>
      </c>
      <c r="I569" s="22">
        <v>304</v>
      </c>
      <c r="J569" s="22">
        <v>6</v>
      </c>
      <c r="K569" s="22">
        <v>48</v>
      </c>
      <c r="L569" s="22">
        <v>18</v>
      </c>
      <c r="M569" s="22">
        <f>_xlfn.CEILING.MATH(F569*2)</f>
        <v>288</v>
      </c>
      <c r="N569" s="22">
        <f>H569*1.18</f>
        <v>169.92</v>
      </c>
      <c r="O569" s="22">
        <f>_xlfn.CEILING.MATH(F569*1.56)-1</f>
        <v>224</v>
      </c>
    </row>
    <row r="570" spans="1:15" s="22" customFormat="1">
      <c r="A570" s="22">
        <v>354</v>
      </c>
      <c r="B570" s="22" t="s">
        <v>1823</v>
      </c>
      <c r="C570" s="22" t="s">
        <v>1824</v>
      </c>
      <c r="E570" s="22">
        <v>1</v>
      </c>
      <c r="F570" s="22">
        <v>216</v>
      </c>
      <c r="G570" s="30">
        <f>IF(OR(M570="",O570="",M570=0),"",(M570-O570)/M570)</f>
        <v>0.22222222222222221</v>
      </c>
      <c r="H570" s="22">
        <v>216</v>
      </c>
      <c r="I570" s="22">
        <v>305</v>
      </c>
      <c r="J570" s="22">
        <v>4</v>
      </c>
      <c r="K570" s="22">
        <v>36</v>
      </c>
      <c r="L570" s="22">
        <v>18</v>
      </c>
      <c r="M570" s="22">
        <f>_xlfn.CEILING.MATH(F570*2)</f>
        <v>432</v>
      </c>
      <c r="N570" s="22">
        <f>H570*1.18</f>
        <v>254.88</v>
      </c>
      <c r="O570" s="22">
        <f>_xlfn.CEILING.MATH(F570*1.56)-1</f>
        <v>336</v>
      </c>
    </row>
    <row r="571" spans="1:15" s="22" customFormat="1">
      <c r="A571" s="22">
        <v>355</v>
      </c>
      <c r="B571" s="22" t="s">
        <v>583</v>
      </c>
      <c r="C571" s="22" t="s">
        <v>1825</v>
      </c>
      <c r="E571" s="22">
        <v>1</v>
      </c>
      <c r="F571" s="22">
        <v>88.5</v>
      </c>
      <c r="G571" s="30">
        <f>IF(OR(M571="",O571="",M571=0),"",(M571-O571)/M571)</f>
        <v>0.22033898305084745</v>
      </c>
      <c r="H571" s="22">
        <v>88.5</v>
      </c>
      <c r="I571" s="22">
        <v>87</v>
      </c>
      <c r="J571" s="22">
        <v>6</v>
      </c>
      <c r="K571" s="22">
        <v>48</v>
      </c>
      <c r="L571" s="22">
        <v>18</v>
      </c>
      <c r="M571" s="22">
        <f>_xlfn.CEILING.MATH(F571*2)</f>
        <v>177</v>
      </c>
      <c r="N571" s="22">
        <f>H571*1.18</f>
        <v>104.42999999999999</v>
      </c>
      <c r="O571" s="22">
        <f>_xlfn.CEILING.MATH(F571*1.56)-1</f>
        <v>138</v>
      </c>
    </row>
    <row r="572" spans="1:15" s="22" customFormat="1">
      <c r="A572" s="22">
        <v>356</v>
      </c>
      <c r="B572" s="22" t="s">
        <v>584</v>
      </c>
      <c r="C572" s="22" t="s">
        <v>1826</v>
      </c>
      <c r="E572" s="22">
        <v>1</v>
      </c>
      <c r="F572" s="22">
        <v>99</v>
      </c>
      <c r="G572" s="30">
        <f>IF(OR(M572="",O572="",M572=0),"",(M572-O572)/M572)</f>
        <v>0.22222222222222221</v>
      </c>
      <c r="H572" s="22">
        <v>99</v>
      </c>
      <c r="I572" s="22">
        <v>384</v>
      </c>
      <c r="J572" s="22">
        <v>6</v>
      </c>
      <c r="K572" s="22">
        <v>48</v>
      </c>
      <c r="L572" s="22">
        <v>18</v>
      </c>
      <c r="M572" s="22">
        <f>_xlfn.CEILING.MATH(F572*2)</f>
        <v>198</v>
      </c>
      <c r="N572" s="22">
        <f>H572*1.18</f>
        <v>116.82</v>
      </c>
      <c r="O572" s="22">
        <f>_xlfn.CEILING.MATH(F572*1.56)-1</f>
        <v>154</v>
      </c>
    </row>
    <row r="573" spans="1:15" s="22" customFormat="1">
      <c r="A573" s="22">
        <v>357</v>
      </c>
      <c r="B573" s="22" t="s">
        <v>585</v>
      </c>
      <c r="C573" s="22" t="s">
        <v>1827</v>
      </c>
      <c r="E573" s="22">
        <v>1</v>
      </c>
      <c r="F573" s="22">
        <v>124.5</v>
      </c>
      <c r="G573" s="30">
        <f>IF(OR(M573="",O573="",M573=0),"",(M573-O573)/M573)</f>
        <v>0.22088353413654618</v>
      </c>
      <c r="H573" s="22">
        <v>124.5</v>
      </c>
      <c r="I573" s="22">
        <v>365</v>
      </c>
      <c r="J573" s="22">
        <v>6</v>
      </c>
      <c r="K573" s="22">
        <v>48</v>
      </c>
      <c r="L573" s="22">
        <v>18</v>
      </c>
      <c r="M573" s="22">
        <f>_xlfn.CEILING.MATH(F573*2)</f>
        <v>249</v>
      </c>
      <c r="N573" s="22">
        <f>H573*1.18</f>
        <v>146.91</v>
      </c>
      <c r="O573" s="22">
        <f>_xlfn.CEILING.MATH(F573*1.56)-1</f>
        <v>194</v>
      </c>
    </row>
    <row r="574" spans="1:15" s="22" customFormat="1">
      <c r="A574" s="22">
        <v>358</v>
      </c>
      <c r="B574" s="22" t="s">
        <v>586</v>
      </c>
      <c r="C574" s="22" t="s">
        <v>1828</v>
      </c>
      <c r="E574" s="22">
        <v>1</v>
      </c>
      <c r="F574" s="22">
        <v>139.5</v>
      </c>
      <c r="G574" s="30">
        <f>IF(OR(M574="",O574="",M574=0),"",(M574-O574)/M574)</f>
        <v>0.22222222222222221</v>
      </c>
      <c r="H574" s="22">
        <v>139.5</v>
      </c>
      <c r="I574" s="22">
        <v>920</v>
      </c>
      <c r="J574" s="22">
        <v>4</v>
      </c>
      <c r="K574" s="22">
        <v>36</v>
      </c>
      <c r="L574" s="22">
        <v>18</v>
      </c>
      <c r="M574" s="22">
        <f>_xlfn.CEILING.MATH(F574*2)</f>
        <v>279</v>
      </c>
      <c r="N574" s="22">
        <f>H574*1.18</f>
        <v>164.60999999999999</v>
      </c>
      <c r="O574" s="22">
        <f>_xlfn.CEILING.MATH(F574*1.56)-1</f>
        <v>217</v>
      </c>
    </row>
    <row r="575" spans="1:15" s="22" customFormat="1">
      <c r="A575" s="22">
        <v>359</v>
      </c>
      <c r="B575" s="22" t="s">
        <v>587</v>
      </c>
      <c r="C575" s="22" t="s">
        <v>1829</v>
      </c>
      <c r="E575" s="22">
        <v>1</v>
      </c>
      <c r="F575" s="22">
        <v>163.5</v>
      </c>
      <c r="G575" s="30">
        <f>IF(OR(M575="",O575="",M575=0),"",(M575-O575)/M575)</f>
        <v>0.22018348623853212</v>
      </c>
      <c r="H575" s="22">
        <v>163.5</v>
      </c>
      <c r="I575" s="22">
        <v>162</v>
      </c>
      <c r="J575" s="22">
        <v>4</v>
      </c>
      <c r="K575" s="22">
        <v>36</v>
      </c>
      <c r="L575" s="22">
        <v>18</v>
      </c>
      <c r="M575" s="22">
        <f>_xlfn.CEILING.MATH(F575*2)</f>
        <v>327</v>
      </c>
      <c r="N575" s="22">
        <f>H575*1.18</f>
        <v>192.92999999999998</v>
      </c>
      <c r="O575" s="22">
        <f>_xlfn.CEILING.MATH(F575*1.56)-1</f>
        <v>255</v>
      </c>
    </row>
    <row r="576" spans="1:15" s="22" customFormat="1">
      <c r="A576" s="22">
        <v>360</v>
      </c>
      <c r="B576" s="22" t="s">
        <v>588</v>
      </c>
      <c r="C576" s="22" t="s">
        <v>1830</v>
      </c>
      <c r="E576" s="22">
        <v>1</v>
      </c>
      <c r="F576" s="22">
        <v>214.5</v>
      </c>
      <c r="G576" s="30">
        <f>IF(OR(M576="",O576="",M576=0),"",(M576-O576)/M576)</f>
        <v>0.22144522144522144</v>
      </c>
      <c r="H576" s="22">
        <v>214.5</v>
      </c>
      <c r="I576" s="22">
        <v>254</v>
      </c>
      <c r="J576" s="22">
        <v>2</v>
      </c>
      <c r="K576" s="22">
        <v>24</v>
      </c>
      <c r="L576" s="22">
        <v>18</v>
      </c>
      <c r="M576" s="22">
        <f>_xlfn.CEILING.MATH(F576*2)</f>
        <v>429</v>
      </c>
      <c r="N576" s="22">
        <f>H576*1.18</f>
        <v>253.10999999999999</v>
      </c>
      <c r="O576" s="22">
        <f>_xlfn.CEILING.MATH(F576*1.56)-1</f>
        <v>334</v>
      </c>
    </row>
    <row r="577" spans="1:15" s="22" customFormat="1">
      <c r="A577" s="22">
        <v>361</v>
      </c>
      <c r="B577" s="22" t="s">
        <v>1831</v>
      </c>
      <c r="C577" s="22" t="s">
        <v>1832</v>
      </c>
      <c r="E577" s="22">
        <v>1</v>
      </c>
      <c r="F577" s="22">
        <v>300</v>
      </c>
      <c r="G577" s="30">
        <f>IF(OR(M577="",O577="",M577=0),"",(M577-O577)/M577)</f>
        <v>0.22166666666666668</v>
      </c>
      <c r="H577" s="22">
        <v>300</v>
      </c>
      <c r="I577" s="22">
        <v>0</v>
      </c>
      <c r="J577" s="22">
        <v>1</v>
      </c>
      <c r="K577" s="22">
        <v>20</v>
      </c>
      <c r="L577" s="22">
        <v>18</v>
      </c>
      <c r="M577" s="22">
        <f>_xlfn.CEILING.MATH(F577*2)</f>
        <v>600</v>
      </c>
      <c r="N577" s="22">
        <f>H577*1.18</f>
        <v>354</v>
      </c>
      <c r="O577" s="22">
        <f>_xlfn.CEILING.MATH(F577*1.56)-1</f>
        <v>467</v>
      </c>
    </row>
    <row r="578" spans="1:15" s="22" customFormat="1">
      <c r="A578" s="22">
        <v>362</v>
      </c>
      <c r="B578" s="22" t="s">
        <v>1833</v>
      </c>
      <c r="C578" s="22" t="s">
        <v>1834</v>
      </c>
      <c r="E578" s="22">
        <v>1</v>
      </c>
      <c r="F578" s="22">
        <v>360</v>
      </c>
      <c r="G578" s="30">
        <f>IF(OR(M578="",O578="",M578=0),"",(M578-O578)/M578)</f>
        <v>0.22083333333333333</v>
      </c>
      <c r="H578" s="22">
        <v>360</v>
      </c>
      <c r="I578" s="22">
        <v>7</v>
      </c>
      <c r="J578" s="22">
        <v>1</v>
      </c>
      <c r="K578" s="22">
        <v>20</v>
      </c>
      <c r="L578" s="22">
        <v>18</v>
      </c>
      <c r="M578" s="22">
        <f>_xlfn.CEILING.MATH(F578*2)</f>
        <v>720</v>
      </c>
      <c r="N578" s="22">
        <f>H578*1.18</f>
        <v>424.79999999999995</v>
      </c>
      <c r="O578" s="22">
        <f>_xlfn.CEILING.MATH(F578*1.56)-1</f>
        <v>561</v>
      </c>
    </row>
    <row r="579" spans="1:15" s="22" customFormat="1">
      <c r="A579" s="22">
        <v>363</v>
      </c>
      <c r="B579" s="22" t="s">
        <v>1835</v>
      </c>
      <c r="C579" s="22" t="s">
        <v>1836</v>
      </c>
      <c r="E579" s="22">
        <v>1</v>
      </c>
      <c r="F579" s="22">
        <v>540</v>
      </c>
      <c r="G579" s="30">
        <f>IF(OR(M579="",O579="",M579=0),"",(M579-O579)/M579)</f>
        <v>0.22037037037037038</v>
      </c>
      <c r="H579" s="22">
        <v>540</v>
      </c>
      <c r="I579" s="22">
        <v>1</v>
      </c>
      <c r="J579" s="22">
        <v>1</v>
      </c>
      <c r="K579" s="22">
        <v>20</v>
      </c>
      <c r="L579" s="22">
        <v>18</v>
      </c>
      <c r="M579" s="22">
        <f>_xlfn.CEILING.MATH(F579*2)</f>
        <v>1080</v>
      </c>
      <c r="N579" s="22">
        <f>H579*1.18</f>
        <v>637.19999999999993</v>
      </c>
      <c r="O579" s="22">
        <f>_xlfn.CEILING.MATH(F579*1.56)-1</f>
        <v>842</v>
      </c>
    </row>
    <row r="580" spans="1:15" s="22" customFormat="1">
      <c r="A580" s="22">
        <v>364</v>
      </c>
      <c r="B580" s="22" t="s">
        <v>1837</v>
      </c>
      <c r="C580" s="22" t="s">
        <v>1838</v>
      </c>
      <c r="E580" s="22">
        <v>1</v>
      </c>
      <c r="F580" s="22">
        <v>900</v>
      </c>
      <c r="G580" s="30">
        <f>IF(OR(M580="",O580="",M580=0),"",(M580-O580)/M580)</f>
        <v>0.22055555555555556</v>
      </c>
      <c r="H580" s="22">
        <v>900</v>
      </c>
      <c r="I580" s="22">
        <v>4</v>
      </c>
      <c r="J580" s="22">
        <v>1</v>
      </c>
      <c r="K580" s="22">
        <v>10</v>
      </c>
      <c r="L580" s="22">
        <v>18</v>
      </c>
      <c r="M580" s="22">
        <f>_xlfn.CEILING.MATH(F580*2)</f>
        <v>1800</v>
      </c>
      <c r="N580" s="22">
        <f>H580*1.18</f>
        <v>1062</v>
      </c>
      <c r="O580" s="22">
        <f>_xlfn.CEILING.MATH(F580*1.56)-1</f>
        <v>1403</v>
      </c>
    </row>
    <row r="581" spans="1:15" s="22" customFormat="1">
      <c r="A581" s="22">
        <v>365</v>
      </c>
      <c r="B581" s="22" t="s">
        <v>1839</v>
      </c>
      <c r="C581" s="22" t="s">
        <v>1840</v>
      </c>
      <c r="E581" s="22">
        <v>1</v>
      </c>
      <c r="F581" s="22">
        <v>2430</v>
      </c>
      <c r="G581" s="30">
        <f>IF(OR(M581="",O581="",M581=0),"",(M581-O581)/M581)</f>
        <v>0.22016460905349794</v>
      </c>
      <c r="H581" s="22">
        <v>2430</v>
      </c>
      <c r="I581" s="22">
        <v>3</v>
      </c>
      <c r="J581" s="22">
        <v>1</v>
      </c>
      <c r="K581" s="22">
        <v>4</v>
      </c>
      <c r="L581" s="22">
        <v>18</v>
      </c>
      <c r="M581" s="22">
        <f>_xlfn.CEILING.MATH(F581*2)</f>
        <v>4860</v>
      </c>
      <c r="N581" s="22">
        <f>H581*1.18</f>
        <v>2867.3999999999996</v>
      </c>
      <c r="O581" s="22">
        <f>_xlfn.CEILING.MATH(F581*1.56)-1</f>
        <v>3790</v>
      </c>
    </row>
    <row r="582" spans="1:15" s="22" customFormat="1">
      <c r="A582" s="22">
        <v>366</v>
      </c>
      <c r="B582" s="22" t="s">
        <v>1841</v>
      </c>
      <c r="C582" s="22" t="s">
        <v>1842</v>
      </c>
      <c r="E582" s="22">
        <v>1</v>
      </c>
      <c r="F582" s="22">
        <v>3330</v>
      </c>
      <c r="G582" s="30">
        <f>IF(OR(M582="",O582="",M582=0),"",(M582-O582)/M582)</f>
        <v>0.22012012012012011</v>
      </c>
      <c r="H582" s="22">
        <v>3330</v>
      </c>
      <c r="I582" s="22">
        <v>6</v>
      </c>
      <c r="J582" s="22">
        <v>1</v>
      </c>
      <c r="K582" s="22">
        <v>4</v>
      </c>
      <c r="L582" s="22">
        <v>18</v>
      </c>
      <c r="M582" s="22">
        <f>_xlfn.CEILING.MATH(F582*2)</f>
        <v>6660</v>
      </c>
      <c r="N582" s="22">
        <f>H582*1.18</f>
        <v>3929.3999999999996</v>
      </c>
      <c r="O582" s="22">
        <f>_xlfn.CEILING.MATH(F582*1.56)-1</f>
        <v>5194</v>
      </c>
    </row>
    <row r="583" spans="1:15" s="22" customFormat="1">
      <c r="A583" s="22">
        <v>367</v>
      </c>
      <c r="B583" s="22" t="s">
        <v>589</v>
      </c>
      <c r="C583" s="22" t="s">
        <v>1843</v>
      </c>
      <c r="E583" s="22">
        <v>1</v>
      </c>
      <c r="F583" s="22">
        <v>315</v>
      </c>
      <c r="G583" s="30">
        <f>IF(OR(M583="",O583="",M583=0),"",(M583-O583)/M583)</f>
        <v>0.22063492063492063</v>
      </c>
      <c r="H583" s="22">
        <v>315</v>
      </c>
      <c r="I583" s="22">
        <v>126</v>
      </c>
      <c r="J583" s="22">
        <v>6</v>
      </c>
      <c r="K583" s="22">
        <v>48</v>
      </c>
      <c r="L583" s="22">
        <v>18</v>
      </c>
      <c r="M583" s="22">
        <f>_xlfn.CEILING.MATH(F583*2)</f>
        <v>630</v>
      </c>
      <c r="N583" s="22">
        <f>H583*1.18</f>
        <v>371.7</v>
      </c>
      <c r="O583" s="22">
        <f>_xlfn.CEILING.MATH(F583*1.56)-1</f>
        <v>491</v>
      </c>
    </row>
    <row r="584" spans="1:15" s="22" customFormat="1">
      <c r="A584" s="22">
        <v>368</v>
      </c>
      <c r="B584" s="22" t="s">
        <v>590</v>
      </c>
      <c r="C584" s="22" t="s">
        <v>1844</v>
      </c>
      <c r="E584" s="22">
        <v>1</v>
      </c>
      <c r="F584" s="22">
        <v>630</v>
      </c>
      <c r="G584" s="30">
        <f>IF(OR(M584="",O584="",M584=0),"",(M584-O584)/M584)</f>
        <v>0.22063492063492063</v>
      </c>
      <c r="H584" s="22">
        <v>630</v>
      </c>
      <c r="I584" s="22">
        <v>795</v>
      </c>
      <c r="J584" s="22">
        <v>1</v>
      </c>
      <c r="K584" s="22">
        <v>12</v>
      </c>
      <c r="L584" s="22">
        <v>18</v>
      </c>
      <c r="M584" s="22">
        <f>_xlfn.CEILING.MATH(F584*2)</f>
        <v>1260</v>
      </c>
      <c r="N584" s="22">
        <f>H584*1.18</f>
        <v>743.4</v>
      </c>
      <c r="O584" s="22">
        <f>_xlfn.CEILING.MATH(F584*1.56)-1</f>
        <v>982</v>
      </c>
    </row>
    <row r="585" spans="1:15" s="22" customFormat="1">
      <c r="A585" s="22">
        <v>369</v>
      </c>
      <c r="B585" s="22" t="s">
        <v>591</v>
      </c>
      <c r="C585" s="22" t="s">
        <v>1845</v>
      </c>
      <c r="E585" s="22">
        <v>1</v>
      </c>
      <c r="F585" s="22">
        <v>480</v>
      </c>
      <c r="G585" s="30">
        <f>IF(OR(M585="",O585="",M585=0),"",(M585-O585)/M585)</f>
        <v>0.22083333333333333</v>
      </c>
      <c r="H585" s="22">
        <v>480</v>
      </c>
      <c r="I585" s="22">
        <v>965</v>
      </c>
      <c r="J585" s="22">
        <v>1</v>
      </c>
      <c r="K585" s="22">
        <v>20</v>
      </c>
      <c r="L585" s="22">
        <v>18</v>
      </c>
      <c r="M585" s="22">
        <f>_xlfn.CEILING.MATH(F585*2)</f>
        <v>960</v>
      </c>
      <c r="N585" s="22">
        <f>H585*1.18</f>
        <v>566.4</v>
      </c>
      <c r="O585" s="22">
        <f>_xlfn.CEILING.MATH(F585*1.56)-1</f>
        <v>748</v>
      </c>
    </row>
    <row r="586" spans="1:15" s="22" customFormat="1">
      <c r="A586" s="22">
        <v>370</v>
      </c>
      <c r="B586" s="22" t="s">
        <v>592</v>
      </c>
      <c r="C586" s="22" t="s">
        <v>1846</v>
      </c>
      <c r="E586" s="22">
        <v>1</v>
      </c>
      <c r="F586" s="22">
        <v>720</v>
      </c>
      <c r="G586" s="30">
        <f>IF(OR(M586="",O586="",M586=0),"",(M586-O586)/M586)</f>
        <v>0.22013888888888888</v>
      </c>
      <c r="H586" s="22">
        <v>720</v>
      </c>
      <c r="I586" s="22">
        <v>660</v>
      </c>
      <c r="J586" s="22">
        <v>1</v>
      </c>
      <c r="K586" s="22">
        <v>12</v>
      </c>
      <c r="L586" s="22">
        <v>18</v>
      </c>
      <c r="M586" s="22">
        <f>_xlfn.CEILING.MATH(F586*2)</f>
        <v>1440</v>
      </c>
      <c r="N586" s="22">
        <f>H586*1.18</f>
        <v>849.59999999999991</v>
      </c>
      <c r="O586" s="22">
        <f>_xlfn.CEILING.MATH(F586*1.56)-1</f>
        <v>1123</v>
      </c>
    </row>
    <row r="587" spans="1:15" s="22" customFormat="1">
      <c r="A587" s="22">
        <v>371</v>
      </c>
      <c r="B587" s="22" t="s">
        <v>593</v>
      </c>
      <c r="C587" s="22" t="s">
        <v>1847</v>
      </c>
      <c r="E587" s="22">
        <v>1</v>
      </c>
      <c r="F587" s="22">
        <v>499.5</v>
      </c>
      <c r="G587" s="30">
        <f>IF(OR(M587="",O587="",M587=0),"",(M587-O587)/M587)</f>
        <v>0.22022022022022023</v>
      </c>
      <c r="H587" s="22">
        <v>499.5</v>
      </c>
      <c r="I587" s="22">
        <v>710</v>
      </c>
      <c r="J587" s="22">
        <v>1</v>
      </c>
      <c r="K587" s="22">
        <v>20</v>
      </c>
      <c r="L587" s="22">
        <v>18</v>
      </c>
      <c r="M587" s="22">
        <f>_xlfn.CEILING.MATH(F587*2)</f>
        <v>999</v>
      </c>
      <c r="N587" s="22">
        <f>H587*1.18</f>
        <v>589.41</v>
      </c>
      <c r="O587" s="22">
        <f>_xlfn.CEILING.MATH(F587*1.56)-1</f>
        <v>779</v>
      </c>
    </row>
    <row r="588" spans="1:15" s="22" customFormat="1">
      <c r="A588" s="22">
        <v>372</v>
      </c>
      <c r="B588" s="22" t="s">
        <v>594</v>
      </c>
      <c r="C588" s="22" t="s">
        <v>1848</v>
      </c>
      <c r="E588" s="22">
        <v>1</v>
      </c>
      <c r="F588" s="22">
        <v>885</v>
      </c>
      <c r="G588" s="30">
        <f>IF(OR(M588="",O588="",M588=0),"",(M588-O588)/M588)</f>
        <v>0.22033898305084745</v>
      </c>
      <c r="H588" s="22">
        <v>885</v>
      </c>
      <c r="I588" s="22">
        <v>693</v>
      </c>
      <c r="J588" s="22">
        <v>1</v>
      </c>
      <c r="K588" s="22">
        <v>20</v>
      </c>
      <c r="L588" s="22">
        <v>18</v>
      </c>
      <c r="M588" s="22">
        <f>_xlfn.CEILING.MATH(F588*2)</f>
        <v>1770</v>
      </c>
      <c r="N588" s="22">
        <f>H588*1.18</f>
        <v>1044.3</v>
      </c>
      <c r="O588" s="22">
        <f>_xlfn.CEILING.MATH(F588*1.56)-1</f>
        <v>1380</v>
      </c>
    </row>
    <row r="589" spans="1:15" s="22" customFormat="1">
      <c r="A589" s="22">
        <v>373</v>
      </c>
      <c r="B589" s="22" t="s">
        <v>595</v>
      </c>
      <c r="C589" s="22" t="s">
        <v>1849</v>
      </c>
      <c r="E589" s="22">
        <v>1</v>
      </c>
      <c r="F589" s="22">
        <v>630</v>
      </c>
      <c r="G589" s="30">
        <f>IF(OR(M589="",O589="",M589=0),"",(M589-O589)/M589)</f>
        <v>0.22063492063492063</v>
      </c>
      <c r="H589" s="22">
        <v>630</v>
      </c>
      <c r="I589" s="22">
        <v>664</v>
      </c>
      <c r="J589" s="22">
        <v>1</v>
      </c>
      <c r="K589" s="22">
        <v>20</v>
      </c>
      <c r="L589" s="22">
        <v>18</v>
      </c>
      <c r="M589" s="22">
        <f>_xlfn.CEILING.MATH(F589*2)</f>
        <v>1260</v>
      </c>
      <c r="N589" s="22">
        <f>H589*1.18</f>
        <v>743.4</v>
      </c>
      <c r="O589" s="22">
        <f>_xlfn.CEILING.MATH(F589*1.56)-1</f>
        <v>982</v>
      </c>
    </row>
    <row r="590" spans="1:15" s="22" customFormat="1">
      <c r="A590" s="22">
        <v>374</v>
      </c>
      <c r="B590" s="22" t="s">
        <v>596</v>
      </c>
      <c r="C590" s="22" t="s">
        <v>1850</v>
      </c>
      <c r="E590" s="22">
        <v>1</v>
      </c>
      <c r="F590" s="22">
        <v>1237.5</v>
      </c>
      <c r="G590" s="30">
        <f>IF(OR(M590="",O590="",M590=0),"",(M590-O590)/M590)</f>
        <v>0.2202020202020202</v>
      </c>
      <c r="H590" s="22">
        <v>1237.5</v>
      </c>
      <c r="I590" s="22">
        <v>991</v>
      </c>
      <c r="J590" s="22">
        <v>1</v>
      </c>
      <c r="K590" s="22">
        <v>8</v>
      </c>
      <c r="L590" s="22">
        <v>18</v>
      </c>
      <c r="M590" s="22">
        <f>_xlfn.CEILING.MATH(F590*2)</f>
        <v>2475</v>
      </c>
      <c r="N590" s="22">
        <f>H590*1.18</f>
        <v>1460.25</v>
      </c>
      <c r="O590" s="22">
        <f>_xlfn.CEILING.MATH(F590*1.56)-1</f>
        <v>1930</v>
      </c>
    </row>
    <row r="591" spans="1:15" s="22" customFormat="1">
      <c r="A591" s="22">
        <v>375</v>
      </c>
      <c r="B591" s="22" t="s">
        <v>597</v>
      </c>
      <c r="C591" s="22" t="s">
        <v>1851</v>
      </c>
      <c r="E591" s="22">
        <v>1</v>
      </c>
      <c r="F591" s="22">
        <v>847.5</v>
      </c>
      <c r="G591" s="30">
        <f>IF(OR(M591="",O591="",M591=0),"",(M591-O591)/M591)</f>
        <v>0.2200589970501475</v>
      </c>
      <c r="H591" s="22">
        <v>847.5</v>
      </c>
      <c r="I591" s="22">
        <v>1830</v>
      </c>
      <c r="J591" s="22">
        <v>1</v>
      </c>
      <c r="K591" s="22">
        <v>10</v>
      </c>
      <c r="L591" s="22">
        <v>18</v>
      </c>
      <c r="M591" s="22">
        <f>_xlfn.CEILING.MATH(F591*2)</f>
        <v>1695</v>
      </c>
      <c r="N591" s="22">
        <f>H591*1.18</f>
        <v>1000.05</v>
      </c>
      <c r="O591" s="22">
        <f>_xlfn.CEILING.MATH(F591*1.56)-1</f>
        <v>1322</v>
      </c>
    </row>
    <row r="592" spans="1:15" s="22" customFormat="1">
      <c r="A592" s="22">
        <v>376</v>
      </c>
      <c r="B592" s="22" t="s">
        <v>598</v>
      </c>
      <c r="C592" s="22" t="s">
        <v>1852</v>
      </c>
      <c r="E592" s="22">
        <v>1</v>
      </c>
      <c r="F592" s="22">
        <v>1845</v>
      </c>
      <c r="G592" s="30">
        <f>IF(OR(M592="",O592="",M592=0),"",(M592-O592)/M592)</f>
        <v>0.22005420054200542</v>
      </c>
      <c r="H592" s="22">
        <v>1845</v>
      </c>
      <c r="I592" s="22">
        <v>205</v>
      </c>
      <c r="J592" s="22">
        <v>1</v>
      </c>
      <c r="K592" s="22">
        <v>2</v>
      </c>
      <c r="L592" s="22">
        <v>18</v>
      </c>
      <c r="M592" s="22">
        <f>_xlfn.CEILING.MATH(F592*2)</f>
        <v>3690</v>
      </c>
      <c r="N592" s="22">
        <f>H592*1.18</f>
        <v>2177.1</v>
      </c>
      <c r="O592" s="22">
        <f>_xlfn.CEILING.MATH(F592*1.56)-1</f>
        <v>2878</v>
      </c>
    </row>
    <row r="593" spans="1:15" s="22" customFormat="1">
      <c r="A593" s="22">
        <v>377</v>
      </c>
      <c r="B593" s="22" t="s">
        <v>599</v>
      </c>
      <c r="C593" s="22" t="s">
        <v>1853</v>
      </c>
      <c r="E593" s="22">
        <v>1</v>
      </c>
      <c r="F593" s="22">
        <v>2520</v>
      </c>
      <c r="G593" s="30">
        <f>IF(OR(M593="",O593="",M593=0),"",(M593-O593)/M593)</f>
        <v>0.22003968253968254</v>
      </c>
      <c r="H593" s="22">
        <v>2520</v>
      </c>
      <c r="I593" s="22">
        <v>88</v>
      </c>
      <c r="J593" s="22">
        <v>1</v>
      </c>
      <c r="K593" s="22">
        <v>2</v>
      </c>
      <c r="L593" s="22">
        <v>18</v>
      </c>
      <c r="M593" s="22">
        <f>_xlfn.CEILING.MATH(F593*2)</f>
        <v>5040</v>
      </c>
      <c r="N593" s="22">
        <f>H593*1.18</f>
        <v>2973.6</v>
      </c>
      <c r="O593" s="22">
        <f>_xlfn.CEILING.MATH(F593*1.56)-1</f>
        <v>3931</v>
      </c>
    </row>
    <row r="594" spans="1:15" s="22" customFormat="1">
      <c r="A594" s="22">
        <v>378</v>
      </c>
      <c r="B594" s="22" t="s">
        <v>600</v>
      </c>
      <c r="C594" s="22" t="s">
        <v>1854</v>
      </c>
      <c r="E594" s="22">
        <v>1</v>
      </c>
      <c r="F594" s="22">
        <v>3433.5</v>
      </c>
      <c r="G594" s="30">
        <f>IF(OR(M594="",O594="",M594=0),"",(M594-O594)/M594)</f>
        <v>0.2200378622396971</v>
      </c>
      <c r="H594" s="22">
        <v>3433.5</v>
      </c>
      <c r="I594" s="22">
        <v>23</v>
      </c>
      <c r="J594" s="22">
        <v>1</v>
      </c>
      <c r="K594" s="22">
        <v>2</v>
      </c>
      <c r="L594" s="22">
        <v>18</v>
      </c>
      <c r="M594" s="22">
        <f>_xlfn.CEILING.MATH(F594*2)</f>
        <v>6867</v>
      </c>
      <c r="N594" s="22">
        <f>H594*1.18</f>
        <v>4051.5299999999997</v>
      </c>
      <c r="O594" s="22">
        <f>_xlfn.CEILING.MATH(F594*1.56)-1</f>
        <v>5356</v>
      </c>
    </row>
    <row r="595" spans="1:15" s="22" customFormat="1">
      <c r="A595" s="22">
        <v>379</v>
      </c>
      <c r="B595" s="22" t="s">
        <v>601</v>
      </c>
      <c r="C595" s="22" t="s">
        <v>1855</v>
      </c>
      <c r="E595" s="22">
        <v>1</v>
      </c>
      <c r="F595" s="22">
        <v>91.5</v>
      </c>
      <c r="G595" s="30">
        <f>IF(OR(M595="",O595="",M595=0),"",(M595-O595)/M595)</f>
        <v>0.22404371584699453</v>
      </c>
      <c r="H595" s="22">
        <v>91.5</v>
      </c>
      <c r="I595" s="22">
        <v>166</v>
      </c>
      <c r="J595" s="22">
        <v>10</v>
      </c>
      <c r="K595" s="22">
        <v>100</v>
      </c>
      <c r="L595" s="22">
        <v>18</v>
      </c>
      <c r="M595" s="22">
        <f>_xlfn.CEILING.MATH(F595*2)</f>
        <v>183</v>
      </c>
      <c r="N595" s="22">
        <f>H595*1.18</f>
        <v>107.97</v>
      </c>
      <c r="O595" s="22">
        <f>_xlfn.CEILING.MATH(F595*1.56)-1</f>
        <v>142</v>
      </c>
    </row>
    <row r="596" spans="1:15" s="22" customFormat="1">
      <c r="A596" s="22">
        <v>380</v>
      </c>
      <c r="B596" s="22" t="s">
        <v>602</v>
      </c>
      <c r="C596" s="22" t="s">
        <v>1856</v>
      </c>
      <c r="E596" s="22">
        <v>1</v>
      </c>
      <c r="F596" s="22">
        <v>91.5</v>
      </c>
      <c r="G596" s="30">
        <f>IF(OR(M596="",O596="",M596=0),"",(M596-O596)/M596)</f>
        <v>0.22404371584699453</v>
      </c>
      <c r="H596" s="22">
        <v>91.5</v>
      </c>
      <c r="I596" s="22">
        <v>102</v>
      </c>
      <c r="J596" s="22">
        <v>10</v>
      </c>
      <c r="K596" s="22">
        <v>100</v>
      </c>
      <c r="L596" s="22">
        <v>18</v>
      </c>
      <c r="M596" s="22">
        <f>_xlfn.CEILING.MATH(F596*2)</f>
        <v>183</v>
      </c>
      <c r="N596" s="22">
        <f>H596*1.18</f>
        <v>107.97</v>
      </c>
      <c r="O596" s="22">
        <f>_xlfn.CEILING.MATH(F596*1.56)-1</f>
        <v>142</v>
      </c>
    </row>
    <row r="597" spans="1:15" s="22" customFormat="1">
      <c r="A597" s="22">
        <v>381</v>
      </c>
      <c r="B597" s="22" t="s">
        <v>603</v>
      </c>
      <c r="C597" s="22" t="s">
        <v>1857</v>
      </c>
      <c r="E597" s="22">
        <v>1</v>
      </c>
      <c r="F597" s="22">
        <v>96</v>
      </c>
      <c r="G597" s="30">
        <f>IF(OR(M597="",O597="",M597=0),"",(M597-O597)/M597)</f>
        <v>0.22395833333333334</v>
      </c>
      <c r="H597" s="22">
        <v>96</v>
      </c>
      <c r="I597" s="22">
        <v>120</v>
      </c>
      <c r="J597" s="22">
        <v>10</v>
      </c>
      <c r="K597" s="22">
        <v>100</v>
      </c>
      <c r="L597" s="22">
        <v>18</v>
      </c>
      <c r="M597" s="22">
        <f>_xlfn.CEILING.MATH(F597*2)</f>
        <v>192</v>
      </c>
      <c r="N597" s="22">
        <f>H597*1.18</f>
        <v>113.28</v>
      </c>
      <c r="O597" s="22">
        <f>_xlfn.CEILING.MATH(F597*1.56)-1</f>
        <v>149</v>
      </c>
    </row>
    <row r="598" spans="1:15" s="22" customFormat="1">
      <c r="A598" s="22">
        <v>382</v>
      </c>
      <c r="B598" s="22" t="s">
        <v>604</v>
      </c>
      <c r="C598" s="22" t="s">
        <v>1858</v>
      </c>
      <c r="E598" s="22">
        <v>1</v>
      </c>
      <c r="F598" s="22">
        <v>111</v>
      </c>
      <c r="G598" s="30">
        <f>IF(OR(M598="",O598="",M598=0),"",(M598-O598)/M598)</f>
        <v>0.22072072072072071</v>
      </c>
      <c r="H598" s="22">
        <v>111</v>
      </c>
      <c r="I598" s="22">
        <v>3</v>
      </c>
      <c r="J598" s="22">
        <v>10</v>
      </c>
      <c r="K598" s="22">
        <v>100</v>
      </c>
      <c r="L598" s="22">
        <v>18</v>
      </c>
      <c r="M598" s="22">
        <f>_xlfn.CEILING.MATH(F598*2)</f>
        <v>222</v>
      </c>
      <c r="N598" s="22">
        <f>H598*1.18</f>
        <v>130.97999999999999</v>
      </c>
      <c r="O598" s="22">
        <f>_xlfn.CEILING.MATH(F598*1.56)-1</f>
        <v>173</v>
      </c>
    </row>
    <row r="599" spans="1:15" s="22" customFormat="1">
      <c r="A599" s="22">
        <v>383</v>
      </c>
      <c r="B599" s="22" t="s">
        <v>605</v>
      </c>
      <c r="C599" s="22" t="s">
        <v>1859</v>
      </c>
      <c r="E599" s="22">
        <v>1</v>
      </c>
      <c r="F599" s="22">
        <v>127.5</v>
      </c>
      <c r="G599" s="30">
        <f>IF(OR(M599="",O599="",M599=0),"",(M599-O599)/M599)</f>
        <v>0.22352941176470589</v>
      </c>
      <c r="H599" s="22">
        <v>127.5</v>
      </c>
      <c r="I599" s="22">
        <v>104</v>
      </c>
      <c r="J599" s="22">
        <v>10</v>
      </c>
      <c r="K599" s="22">
        <v>100</v>
      </c>
      <c r="L599" s="22">
        <v>18</v>
      </c>
      <c r="M599" s="22">
        <f>_xlfn.CEILING.MATH(F599*2)</f>
        <v>255</v>
      </c>
      <c r="N599" s="22">
        <f>H599*1.18</f>
        <v>150.44999999999999</v>
      </c>
      <c r="O599" s="22">
        <f>_xlfn.CEILING.MATH(F599*1.56)-1</f>
        <v>198</v>
      </c>
    </row>
    <row r="600" spans="1:15" s="22" customFormat="1">
      <c r="A600" s="22">
        <v>384</v>
      </c>
      <c r="B600" s="22" t="s">
        <v>606</v>
      </c>
      <c r="C600" s="22" t="s">
        <v>1860</v>
      </c>
      <c r="E600" s="22">
        <v>1</v>
      </c>
      <c r="F600" s="22">
        <v>142.5</v>
      </c>
      <c r="G600" s="30">
        <f>IF(OR(M600="",O600="",M600=0),"",(M600-O600)/M600)</f>
        <v>0.22105263157894736</v>
      </c>
      <c r="H600" s="22">
        <v>142.5</v>
      </c>
      <c r="I600" s="22">
        <v>380</v>
      </c>
      <c r="J600" s="22">
        <v>10</v>
      </c>
      <c r="K600" s="22">
        <v>100</v>
      </c>
      <c r="L600" s="22">
        <v>18</v>
      </c>
      <c r="M600" s="22">
        <f>_xlfn.CEILING.MATH(F600*2)</f>
        <v>285</v>
      </c>
      <c r="N600" s="22">
        <f>H600*1.18</f>
        <v>168.14999999999998</v>
      </c>
      <c r="O600" s="22">
        <f>_xlfn.CEILING.MATH(F600*1.56)-1</f>
        <v>222</v>
      </c>
    </row>
    <row r="601" spans="1:15" s="22" customFormat="1">
      <c r="A601" s="22">
        <v>385</v>
      </c>
      <c r="B601" s="22" t="s">
        <v>607</v>
      </c>
      <c r="C601" s="22" t="s">
        <v>1861</v>
      </c>
      <c r="E601" s="22">
        <v>1</v>
      </c>
      <c r="F601" s="22">
        <v>144</v>
      </c>
      <c r="G601" s="30">
        <f>IF(OR(M601="",O601="",M601=0),"",(M601-O601)/M601)</f>
        <v>0.22222222222222221</v>
      </c>
      <c r="H601" s="22">
        <v>144</v>
      </c>
      <c r="I601" s="22">
        <v>170</v>
      </c>
      <c r="J601" s="22">
        <v>10</v>
      </c>
      <c r="K601" s="22">
        <v>50</v>
      </c>
      <c r="L601" s="22">
        <v>18</v>
      </c>
      <c r="M601" s="22">
        <f>_xlfn.CEILING.MATH(F601*2)</f>
        <v>288</v>
      </c>
      <c r="N601" s="22">
        <f>H601*1.18</f>
        <v>169.92</v>
      </c>
      <c r="O601" s="22">
        <f>_xlfn.CEILING.MATH(F601*1.56)-1</f>
        <v>224</v>
      </c>
    </row>
    <row r="602" spans="1:15" s="22" customFormat="1">
      <c r="A602" s="22">
        <v>386</v>
      </c>
      <c r="B602" s="22" t="s">
        <v>608</v>
      </c>
      <c r="C602" s="22" t="s">
        <v>1862</v>
      </c>
      <c r="E602" s="22">
        <v>1</v>
      </c>
      <c r="F602" s="22">
        <v>175.5</v>
      </c>
      <c r="G602" s="30">
        <f>IF(OR(M602="",O602="",M602=0),"",(M602-O602)/M602)</f>
        <v>0.22222222222222221</v>
      </c>
      <c r="H602" s="22">
        <v>175.5</v>
      </c>
      <c r="I602" s="22">
        <v>420</v>
      </c>
      <c r="J602" s="22">
        <v>10</v>
      </c>
      <c r="K602" s="22">
        <v>50</v>
      </c>
      <c r="L602" s="22">
        <v>18</v>
      </c>
      <c r="M602" s="22">
        <f>_xlfn.CEILING.MATH(F602*2)</f>
        <v>351</v>
      </c>
      <c r="N602" s="22">
        <f>H602*1.18</f>
        <v>207.08999999999997</v>
      </c>
      <c r="O602" s="22">
        <f>_xlfn.CEILING.MATH(F602*1.56)-1</f>
        <v>273</v>
      </c>
    </row>
    <row r="603" spans="1:15" s="22" customFormat="1">
      <c r="A603" s="22">
        <v>387</v>
      </c>
      <c r="B603" s="22" t="s">
        <v>609</v>
      </c>
      <c r="C603" s="22" t="s">
        <v>1863</v>
      </c>
      <c r="E603" s="22">
        <v>1</v>
      </c>
      <c r="F603" s="22">
        <v>175.5</v>
      </c>
      <c r="G603" s="30">
        <f>IF(OR(M603="",O603="",M603=0),"",(M603-O603)/M603)</f>
        <v>0.22222222222222221</v>
      </c>
      <c r="H603" s="22">
        <v>175.5</v>
      </c>
      <c r="I603" s="22">
        <v>94</v>
      </c>
      <c r="J603" s="22">
        <v>10</v>
      </c>
      <c r="K603" s="22">
        <v>50</v>
      </c>
      <c r="L603" s="22">
        <v>18</v>
      </c>
      <c r="M603" s="22">
        <f>_xlfn.CEILING.MATH(F603*2)</f>
        <v>351</v>
      </c>
      <c r="N603" s="22">
        <f>H603*1.18</f>
        <v>207.08999999999997</v>
      </c>
      <c r="O603" s="22">
        <f>_xlfn.CEILING.MATH(F603*1.56)-1</f>
        <v>273</v>
      </c>
    </row>
    <row r="604" spans="1:15" s="22" customFormat="1">
      <c r="A604" s="22">
        <v>388</v>
      </c>
      <c r="B604" s="22" t="s">
        <v>1864</v>
      </c>
      <c r="C604" s="22" t="s">
        <v>1865</v>
      </c>
      <c r="E604" s="22">
        <v>1</v>
      </c>
      <c r="F604" s="22">
        <v>237</v>
      </c>
      <c r="G604" s="30">
        <f>IF(OR(M604="",O604="",M604=0),"",(M604-O604)/M604)</f>
        <v>0.22151898734177214</v>
      </c>
      <c r="H604" s="22">
        <v>237</v>
      </c>
      <c r="I604" s="22">
        <v>482</v>
      </c>
      <c r="J604" s="22">
        <v>0</v>
      </c>
      <c r="L604" s="22">
        <v>18</v>
      </c>
      <c r="M604" s="22">
        <f>_xlfn.CEILING.MATH(F604*2)</f>
        <v>474</v>
      </c>
      <c r="N604" s="22">
        <f>H604*1.18</f>
        <v>279.65999999999997</v>
      </c>
      <c r="O604" s="22">
        <f>_xlfn.CEILING.MATH(F604*1.56)-1</f>
        <v>369</v>
      </c>
    </row>
    <row r="605" spans="1:15" s="22" customFormat="1">
      <c r="A605" s="22">
        <v>389</v>
      </c>
      <c r="B605" s="22" t="s">
        <v>610</v>
      </c>
      <c r="C605" s="22" t="s">
        <v>1866</v>
      </c>
      <c r="E605" s="22">
        <v>1</v>
      </c>
      <c r="F605" s="22">
        <v>252</v>
      </c>
      <c r="G605" s="30">
        <f>IF(OR(M605="",O605="",M605=0),"",(M605-O605)/M605)</f>
        <v>0.22023809523809523</v>
      </c>
      <c r="H605" s="22">
        <v>252</v>
      </c>
      <c r="I605" s="22">
        <v>403</v>
      </c>
      <c r="J605" s="22">
        <v>5</v>
      </c>
      <c r="K605" s="22">
        <v>50</v>
      </c>
      <c r="L605" s="22">
        <v>18</v>
      </c>
      <c r="M605" s="22">
        <f>_xlfn.CEILING.MATH(F605*2)</f>
        <v>504</v>
      </c>
      <c r="N605" s="22">
        <f>H605*1.18</f>
        <v>297.35999999999996</v>
      </c>
      <c r="O605" s="22">
        <f>_xlfn.CEILING.MATH(F605*1.56)-1</f>
        <v>393</v>
      </c>
    </row>
    <row r="606" spans="1:15" s="22" customFormat="1">
      <c r="A606" s="22">
        <v>390</v>
      </c>
      <c r="B606" s="22" t="s">
        <v>611</v>
      </c>
      <c r="C606" s="22" t="s">
        <v>1867</v>
      </c>
      <c r="E606" s="22">
        <v>1</v>
      </c>
      <c r="F606" s="22">
        <v>1500</v>
      </c>
      <c r="G606" s="30">
        <f>IF(OR(M606="",O606="",M606=0),"",(M606-O606)/M606)</f>
        <v>0.22033333333333333</v>
      </c>
      <c r="H606" s="22">
        <v>1500</v>
      </c>
      <c r="I606" s="22">
        <v>32</v>
      </c>
      <c r="J606" s="22">
        <v>1</v>
      </c>
      <c r="K606" s="22">
        <v>5</v>
      </c>
      <c r="L606" s="22">
        <v>18</v>
      </c>
      <c r="M606" s="22">
        <f>_xlfn.CEILING.MATH(F606*2)</f>
        <v>3000</v>
      </c>
      <c r="N606" s="22">
        <f>H606*1.18</f>
        <v>1770</v>
      </c>
      <c r="O606" s="22">
        <f>_xlfn.CEILING.MATH(F606*1.56)-1</f>
        <v>2339</v>
      </c>
    </row>
    <row r="607" spans="1:15" s="22" customFormat="1">
      <c r="A607" s="22">
        <v>391</v>
      </c>
      <c r="B607" s="22" t="s">
        <v>612</v>
      </c>
      <c r="C607" s="22" t="s">
        <v>1868</v>
      </c>
      <c r="E607" s="22">
        <v>1</v>
      </c>
      <c r="F607" s="22">
        <v>1860</v>
      </c>
      <c r="G607" s="30">
        <f>IF(OR(M607="",O607="",M607=0),"",(M607-O607)/M607)</f>
        <v>0.22016129032258064</v>
      </c>
      <c r="H607" s="22">
        <v>1860</v>
      </c>
      <c r="I607" s="22">
        <v>12</v>
      </c>
      <c r="J607" s="22">
        <v>1</v>
      </c>
      <c r="K607" s="22">
        <v>5</v>
      </c>
      <c r="L607" s="22">
        <v>18</v>
      </c>
      <c r="M607" s="22">
        <f>_xlfn.CEILING.MATH(F607*2)</f>
        <v>3720</v>
      </c>
      <c r="N607" s="22">
        <f>H607*1.18</f>
        <v>2194.7999999999997</v>
      </c>
      <c r="O607" s="22">
        <f>_xlfn.CEILING.MATH(F607*1.56)-1</f>
        <v>2901</v>
      </c>
    </row>
    <row r="608" spans="1:15" s="22" customFormat="1">
      <c r="A608" s="22">
        <v>392</v>
      </c>
      <c r="B608" s="22" t="s">
        <v>613</v>
      </c>
      <c r="C608" s="22" t="s">
        <v>1869</v>
      </c>
      <c r="E608" s="22">
        <v>1</v>
      </c>
      <c r="F608" s="22">
        <v>177</v>
      </c>
      <c r="G608" s="30">
        <f>IF(OR(M608="",O608="",M608=0),"",(M608-O608)/M608)</f>
        <v>0.22033898305084745</v>
      </c>
      <c r="H608" s="22">
        <v>177</v>
      </c>
      <c r="I608" s="22">
        <v>501</v>
      </c>
      <c r="J608" s="22">
        <v>1</v>
      </c>
      <c r="K608" s="22">
        <v>25</v>
      </c>
      <c r="L608" s="22">
        <v>18</v>
      </c>
      <c r="M608" s="22">
        <f>_xlfn.CEILING.MATH(F608*2)</f>
        <v>354</v>
      </c>
      <c r="N608" s="22">
        <f>H608*1.18</f>
        <v>208.85999999999999</v>
      </c>
      <c r="O608" s="22">
        <f>_xlfn.CEILING.MATH(F608*1.56)-1</f>
        <v>276</v>
      </c>
    </row>
    <row r="609" spans="1:15" s="22" customFormat="1">
      <c r="A609" s="22">
        <v>393</v>
      </c>
      <c r="B609" s="22" t="s">
        <v>614</v>
      </c>
      <c r="C609" s="22" t="s">
        <v>1870</v>
      </c>
      <c r="E609" s="22">
        <v>1</v>
      </c>
      <c r="F609" s="22">
        <v>258</v>
      </c>
      <c r="G609" s="30">
        <f>IF(OR(M609="",O609="",M609=0),"",(M609-O609)/M609)</f>
        <v>0.22093023255813954</v>
      </c>
      <c r="H609" s="22">
        <v>258</v>
      </c>
      <c r="I609" s="22">
        <v>88</v>
      </c>
      <c r="J609" s="22">
        <v>1</v>
      </c>
      <c r="K609" s="22">
        <v>20</v>
      </c>
      <c r="L609" s="22">
        <v>18</v>
      </c>
      <c r="M609" s="22">
        <f>_xlfn.CEILING.MATH(F609*2)</f>
        <v>516</v>
      </c>
      <c r="N609" s="22">
        <f>H609*1.18</f>
        <v>304.44</v>
      </c>
      <c r="O609" s="22">
        <f>_xlfn.CEILING.MATH(F609*1.56)-1</f>
        <v>402</v>
      </c>
    </row>
    <row r="610" spans="1:15" s="22" customFormat="1">
      <c r="A610" s="22">
        <v>394</v>
      </c>
      <c r="B610" s="22" t="s">
        <v>615</v>
      </c>
      <c r="C610" s="22" t="s">
        <v>1871</v>
      </c>
      <c r="E610" s="22">
        <v>1</v>
      </c>
      <c r="F610" s="22">
        <v>322.5</v>
      </c>
      <c r="G610" s="30">
        <f>IF(OR(M610="",O610="",M610=0),"",(M610-O610)/M610)</f>
        <v>0.22015503875968992</v>
      </c>
      <c r="H610" s="22">
        <v>322.5</v>
      </c>
      <c r="I610" s="22">
        <v>145</v>
      </c>
      <c r="J610" s="22">
        <v>1</v>
      </c>
      <c r="K610" s="22">
        <v>20</v>
      </c>
      <c r="L610" s="22">
        <v>18</v>
      </c>
      <c r="M610" s="22">
        <f>_xlfn.CEILING.MATH(F610*2)</f>
        <v>645</v>
      </c>
      <c r="N610" s="22">
        <f>H610*1.18</f>
        <v>380.54999999999995</v>
      </c>
      <c r="O610" s="22">
        <f>_xlfn.CEILING.MATH(F610*1.56)-1</f>
        <v>503</v>
      </c>
    </row>
    <row r="611" spans="1:15" s="22" customFormat="1">
      <c r="A611" s="22">
        <v>395</v>
      </c>
      <c r="B611" s="22" t="s">
        <v>616</v>
      </c>
      <c r="C611" s="22" t="s">
        <v>1872</v>
      </c>
      <c r="E611" s="22">
        <v>1</v>
      </c>
      <c r="F611" s="22">
        <v>472.5</v>
      </c>
      <c r="G611" s="30">
        <f>IF(OR(M611="",O611="",M611=0),"",(M611-O611)/M611)</f>
        <v>0.22010582010582011</v>
      </c>
      <c r="H611" s="22">
        <v>472.5</v>
      </c>
      <c r="I611" s="22">
        <v>217</v>
      </c>
      <c r="J611" s="22">
        <v>1</v>
      </c>
      <c r="K611" s="22">
        <v>10</v>
      </c>
      <c r="L611" s="22">
        <v>18</v>
      </c>
      <c r="M611" s="22">
        <f>_xlfn.CEILING.MATH(F611*2)</f>
        <v>945</v>
      </c>
      <c r="N611" s="22">
        <f>H611*1.18</f>
        <v>557.54999999999995</v>
      </c>
      <c r="O611" s="22">
        <f>_xlfn.CEILING.MATH(F611*1.56)-1</f>
        <v>737</v>
      </c>
    </row>
    <row r="612" spans="1:15" s="22" customFormat="1">
      <c r="A612" s="22">
        <v>396</v>
      </c>
      <c r="B612" s="22" t="s">
        <v>617</v>
      </c>
      <c r="C612" s="22" t="s">
        <v>1873</v>
      </c>
      <c r="E612" s="22">
        <v>1</v>
      </c>
      <c r="F612" s="22">
        <v>795.5</v>
      </c>
      <c r="G612" s="30">
        <f>IF(OR(M612="",O612="",M612=0),"",(M612-O612)/M612)</f>
        <v>0.22061596480201132</v>
      </c>
      <c r="H612" s="22">
        <v>795.5</v>
      </c>
      <c r="I612" s="22">
        <v>91</v>
      </c>
      <c r="J612" s="22">
        <v>1</v>
      </c>
      <c r="K612" s="22">
        <v>10</v>
      </c>
      <c r="L612" s="22">
        <v>18</v>
      </c>
      <c r="M612" s="22">
        <f>_xlfn.CEILING.MATH(F612*2)</f>
        <v>1591</v>
      </c>
      <c r="N612" s="22">
        <f>H612*1.18</f>
        <v>938.68999999999994</v>
      </c>
      <c r="O612" s="22">
        <f>_xlfn.CEILING.MATH(F612*1.56)-1</f>
        <v>1240</v>
      </c>
    </row>
    <row r="613" spans="1:15" s="22" customFormat="1">
      <c r="A613" s="22">
        <v>397</v>
      </c>
      <c r="B613" s="22" t="s">
        <v>618</v>
      </c>
      <c r="C613" s="22" t="s">
        <v>1874</v>
      </c>
      <c r="E613" s="22">
        <v>1</v>
      </c>
      <c r="F613" s="22">
        <v>82.5</v>
      </c>
      <c r="G613" s="30">
        <f>IF(OR(M613="",O613="",M613=0),"",(M613-O613)/M613)</f>
        <v>0.22424242424242424</v>
      </c>
      <c r="H613" s="22">
        <v>82.5</v>
      </c>
      <c r="I613" s="22">
        <v>0</v>
      </c>
      <c r="J613" s="22">
        <v>5</v>
      </c>
      <c r="K613" s="22">
        <v>100</v>
      </c>
      <c r="L613" s="22">
        <v>18</v>
      </c>
      <c r="M613" s="22">
        <f>_xlfn.CEILING.MATH(F613*2)</f>
        <v>165</v>
      </c>
      <c r="N613" s="22">
        <f>H613*1.18</f>
        <v>97.35</v>
      </c>
      <c r="O613" s="22">
        <f>_xlfn.CEILING.MATH(F613*1.56)-1</f>
        <v>128</v>
      </c>
    </row>
    <row r="614" spans="1:15" s="22" customFormat="1">
      <c r="A614" s="22">
        <v>398</v>
      </c>
      <c r="B614" s="22" t="s">
        <v>619</v>
      </c>
      <c r="C614" s="22" t="s">
        <v>1875</v>
      </c>
      <c r="E614" s="22">
        <v>1</v>
      </c>
      <c r="F614" s="22">
        <v>162</v>
      </c>
      <c r="G614" s="30">
        <f>IF(OR(M614="",O614="",M614=0),"",(M614-O614)/M614)</f>
        <v>0.22222222222222221</v>
      </c>
      <c r="H614" s="22">
        <v>162</v>
      </c>
      <c r="I614" s="22">
        <v>2</v>
      </c>
      <c r="J614" s="22">
        <v>1</v>
      </c>
      <c r="K614" s="22">
        <v>20</v>
      </c>
      <c r="L614" s="22">
        <v>18</v>
      </c>
      <c r="M614" s="22">
        <f>_xlfn.CEILING.MATH(F614*2)</f>
        <v>324</v>
      </c>
      <c r="N614" s="22">
        <f>H614*1.18</f>
        <v>191.16</v>
      </c>
      <c r="O614" s="22">
        <f>_xlfn.CEILING.MATH(F614*1.56)-1</f>
        <v>252</v>
      </c>
    </row>
    <row r="615" spans="1:15" s="22" customFormat="1">
      <c r="A615" s="22">
        <v>399</v>
      </c>
      <c r="B615" s="22" t="s">
        <v>620</v>
      </c>
      <c r="C615" s="22" t="s">
        <v>1876</v>
      </c>
      <c r="E615" s="22">
        <v>1</v>
      </c>
      <c r="F615" s="22">
        <v>234</v>
      </c>
      <c r="G615" s="30">
        <f>IF(OR(M615="",O615="",M615=0),"",(M615-O615)/M615)</f>
        <v>0.22008547008547008</v>
      </c>
      <c r="H615" s="22">
        <v>234</v>
      </c>
      <c r="I615" s="22">
        <v>178</v>
      </c>
      <c r="J615" s="22">
        <v>1</v>
      </c>
      <c r="K615" s="22">
        <v>20</v>
      </c>
      <c r="L615" s="22">
        <v>18</v>
      </c>
      <c r="M615" s="22">
        <f>_xlfn.CEILING.MATH(F615*2)</f>
        <v>468</v>
      </c>
      <c r="N615" s="22">
        <f>H615*1.18</f>
        <v>276.12</v>
      </c>
      <c r="O615" s="22">
        <f>_xlfn.CEILING.MATH(F615*1.56)-1</f>
        <v>365</v>
      </c>
    </row>
    <row r="616" spans="1:15" s="22" customFormat="1">
      <c r="A616" s="22">
        <v>400</v>
      </c>
      <c r="B616" s="22" t="s">
        <v>621</v>
      </c>
      <c r="C616" s="22" t="s">
        <v>1877</v>
      </c>
      <c r="E616" s="22">
        <v>1</v>
      </c>
      <c r="F616" s="22">
        <v>375</v>
      </c>
      <c r="G616" s="30">
        <f>IF(OR(M616="",O616="",M616=0),"",(M616-O616)/M616)</f>
        <v>0.22133333333333333</v>
      </c>
      <c r="H616" s="22">
        <v>375</v>
      </c>
      <c r="I616" s="22">
        <v>396</v>
      </c>
      <c r="J616" s="22">
        <v>1</v>
      </c>
      <c r="K616" s="22">
        <v>15</v>
      </c>
      <c r="L616" s="22">
        <v>18</v>
      </c>
      <c r="M616" s="22">
        <f>_xlfn.CEILING.MATH(F616*2)</f>
        <v>750</v>
      </c>
      <c r="N616" s="22">
        <f>H616*1.18</f>
        <v>442.5</v>
      </c>
      <c r="O616" s="22">
        <f>_xlfn.CEILING.MATH(F616*1.56)-1</f>
        <v>584</v>
      </c>
    </row>
    <row r="617" spans="1:15" s="22" customFormat="1">
      <c r="A617" s="22">
        <v>401</v>
      </c>
      <c r="B617" s="22" t="s">
        <v>623</v>
      </c>
      <c r="C617" s="22" t="s">
        <v>1878</v>
      </c>
      <c r="E617" s="22">
        <v>1</v>
      </c>
      <c r="F617" s="22">
        <v>543</v>
      </c>
      <c r="G617" s="30">
        <f>IF(OR(M617="",O617="",M617=0),"",(M617-O617)/M617)</f>
        <v>0.22007366482504603</v>
      </c>
      <c r="H617" s="22">
        <v>543</v>
      </c>
      <c r="I617" s="22">
        <v>0</v>
      </c>
      <c r="J617" s="22">
        <v>1</v>
      </c>
      <c r="K617" s="22">
        <v>10</v>
      </c>
      <c r="L617" s="22">
        <v>18</v>
      </c>
      <c r="M617" s="22">
        <f>_xlfn.CEILING.MATH(F617*2)</f>
        <v>1086</v>
      </c>
      <c r="N617" s="22">
        <f>H617*1.18</f>
        <v>640.74</v>
      </c>
      <c r="O617" s="22">
        <f>_xlfn.CEILING.MATH(F617*1.56)-1</f>
        <v>847</v>
      </c>
    </row>
    <row r="618" spans="1:15" s="22" customFormat="1">
      <c r="A618" s="22">
        <v>402</v>
      </c>
      <c r="B618" s="22" t="s">
        <v>622</v>
      </c>
      <c r="C618" s="22" t="s">
        <v>1878</v>
      </c>
      <c r="E618" s="22">
        <v>1</v>
      </c>
      <c r="F618" s="22">
        <v>543</v>
      </c>
      <c r="G618" s="30">
        <f>IF(OR(M618="",O618="",M618=0),"",(M618-O618)/M618)</f>
        <v>0.22007366482504603</v>
      </c>
      <c r="H618" s="22">
        <v>543</v>
      </c>
      <c r="I618" s="22">
        <v>0</v>
      </c>
      <c r="J618" s="22">
        <v>1</v>
      </c>
      <c r="K618" s="22">
        <v>10</v>
      </c>
      <c r="L618" s="22">
        <v>18</v>
      </c>
      <c r="M618" s="22">
        <f>_xlfn.CEILING.MATH(F618*2)</f>
        <v>1086</v>
      </c>
      <c r="N618" s="22">
        <f>H618*1.18</f>
        <v>640.74</v>
      </c>
      <c r="O618" s="22">
        <f>_xlfn.CEILING.MATH(F618*1.56)-1</f>
        <v>847</v>
      </c>
    </row>
    <row r="619" spans="1:15" s="22" customFormat="1">
      <c r="A619" s="22">
        <v>403</v>
      </c>
      <c r="B619" s="22" t="s">
        <v>624</v>
      </c>
      <c r="C619" s="22" t="s">
        <v>1878</v>
      </c>
      <c r="E619" s="22">
        <v>1</v>
      </c>
      <c r="F619" s="22">
        <v>585</v>
      </c>
      <c r="G619" s="30">
        <f>IF(OR(M619="",O619="",M619=0),"",(M619-O619)/M619)</f>
        <v>0.22051282051282051</v>
      </c>
      <c r="H619" s="22">
        <v>585</v>
      </c>
      <c r="I619" s="22">
        <v>18</v>
      </c>
      <c r="J619" s="22">
        <v>1</v>
      </c>
      <c r="K619" s="22">
        <v>10</v>
      </c>
      <c r="L619" s="22">
        <v>18</v>
      </c>
      <c r="M619" s="22">
        <f>_xlfn.CEILING.MATH(F619*2)</f>
        <v>1170</v>
      </c>
      <c r="N619" s="22">
        <f>H619*1.18</f>
        <v>690.3</v>
      </c>
      <c r="O619" s="22">
        <f>_xlfn.CEILING.MATH(F619*1.56)-1</f>
        <v>912</v>
      </c>
    </row>
    <row r="620" spans="1:15" s="22" customFormat="1">
      <c r="A620" s="22">
        <v>404</v>
      </c>
      <c r="B620" s="22" t="s">
        <v>625</v>
      </c>
      <c r="C620" s="22" t="s">
        <v>1879</v>
      </c>
      <c r="E620" s="22">
        <v>1</v>
      </c>
      <c r="F620" s="22">
        <v>1785</v>
      </c>
      <c r="G620" s="30">
        <f>IF(OR(M620="",O620="",M620=0),"",(M620-O620)/M620)</f>
        <v>0.22016806722689075</v>
      </c>
      <c r="H620" s="22">
        <v>1785</v>
      </c>
      <c r="I620" s="22">
        <v>144</v>
      </c>
      <c r="J620" s="22">
        <v>1</v>
      </c>
      <c r="K620" s="22">
        <v>4</v>
      </c>
      <c r="L620" s="22">
        <v>18</v>
      </c>
      <c r="M620" s="22">
        <f>_xlfn.CEILING.MATH(F620*2)</f>
        <v>3570</v>
      </c>
      <c r="N620" s="22">
        <f>H620*1.18</f>
        <v>2106.2999999999997</v>
      </c>
      <c r="O620" s="22">
        <f>_xlfn.CEILING.MATH(F620*1.56)-1</f>
        <v>2784</v>
      </c>
    </row>
    <row r="621" spans="1:15" s="22" customFormat="1">
      <c r="A621" s="22">
        <v>405</v>
      </c>
      <c r="B621" s="22" t="s">
        <v>626</v>
      </c>
      <c r="C621" s="22" t="s">
        <v>1880</v>
      </c>
      <c r="E621" s="22">
        <v>1</v>
      </c>
      <c r="F621" s="22">
        <v>2100</v>
      </c>
      <c r="G621" s="30">
        <f>IF(OR(M621="",O621="",M621=0),"",(M621-O621)/M621)</f>
        <v>0.22023809523809523</v>
      </c>
      <c r="H621" s="22">
        <v>2100</v>
      </c>
      <c r="I621" s="22">
        <v>1</v>
      </c>
      <c r="J621" s="22">
        <v>1</v>
      </c>
      <c r="K621" s="22">
        <v>4</v>
      </c>
      <c r="L621" s="22">
        <v>18</v>
      </c>
      <c r="M621" s="22">
        <f>_xlfn.CEILING.MATH(F621*2)</f>
        <v>4200</v>
      </c>
      <c r="N621" s="22">
        <f>H621*1.18</f>
        <v>2478</v>
      </c>
      <c r="O621" s="22">
        <f>_xlfn.CEILING.MATH(F621*1.56)-1</f>
        <v>3275</v>
      </c>
    </row>
    <row r="622" spans="1:15" s="22" customFormat="1">
      <c r="A622" s="22">
        <v>406</v>
      </c>
      <c r="B622" s="22" t="s">
        <v>627</v>
      </c>
      <c r="C622" s="22" t="s">
        <v>1881</v>
      </c>
      <c r="E622" s="22">
        <v>1</v>
      </c>
      <c r="F622" s="22">
        <v>19</v>
      </c>
      <c r="G622" s="30">
        <f>IF(OR(M622="",O622="",M622=0),"",(M622-O622)/M622)</f>
        <v>0.23684210526315788</v>
      </c>
      <c r="H622" s="22">
        <v>19</v>
      </c>
      <c r="I622" s="22">
        <v>1654</v>
      </c>
      <c r="J622" s="22">
        <v>10</v>
      </c>
      <c r="K622" s="22">
        <v>700</v>
      </c>
      <c r="L622" s="22">
        <v>18</v>
      </c>
      <c r="M622" s="22">
        <f>_xlfn.CEILING.MATH(F622*2)</f>
        <v>38</v>
      </c>
      <c r="N622" s="22">
        <f>H622*1.18</f>
        <v>22.419999999999998</v>
      </c>
      <c r="O622" s="22">
        <f>_xlfn.CEILING.MATH(F622*1.56)-1</f>
        <v>29</v>
      </c>
    </row>
    <row r="623" spans="1:15" s="22" customFormat="1">
      <c r="A623" s="22">
        <v>407</v>
      </c>
      <c r="B623" s="22" t="s">
        <v>628</v>
      </c>
      <c r="C623" s="22" t="s">
        <v>1882</v>
      </c>
      <c r="E623" s="22">
        <v>1</v>
      </c>
      <c r="F623" s="22">
        <v>21</v>
      </c>
      <c r="G623" s="30">
        <f>IF(OR(M623="",O623="",M623=0),"",(M623-O623)/M623)</f>
        <v>0.23809523809523808</v>
      </c>
      <c r="H623" s="22">
        <v>21</v>
      </c>
      <c r="I623" s="22">
        <v>2465</v>
      </c>
      <c r="J623" s="22">
        <v>10</v>
      </c>
      <c r="K623" s="22">
        <v>700</v>
      </c>
      <c r="L623" s="22">
        <v>18</v>
      </c>
      <c r="M623" s="22">
        <f>_xlfn.CEILING.MATH(F623*2)</f>
        <v>42</v>
      </c>
      <c r="N623" s="22">
        <f>H623*1.18</f>
        <v>24.779999999999998</v>
      </c>
      <c r="O623" s="22">
        <f>_xlfn.CEILING.MATH(F623*1.56)-1</f>
        <v>32</v>
      </c>
    </row>
    <row r="624" spans="1:15" s="22" customFormat="1">
      <c r="A624" s="22">
        <v>408</v>
      </c>
      <c r="B624" s="22" t="s">
        <v>629</v>
      </c>
      <c r="C624" s="22" t="s">
        <v>1883</v>
      </c>
      <c r="E624" s="22">
        <v>1</v>
      </c>
      <c r="F624" s="22">
        <v>21</v>
      </c>
      <c r="G624" s="30">
        <f>IF(OR(M624="",O624="",M624=0),"",(M624-O624)/M624)</f>
        <v>0.23809523809523808</v>
      </c>
      <c r="H624" s="22">
        <v>21</v>
      </c>
      <c r="I624" s="22">
        <v>2263</v>
      </c>
      <c r="J624" s="22">
        <v>10</v>
      </c>
      <c r="K624" s="22">
        <v>600</v>
      </c>
      <c r="L624" s="22">
        <v>18</v>
      </c>
      <c r="M624" s="22">
        <f>_xlfn.CEILING.MATH(F624*2)</f>
        <v>42</v>
      </c>
      <c r="N624" s="22">
        <f>H624*1.18</f>
        <v>24.779999999999998</v>
      </c>
      <c r="O624" s="22">
        <f>_xlfn.CEILING.MATH(F624*1.56)-1</f>
        <v>32</v>
      </c>
    </row>
    <row r="625" spans="1:15" s="22" customFormat="1">
      <c r="A625" s="22">
        <v>409</v>
      </c>
      <c r="B625" s="22" t="s">
        <v>630</v>
      </c>
      <c r="C625" s="22" t="s">
        <v>1884</v>
      </c>
      <c r="E625" s="22">
        <v>1</v>
      </c>
      <c r="F625" s="22">
        <v>21.5</v>
      </c>
      <c r="G625" s="30">
        <f>IF(OR(M625="",O625="",M625=0),"",(M625-O625)/M625)</f>
        <v>0.23255813953488372</v>
      </c>
      <c r="H625" s="22">
        <v>21.5</v>
      </c>
      <c r="I625" s="22">
        <v>707</v>
      </c>
      <c r="J625" s="22">
        <v>10</v>
      </c>
      <c r="K625" s="22">
        <v>600</v>
      </c>
      <c r="L625" s="22">
        <v>18</v>
      </c>
      <c r="M625" s="22">
        <f>_xlfn.CEILING.MATH(F625*2)</f>
        <v>43</v>
      </c>
      <c r="N625" s="22">
        <f>H625*1.18</f>
        <v>25.369999999999997</v>
      </c>
      <c r="O625" s="22">
        <f>_xlfn.CEILING.MATH(F625*1.56)-1</f>
        <v>33</v>
      </c>
    </row>
    <row r="626" spans="1:15" s="22" customFormat="1">
      <c r="A626" s="22">
        <v>410</v>
      </c>
      <c r="B626" s="22" t="s">
        <v>631</v>
      </c>
      <c r="C626" s="22" t="s">
        <v>1885</v>
      </c>
      <c r="E626" s="22">
        <v>1</v>
      </c>
      <c r="F626" s="22">
        <v>22.5</v>
      </c>
      <c r="G626" s="30">
        <f>IF(OR(M626="",O626="",M626=0),"",(M626-O626)/M626)</f>
        <v>0.22222222222222221</v>
      </c>
      <c r="H626" s="22">
        <v>22.5</v>
      </c>
      <c r="I626" s="22">
        <v>5080</v>
      </c>
      <c r="J626" s="22">
        <v>10</v>
      </c>
      <c r="K626" s="22">
        <v>500</v>
      </c>
      <c r="L626" s="22">
        <v>18</v>
      </c>
      <c r="M626" s="22">
        <f>_xlfn.CEILING.MATH(F626*2)</f>
        <v>45</v>
      </c>
      <c r="N626" s="22">
        <f>H626*1.18</f>
        <v>26.549999999999997</v>
      </c>
      <c r="O626" s="22">
        <f>_xlfn.CEILING.MATH(F626*1.56)-1</f>
        <v>35</v>
      </c>
    </row>
    <row r="627" spans="1:15" s="22" customFormat="1">
      <c r="A627" s="22">
        <v>411</v>
      </c>
      <c r="B627" s="22" t="s">
        <v>632</v>
      </c>
      <c r="C627" s="22" t="s">
        <v>1886</v>
      </c>
      <c r="E627" s="22">
        <v>1</v>
      </c>
      <c r="F627" s="22">
        <v>24.5</v>
      </c>
      <c r="G627" s="30">
        <f>IF(OR(M627="",O627="",M627=0),"",(M627-O627)/M627)</f>
        <v>0.22448979591836735</v>
      </c>
      <c r="H627" s="22">
        <v>24.5</v>
      </c>
      <c r="I627" s="22">
        <v>1764</v>
      </c>
      <c r="J627" s="22">
        <v>10</v>
      </c>
      <c r="K627" s="22">
        <v>400</v>
      </c>
      <c r="L627" s="22">
        <v>18</v>
      </c>
      <c r="M627" s="22">
        <f>_xlfn.CEILING.MATH(F627*2)</f>
        <v>49</v>
      </c>
      <c r="N627" s="22">
        <f>H627*1.18</f>
        <v>28.91</v>
      </c>
      <c r="O627" s="22">
        <f>_xlfn.CEILING.MATH(F627*1.56)-1</f>
        <v>38</v>
      </c>
    </row>
    <row r="628" spans="1:15" s="22" customFormat="1">
      <c r="A628" s="22">
        <v>412</v>
      </c>
      <c r="B628" s="22" t="s">
        <v>633</v>
      </c>
      <c r="C628" s="22" t="s">
        <v>1887</v>
      </c>
      <c r="E628" s="22">
        <v>1</v>
      </c>
      <c r="F628" s="22">
        <v>27</v>
      </c>
      <c r="G628" s="30">
        <f>IF(OR(M628="",O628="",M628=0),"",(M628-O628)/M628)</f>
        <v>0.22222222222222221</v>
      </c>
      <c r="H628" s="22">
        <v>27</v>
      </c>
      <c r="I628" s="22">
        <v>3255</v>
      </c>
      <c r="J628" s="22">
        <v>10</v>
      </c>
      <c r="K628" s="22">
        <v>400</v>
      </c>
      <c r="L628" s="22">
        <v>18</v>
      </c>
      <c r="M628" s="22">
        <f>_xlfn.CEILING.MATH(F628*2)</f>
        <v>54</v>
      </c>
      <c r="N628" s="22">
        <f>H628*1.18</f>
        <v>31.86</v>
      </c>
      <c r="O628" s="22">
        <f>_xlfn.CEILING.MATH(F628*1.56)-1</f>
        <v>42</v>
      </c>
    </row>
    <row r="629" spans="1:15" s="22" customFormat="1">
      <c r="A629" s="22">
        <v>413</v>
      </c>
      <c r="B629" s="22" t="s">
        <v>634</v>
      </c>
      <c r="C629" s="22" t="s">
        <v>1888</v>
      </c>
      <c r="E629" s="22">
        <v>1</v>
      </c>
      <c r="F629" s="22">
        <v>27.5</v>
      </c>
      <c r="G629" s="30">
        <f>IF(OR(M629="",O629="",M629=0),"",(M629-O629)/M629)</f>
        <v>0.23636363636363636</v>
      </c>
      <c r="H629" s="22">
        <v>27.5</v>
      </c>
      <c r="I629" s="22">
        <v>527</v>
      </c>
      <c r="J629" s="22">
        <v>10</v>
      </c>
      <c r="K629" s="22">
        <v>300</v>
      </c>
      <c r="L629" s="22">
        <v>18</v>
      </c>
      <c r="M629" s="22">
        <f>_xlfn.CEILING.MATH(F629*2)</f>
        <v>55</v>
      </c>
      <c r="N629" s="22">
        <f>H629*1.18</f>
        <v>32.449999999999996</v>
      </c>
      <c r="O629" s="22">
        <f>_xlfn.CEILING.MATH(F629*1.56)-1</f>
        <v>42</v>
      </c>
    </row>
    <row r="630" spans="1:15" s="22" customFormat="1">
      <c r="A630" s="22">
        <v>414</v>
      </c>
      <c r="B630" s="22" t="s">
        <v>635</v>
      </c>
      <c r="C630" s="22" t="s">
        <v>1889</v>
      </c>
      <c r="E630" s="22">
        <v>1</v>
      </c>
      <c r="F630" s="22">
        <v>31</v>
      </c>
      <c r="G630" s="30">
        <f>IF(OR(M630="",O630="",M630=0),"",(M630-O630)/M630)</f>
        <v>0.22580645161290322</v>
      </c>
      <c r="H630" s="22">
        <v>31</v>
      </c>
      <c r="I630" s="22">
        <v>2502</v>
      </c>
      <c r="J630" s="22">
        <v>10</v>
      </c>
      <c r="K630" s="22">
        <v>250</v>
      </c>
      <c r="L630" s="22">
        <v>18</v>
      </c>
      <c r="M630" s="22">
        <f>_xlfn.CEILING.MATH(F630*2)</f>
        <v>62</v>
      </c>
      <c r="N630" s="22">
        <f>H630*1.18</f>
        <v>36.58</v>
      </c>
      <c r="O630" s="22">
        <f>_xlfn.CEILING.MATH(F630*1.56)-1</f>
        <v>48</v>
      </c>
    </row>
    <row r="631" spans="1:15" s="22" customFormat="1">
      <c r="A631" s="22">
        <v>415</v>
      </c>
      <c r="B631" s="22" t="s">
        <v>636</v>
      </c>
      <c r="C631" s="22" t="s">
        <v>1890</v>
      </c>
      <c r="E631" s="22">
        <v>1</v>
      </c>
      <c r="F631" s="22">
        <v>38</v>
      </c>
      <c r="G631" s="30">
        <f>IF(OR(M631="",O631="",M631=0),"",(M631-O631)/M631)</f>
        <v>0.22368421052631579</v>
      </c>
      <c r="H631" s="22">
        <v>38</v>
      </c>
      <c r="I631" s="22">
        <v>2006</v>
      </c>
      <c r="J631" s="22">
        <v>5</v>
      </c>
      <c r="K631" s="22">
        <v>150</v>
      </c>
      <c r="L631" s="22">
        <v>18</v>
      </c>
      <c r="M631" s="22">
        <f>_xlfn.CEILING.MATH(F631*2)</f>
        <v>76</v>
      </c>
      <c r="N631" s="22">
        <f>H631*1.18</f>
        <v>44.839999999999996</v>
      </c>
      <c r="O631" s="22">
        <f>_xlfn.CEILING.MATH(F631*1.56)-1</f>
        <v>59</v>
      </c>
    </row>
    <row r="632" spans="1:15" s="22" customFormat="1">
      <c r="A632" s="22">
        <v>416</v>
      </c>
      <c r="B632" s="22" t="s">
        <v>637</v>
      </c>
      <c r="C632" s="22" t="s">
        <v>1891</v>
      </c>
      <c r="E632" s="22">
        <v>1</v>
      </c>
      <c r="F632" s="22">
        <v>39</v>
      </c>
      <c r="G632" s="30">
        <f>IF(OR(M632="",O632="",M632=0),"",(M632-O632)/M632)</f>
        <v>0.23076923076923078</v>
      </c>
      <c r="H632" s="22">
        <v>39</v>
      </c>
      <c r="I632" s="22">
        <v>2037</v>
      </c>
      <c r="J632" s="22">
        <v>5</v>
      </c>
      <c r="K632" s="22">
        <v>150</v>
      </c>
      <c r="L632" s="22">
        <v>18</v>
      </c>
      <c r="M632" s="22">
        <f>_xlfn.CEILING.MATH(F632*2)</f>
        <v>78</v>
      </c>
      <c r="N632" s="22">
        <f>H632*1.18</f>
        <v>46.019999999999996</v>
      </c>
      <c r="O632" s="22">
        <f>_xlfn.CEILING.MATH(F632*1.56)-1</f>
        <v>60</v>
      </c>
    </row>
    <row r="633" spans="1:15" s="22" customFormat="1">
      <c r="A633" s="22">
        <v>417</v>
      </c>
      <c r="B633" s="22" t="s">
        <v>638</v>
      </c>
      <c r="C633" s="22" t="s">
        <v>1892</v>
      </c>
      <c r="E633" s="22">
        <v>1</v>
      </c>
      <c r="F633" s="22">
        <v>39.5</v>
      </c>
      <c r="G633" s="30">
        <f>IF(OR(M633="",O633="",M633=0),"",(M633-O633)/M633)</f>
        <v>0.22784810126582278</v>
      </c>
      <c r="H633" s="22">
        <v>39.5</v>
      </c>
      <c r="I633" s="22">
        <v>1000</v>
      </c>
      <c r="J633" s="22">
        <v>5</v>
      </c>
      <c r="K633" s="22">
        <v>125</v>
      </c>
      <c r="L633" s="22">
        <v>18</v>
      </c>
      <c r="M633" s="22">
        <f>_xlfn.CEILING.MATH(F633*2)</f>
        <v>79</v>
      </c>
      <c r="N633" s="22">
        <f>H633*1.18</f>
        <v>46.61</v>
      </c>
      <c r="O633" s="22">
        <f>_xlfn.CEILING.MATH(F633*1.56)-1</f>
        <v>61</v>
      </c>
    </row>
    <row r="634" spans="1:15" s="22" customFormat="1">
      <c r="A634" s="22">
        <v>418</v>
      </c>
      <c r="B634" s="22" t="s">
        <v>639</v>
      </c>
      <c r="C634" s="22" t="s">
        <v>1893</v>
      </c>
      <c r="E634" s="22">
        <v>1</v>
      </c>
      <c r="F634" s="22">
        <v>48</v>
      </c>
      <c r="G634" s="30">
        <f>IF(OR(M634="",O634="",M634=0),"",(M634-O634)/M634)</f>
        <v>0.22916666666666666</v>
      </c>
      <c r="H634" s="22">
        <v>48</v>
      </c>
      <c r="I634" s="22">
        <v>800</v>
      </c>
      <c r="J634" s="22">
        <v>5</v>
      </c>
      <c r="K634" s="22">
        <v>100</v>
      </c>
      <c r="L634" s="22">
        <v>18</v>
      </c>
      <c r="M634" s="22">
        <f>_xlfn.CEILING.MATH(F634*2)</f>
        <v>96</v>
      </c>
      <c r="N634" s="22">
        <f>H634*1.18</f>
        <v>56.64</v>
      </c>
      <c r="O634" s="22">
        <f>_xlfn.CEILING.MATH(F634*1.56)-1</f>
        <v>74</v>
      </c>
    </row>
    <row r="635" spans="1:15" s="22" customFormat="1">
      <c r="A635" s="22">
        <v>419</v>
      </c>
      <c r="B635" s="22" t="s">
        <v>640</v>
      </c>
      <c r="C635" s="22" t="s">
        <v>1894</v>
      </c>
      <c r="E635" s="22">
        <v>1</v>
      </c>
      <c r="F635" s="22">
        <v>49.5</v>
      </c>
      <c r="G635" s="30">
        <f>IF(OR(M635="",O635="",M635=0),"",(M635-O635)/M635)</f>
        <v>0.22222222222222221</v>
      </c>
      <c r="H635" s="22">
        <v>49.5</v>
      </c>
      <c r="I635" s="22">
        <v>1036</v>
      </c>
      <c r="J635" s="22">
        <v>5</v>
      </c>
      <c r="K635" s="22">
        <v>100</v>
      </c>
      <c r="L635" s="22">
        <v>18</v>
      </c>
      <c r="M635" s="22">
        <f>_xlfn.CEILING.MATH(F635*2)</f>
        <v>99</v>
      </c>
      <c r="N635" s="22">
        <f>H635*1.18</f>
        <v>58.41</v>
      </c>
      <c r="O635" s="22">
        <f>_xlfn.CEILING.MATH(F635*1.56)-1</f>
        <v>77</v>
      </c>
    </row>
    <row r="636" spans="1:15" s="22" customFormat="1">
      <c r="A636" s="22">
        <v>420</v>
      </c>
      <c r="B636" s="22" t="s">
        <v>641</v>
      </c>
      <c r="C636" s="22" t="s">
        <v>1895</v>
      </c>
      <c r="E636" s="22">
        <v>1</v>
      </c>
      <c r="F636" s="22">
        <v>63</v>
      </c>
      <c r="G636" s="30">
        <f>IF(OR(M636="",O636="",M636=0),"",(M636-O636)/M636)</f>
        <v>0.22222222222222221</v>
      </c>
      <c r="H636" s="22">
        <v>63</v>
      </c>
      <c r="I636" s="22">
        <v>2703</v>
      </c>
      <c r="J636" s="22">
        <v>5</v>
      </c>
      <c r="K636" s="22">
        <v>100</v>
      </c>
      <c r="L636" s="22">
        <v>18</v>
      </c>
      <c r="M636" s="22">
        <f>_xlfn.CEILING.MATH(F636*2)</f>
        <v>126</v>
      </c>
      <c r="N636" s="22">
        <f>H636*1.18</f>
        <v>74.339999999999989</v>
      </c>
      <c r="O636" s="22">
        <f>_xlfn.CEILING.MATH(F636*1.56)-1</f>
        <v>98</v>
      </c>
    </row>
    <row r="637" spans="1:15" s="22" customFormat="1">
      <c r="A637" s="22">
        <v>421</v>
      </c>
      <c r="B637" s="22" t="s">
        <v>642</v>
      </c>
      <c r="C637" s="22" t="s">
        <v>1896</v>
      </c>
      <c r="E637" s="22">
        <v>1</v>
      </c>
      <c r="F637" s="22">
        <v>66</v>
      </c>
      <c r="G637" s="30">
        <f>IF(OR(M637="",O637="",M637=0),"",(M637-O637)/M637)</f>
        <v>0.22727272727272727</v>
      </c>
      <c r="H637" s="22">
        <v>66</v>
      </c>
      <c r="I637" s="22">
        <v>478</v>
      </c>
      <c r="J637" s="22">
        <v>5</v>
      </c>
      <c r="K637" s="22">
        <v>75</v>
      </c>
      <c r="L637" s="22">
        <v>18</v>
      </c>
      <c r="M637" s="22">
        <f>_xlfn.CEILING.MATH(F637*2)</f>
        <v>132</v>
      </c>
      <c r="N637" s="22">
        <f>H637*1.18</f>
        <v>77.88</v>
      </c>
      <c r="O637" s="22">
        <f>_xlfn.CEILING.MATH(F637*1.56)-1</f>
        <v>102</v>
      </c>
    </row>
    <row r="638" spans="1:15" s="22" customFormat="1">
      <c r="A638" s="22">
        <v>422</v>
      </c>
      <c r="B638" s="22" t="s">
        <v>643</v>
      </c>
      <c r="C638" s="22" t="s">
        <v>1897</v>
      </c>
      <c r="E638" s="22">
        <v>1</v>
      </c>
      <c r="F638" s="22">
        <v>67.5</v>
      </c>
      <c r="G638" s="30">
        <f>IF(OR(M638="",O638="",M638=0),"",(M638-O638)/M638)</f>
        <v>0.22222222222222221</v>
      </c>
      <c r="H638" s="22">
        <v>67.5</v>
      </c>
      <c r="I638" s="22">
        <v>811</v>
      </c>
      <c r="J638" s="22">
        <v>5</v>
      </c>
      <c r="K638" s="22">
        <v>75</v>
      </c>
      <c r="L638" s="22">
        <v>18</v>
      </c>
      <c r="M638" s="22">
        <f>_xlfn.CEILING.MATH(F638*2)</f>
        <v>135</v>
      </c>
      <c r="N638" s="22">
        <f>H638*1.18</f>
        <v>79.649999999999991</v>
      </c>
      <c r="O638" s="22">
        <f>_xlfn.CEILING.MATH(F638*1.56)-1</f>
        <v>105</v>
      </c>
    </row>
    <row r="639" spans="1:15" s="22" customFormat="1">
      <c r="A639" s="22">
        <v>423</v>
      </c>
      <c r="B639" s="22" t="s">
        <v>644</v>
      </c>
      <c r="C639" s="22" t="s">
        <v>1898</v>
      </c>
      <c r="E639" s="22">
        <v>1</v>
      </c>
      <c r="F639" s="22">
        <v>90</v>
      </c>
      <c r="G639" s="30">
        <f>IF(OR(M639="",O639="",M639=0),"",(M639-O639)/M639)</f>
        <v>0.22222222222222221</v>
      </c>
      <c r="H639" s="22">
        <v>90</v>
      </c>
      <c r="I639" s="22">
        <v>730</v>
      </c>
      <c r="J639" s="22">
        <v>5</v>
      </c>
      <c r="K639" s="22">
        <v>50</v>
      </c>
      <c r="L639" s="22">
        <v>18</v>
      </c>
      <c r="M639" s="22">
        <f>_xlfn.CEILING.MATH(F639*2)</f>
        <v>180</v>
      </c>
      <c r="N639" s="22">
        <f>H639*1.18</f>
        <v>106.19999999999999</v>
      </c>
      <c r="O639" s="22">
        <f>_xlfn.CEILING.MATH(F639*1.56)-1</f>
        <v>140</v>
      </c>
    </row>
    <row r="640" spans="1:15" s="22" customFormat="1">
      <c r="A640" s="22">
        <v>424</v>
      </c>
      <c r="B640" s="22" t="s">
        <v>645</v>
      </c>
      <c r="C640" s="22" t="s">
        <v>1899</v>
      </c>
      <c r="E640" s="22">
        <v>1</v>
      </c>
      <c r="F640" s="22">
        <v>99</v>
      </c>
      <c r="G640" s="30">
        <f>IF(OR(M640="",O640="",M640=0),"",(M640-O640)/M640)</f>
        <v>0.22222222222222221</v>
      </c>
      <c r="H640" s="22">
        <v>99</v>
      </c>
      <c r="I640" s="22">
        <v>194</v>
      </c>
      <c r="J640" s="22">
        <v>5</v>
      </c>
      <c r="K640" s="22">
        <v>50</v>
      </c>
      <c r="L640" s="22">
        <v>18</v>
      </c>
      <c r="M640" s="22">
        <f>_xlfn.CEILING.MATH(F640*2)</f>
        <v>198</v>
      </c>
      <c r="N640" s="22">
        <f>H640*1.18</f>
        <v>116.82</v>
      </c>
      <c r="O640" s="22">
        <f>_xlfn.CEILING.MATH(F640*1.56)-1</f>
        <v>154</v>
      </c>
    </row>
    <row r="641" spans="1:15" s="22" customFormat="1">
      <c r="A641" s="22">
        <v>425</v>
      </c>
      <c r="B641" s="22" t="s">
        <v>646</v>
      </c>
      <c r="C641" s="22" t="s">
        <v>1900</v>
      </c>
      <c r="E641" s="22">
        <v>1</v>
      </c>
      <c r="F641" s="22">
        <v>115.5</v>
      </c>
      <c r="G641" s="30">
        <f>IF(OR(M641="",O641="",M641=0),"",(M641-O641)/M641)</f>
        <v>0.22077922077922077</v>
      </c>
      <c r="H641" s="22">
        <v>115.5</v>
      </c>
      <c r="I641" s="22">
        <v>273</v>
      </c>
      <c r="J641" s="22">
        <v>5</v>
      </c>
      <c r="K641" s="22">
        <v>50</v>
      </c>
      <c r="L641" s="22">
        <v>18</v>
      </c>
      <c r="M641" s="22">
        <f>_xlfn.CEILING.MATH(F641*2)</f>
        <v>231</v>
      </c>
      <c r="N641" s="22">
        <f>H641*1.18</f>
        <v>136.29</v>
      </c>
      <c r="O641" s="22">
        <f>_xlfn.CEILING.MATH(F641*1.56)-1</f>
        <v>180</v>
      </c>
    </row>
    <row r="642" spans="1:15" s="22" customFormat="1">
      <c r="A642" s="22">
        <v>426</v>
      </c>
      <c r="B642" s="22" t="s">
        <v>647</v>
      </c>
      <c r="C642" s="22" t="s">
        <v>1901</v>
      </c>
      <c r="E642" s="22">
        <v>1</v>
      </c>
      <c r="F642" s="22">
        <v>124.5</v>
      </c>
      <c r="G642" s="30">
        <f>IF(OR(M642="",O642="",M642=0),"",(M642-O642)/M642)</f>
        <v>0.22088353413654618</v>
      </c>
      <c r="H642" s="22">
        <v>124.5</v>
      </c>
      <c r="I642" s="22">
        <v>128</v>
      </c>
      <c r="J642" s="22">
        <v>5</v>
      </c>
      <c r="K642" s="22">
        <v>40</v>
      </c>
      <c r="L642" s="22">
        <v>18</v>
      </c>
      <c r="M642" s="22">
        <f>_xlfn.CEILING.MATH(F642*2)</f>
        <v>249</v>
      </c>
      <c r="N642" s="22">
        <f>H642*1.18</f>
        <v>146.91</v>
      </c>
      <c r="O642" s="22">
        <f>_xlfn.CEILING.MATH(F642*1.56)-1</f>
        <v>194</v>
      </c>
    </row>
    <row r="643" spans="1:15" s="22" customFormat="1">
      <c r="A643" s="22">
        <v>427</v>
      </c>
      <c r="B643" s="22" t="s">
        <v>648</v>
      </c>
      <c r="C643" s="22" t="s">
        <v>1902</v>
      </c>
      <c r="E643" s="22">
        <v>1</v>
      </c>
      <c r="F643" s="22">
        <v>139.5</v>
      </c>
      <c r="G643" s="30">
        <f>IF(OR(M643="",O643="",M643=0),"",(M643-O643)/M643)</f>
        <v>0.22222222222222221</v>
      </c>
      <c r="H643" s="22">
        <v>139.5</v>
      </c>
      <c r="I643" s="22">
        <v>16</v>
      </c>
      <c r="J643" s="22">
        <v>5</v>
      </c>
      <c r="K643" s="22">
        <v>40</v>
      </c>
      <c r="L643" s="22">
        <v>18</v>
      </c>
      <c r="M643" s="22">
        <f>_xlfn.CEILING.MATH(F643*2)</f>
        <v>279</v>
      </c>
      <c r="N643" s="22">
        <f>H643*1.18</f>
        <v>164.60999999999999</v>
      </c>
      <c r="O643" s="22">
        <f>_xlfn.CEILING.MATH(F643*1.56)-1</f>
        <v>217</v>
      </c>
    </row>
    <row r="644" spans="1:15" s="22" customFormat="1">
      <c r="A644" s="22">
        <v>428</v>
      </c>
      <c r="B644" s="22" t="s">
        <v>649</v>
      </c>
      <c r="C644" s="22" t="s">
        <v>1903</v>
      </c>
      <c r="E644" s="22">
        <v>1</v>
      </c>
      <c r="F644" s="22">
        <v>153</v>
      </c>
      <c r="G644" s="30">
        <f>IF(OR(M644="",O644="",M644=0),"",(M644-O644)/M644)</f>
        <v>0.22222222222222221</v>
      </c>
      <c r="H644" s="22">
        <v>153</v>
      </c>
      <c r="I644" s="22">
        <v>287</v>
      </c>
      <c r="J644" s="22">
        <v>5</v>
      </c>
      <c r="K644" s="22">
        <v>40</v>
      </c>
      <c r="L644" s="22">
        <v>18</v>
      </c>
      <c r="M644" s="22">
        <f>_xlfn.CEILING.MATH(F644*2)</f>
        <v>306</v>
      </c>
      <c r="N644" s="22">
        <f>H644*1.18</f>
        <v>180.54</v>
      </c>
      <c r="O644" s="22">
        <f>_xlfn.CEILING.MATH(F644*1.56)-1</f>
        <v>238</v>
      </c>
    </row>
    <row r="645" spans="1:15" s="22" customFormat="1">
      <c r="A645" s="22">
        <v>429</v>
      </c>
      <c r="B645" s="22" t="s">
        <v>650</v>
      </c>
      <c r="C645" s="22" t="s">
        <v>1904</v>
      </c>
      <c r="E645" s="22">
        <v>1</v>
      </c>
      <c r="F645" s="22">
        <v>190.5</v>
      </c>
      <c r="G645" s="30">
        <f>IF(OR(M645="",O645="",M645=0),"",(M645-O645)/M645)</f>
        <v>0.22047244094488189</v>
      </c>
      <c r="H645" s="22">
        <v>190.5</v>
      </c>
      <c r="I645" s="22">
        <v>515</v>
      </c>
      <c r="J645" s="22">
        <v>5</v>
      </c>
      <c r="K645" s="22">
        <v>30</v>
      </c>
      <c r="L645" s="22">
        <v>18</v>
      </c>
      <c r="M645" s="22">
        <f>_xlfn.CEILING.MATH(F645*2)</f>
        <v>381</v>
      </c>
      <c r="N645" s="22">
        <f>H645*1.18</f>
        <v>224.79</v>
      </c>
      <c r="O645" s="22">
        <f>_xlfn.CEILING.MATH(F645*1.56)-1</f>
        <v>297</v>
      </c>
    </row>
    <row r="646" spans="1:15" s="22" customFormat="1">
      <c r="A646" s="22">
        <v>430</v>
      </c>
      <c r="B646" s="22" t="s">
        <v>651</v>
      </c>
      <c r="C646" s="22" t="s">
        <v>1905</v>
      </c>
      <c r="E646" s="22">
        <v>1</v>
      </c>
      <c r="F646" s="22">
        <v>190.5</v>
      </c>
      <c r="G646" s="30">
        <f>IF(OR(M646="",O646="",M646=0),"",(M646-O646)/M646)</f>
        <v>0.22047244094488189</v>
      </c>
      <c r="H646" s="22">
        <v>190.5</v>
      </c>
      <c r="I646" s="22">
        <v>144</v>
      </c>
      <c r="J646" s="22">
        <v>5</v>
      </c>
      <c r="K646" s="22">
        <v>30</v>
      </c>
      <c r="L646" s="22">
        <v>18</v>
      </c>
      <c r="M646" s="22">
        <f>_xlfn.CEILING.MATH(F646*2)</f>
        <v>381</v>
      </c>
      <c r="N646" s="22">
        <f>H646*1.18</f>
        <v>224.79</v>
      </c>
      <c r="O646" s="22">
        <f>_xlfn.CEILING.MATH(F646*1.56)-1</f>
        <v>297</v>
      </c>
    </row>
    <row r="647" spans="1:15" s="22" customFormat="1">
      <c r="A647" s="22">
        <v>431</v>
      </c>
      <c r="B647" s="22" t="s">
        <v>652</v>
      </c>
      <c r="C647" s="22" t="s">
        <v>1906</v>
      </c>
      <c r="E647" s="22">
        <v>1</v>
      </c>
      <c r="F647" s="22">
        <v>228</v>
      </c>
      <c r="G647" s="30">
        <f>IF(OR(M647="",O647="",M647=0),"",(M647-O647)/M647)</f>
        <v>0.22149122807017543</v>
      </c>
      <c r="H647" s="22">
        <v>228</v>
      </c>
      <c r="I647" s="22">
        <v>163</v>
      </c>
      <c r="J647" s="22">
        <v>5</v>
      </c>
      <c r="K647" s="22">
        <v>30</v>
      </c>
      <c r="L647" s="22">
        <v>18</v>
      </c>
      <c r="M647" s="22">
        <f>_xlfn.CEILING.MATH(F647*2)</f>
        <v>456</v>
      </c>
      <c r="N647" s="22">
        <f>H647*1.18</f>
        <v>269.03999999999996</v>
      </c>
      <c r="O647" s="22">
        <f>_xlfn.CEILING.MATH(F647*1.56)-1</f>
        <v>355</v>
      </c>
    </row>
    <row r="648" spans="1:15" s="22" customFormat="1">
      <c r="A648" s="22">
        <v>432</v>
      </c>
      <c r="B648" s="22" t="s">
        <v>1907</v>
      </c>
      <c r="C648" s="22" t="s">
        <v>1908</v>
      </c>
      <c r="E648" s="22">
        <v>1</v>
      </c>
      <c r="F648" s="22">
        <v>825</v>
      </c>
      <c r="G648" s="30">
        <f>IF(OR(M648="",O648="",M648=0),"",(M648-O648)/M648)</f>
        <v>0.22060606060606061</v>
      </c>
      <c r="H648" s="22">
        <v>825</v>
      </c>
      <c r="I648" s="22">
        <v>214</v>
      </c>
      <c r="J648" s="22">
        <v>1</v>
      </c>
      <c r="K648" s="22">
        <v>10</v>
      </c>
      <c r="L648" s="22">
        <v>18</v>
      </c>
      <c r="M648" s="22">
        <f>_xlfn.CEILING.MATH(F648*2)</f>
        <v>1650</v>
      </c>
      <c r="N648" s="22">
        <f>H648*1.18</f>
        <v>973.5</v>
      </c>
      <c r="O648" s="22">
        <f>_xlfn.CEILING.MATH(F648*1.56)-1</f>
        <v>1286</v>
      </c>
    </row>
    <row r="649" spans="1:15" s="22" customFormat="1">
      <c r="A649" s="22">
        <v>433</v>
      </c>
      <c r="B649" s="22" t="s">
        <v>1909</v>
      </c>
      <c r="C649" s="22" t="s">
        <v>1910</v>
      </c>
      <c r="E649" s="22">
        <v>1</v>
      </c>
      <c r="F649" s="22">
        <v>1140</v>
      </c>
      <c r="G649" s="30">
        <f>IF(OR(M649="",O649="",M649=0),"",(M649-O649)/M649)</f>
        <v>0.22017543859649122</v>
      </c>
      <c r="H649" s="22">
        <v>1140</v>
      </c>
      <c r="I649" s="22">
        <v>221</v>
      </c>
      <c r="J649" s="22">
        <v>1</v>
      </c>
      <c r="K649" s="22">
        <v>10</v>
      </c>
      <c r="L649" s="22">
        <v>18</v>
      </c>
      <c r="M649" s="22">
        <f>_xlfn.CEILING.MATH(F649*2)</f>
        <v>2280</v>
      </c>
      <c r="N649" s="22">
        <f>H649*1.18</f>
        <v>1345.1999999999998</v>
      </c>
      <c r="O649" s="22">
        <f>_xlfn.CEILING.MATH(F649*1.56)-1</f>
        <v>1778</v>
      </c>
    </row>
    <row r="650" spans="1:15" s="22" customFormat="1">
      <c r="A650" s="22">
        <v>434</v>
      </c>
      <c r="B650" s="22" t="s">
        <v>1911</v>
      </c>
      <c r="C650" s="22" t="s">
        <v>1912</v>
      </c>
      <c r="E650" s="22">
        <v>1</v>
      </c>
      <c r="F650" s="22">
        <v>1950</v>
      </c>
      <c r="G650" s="30">
        <f>IF(OR(M650="",O650="",M650=0),"",(M650-O650)/M650)</f>
        <v>0.22025641025641027</v>
      </c>
      <c r="H650" s="22">
        <v>1950</v>
      </c>
      <c r="I650" s="22">
        <v>93</v>
      </c>
      <c r="J650" s="22">
        <v>1</v>
      </c>
      <c r="K650" s="22">
        <v>5</v>
      </c>
      <c r="L650" s="22">
        <v>18</v>
      </c>
      <c r="M650" s="22">
        <f>_xlfn.CEILING.MATH(F650*2)</f>
        <v>3900</v>
      </c>
      <c r="N650" s="22">
        <f>H650*1.18</f>
        <v>2301</v>
      </c>
      <c r="O650" s="22">
        <f>_xlfn.CEILING.MATH(F650*1.56)-1</f>
        <v>3041</v>
      </c>
    </row>
    <row r="651" spans="1:15" s="22" customFormat="1">
      <c r="A651" s="22">
        <v>435</v>
      </c>
      <c r="B651" s="22" t="s">
        <v>1913</v>
      </c>
      <c r="C651" s="22" t="s">
        <v>1914</v>
      </c>
      <c r="E651" s="22">
        <v>1</v>
      </c>
      <c r="F651" s="22">
        <v>347.5</v>
      </c>
      <c r="G651" s="30">
        <f>IF(OR(M651="",O651="",M651=0),"",(M651-O651)/M651)</f>
        <v>0.22014388489208633</v>
      </c>
      <c r="H651" s="22">
        <v>347.5</v>
      </c>
      <c r="I651" s="22">
        <v>1892</v>
      </c>
      <c r="J651" s="22">
        <v>6</v>
      </c>
      <c r="K651" s="22">
        <v>36</v>
      </c>
      <c r="L651" s="22">
        <v>18</v>
      </c>
      <c r="M651" s="22">
        <f>_xlfn.CEILING.MATH(F651*2)</f>
        <v>695</v>
      </c>
      <c r="N651" s="22">
        <f>H651*1.18</f>
        <v>410.04999999999995</v>
      </c>
      <c r="O651" s="22">
        <f>_xlfn.CEILING.MATH(F651*1.56)-1</f>
        <v>542</v>
      </c>
    </row>
    <row r="652" spans="1:15" s="22" customFormat="1">
      <c r="A652" s="22">
        <v>436</v>
      </c>
      <c r="B652" s="22" t="s">
        <v>653</v>
      </c>
      <c r="C652" s="22" t="s">
        <v>1915</v>
      </c>
      <c r="E652" s="22">
        <v>1</v>
      </c>
      <c r="F652" s="22">
        <v>23.5</v>
      </c>
      <c r="G652" s="30">
        <f>IF(OR(M652="",O652="",M652=0),"",(M652-O652)/M652)</f>
        <v>0.23404255319148937</v>
      </c>
      <c r="H652" s="22">
        <v>23.5</v>
      </c>
      <c r="I652" s="22">
        <v>1490</v>
      </c>
      <c r="J652" s="22">
        <v>10</v>
      </c>
      <c r="K652" s="22">
        <v>100</v>
      </c>
      <c r="L652" s="22">
        <v>18</v>
      </c>
      <c r="M652" s="22">
        <f>_xlfn.CEILING.MATH(F652*2)</f>
        <v>47</v>
      </c>
      <c r="N652" s="22">
        <f>H652*1.18</f>
        <v>27.729999999999997</v>
      </c>
      <c r="O652" s="22">
        <f>_xlfn.CEILING.MATH(F652*1.56)-1</f>
        <v>36</v>
      </c>
    </row>
    <row r="653" spans="1:15" s="22" customFormat="1">
      <c r="A653" s="22">
        <v>437</v>
      </c>
      <c r="B653" s="22" t="s">
        <v>654</v>
      </c>
      <c r="C653" s="22" t="s">
        <v>1916</v>
      </c>
      <c r="E653" s="22">
        <v>1</v>
      </c>
      <c r="F653" s="22">
        <v>25</v>
      </c>
      <c r="G653" s="30">
        <f>IF(OR(M653="",O653="",M653=0),"",(M653-O653)/M653)</f>
        <v>0.24</v>
      </c>
      <c r="H653" s="22">
        <v>25</v>
      </c>
      <c r="I653" s="22">
        <v>1471</v>
      </c>
      <c r="J653" s="22">
        <v>10</v>
      </c>
      <c r="K653" s="22">
        <v>150</v>
      </c>
      <c r="L653" s="22">
        <v>18</v>
      </c>
      <c r="M653" s="22">
        <f>_xlfn.CEILING.MATH(F653*2)</f>
        <v>50</v>
      </c>
      <c r="N653" s="22">
        <f>H653*1.18</f>
        <v>29.5</v>
      </c>
      <c r="O653" s="22">
        <f>_xlfn.CEILING.MATH(F653*1.56)-1</f>
        <v>38</v>
      </c>
    </row>
    <row r="654" spans="1:15" s="22" customFormat="1">
      <c r="A654" s="22">
        <v>438</v>
      </c>
      <c r="B654" s="22" t="s">
        <v>655</v>
      </c>
      <c r="C654" s="22" t="s">
        <v>1917</v>
      </c>
      <c r="E654" s="22">
        <v>1</v>
      </c>
      <c r="F654" s="22">
        <v>34</v>
      </c>
      <c r="G654" s="30">
        <f>IF(OR(M654="",O654="",M654=0),"",(M654-O654)/M654)</f>
        <v>0.22058823529411764</v>
      </c>
      <c r="H654" s="22">
        <v>34</v>
      </c>
      <c r="I654" s="22">
        <v>2207</v>
      </c>
      <c r="J654" s="22">
        <v>10</v>
      </c>
      <c r="K654" s="22">
        <v>150</v>
      </c>
      <c r="L654" s="22">
        <v>18</v>
      </c>
      <c r="M654" s="22">
        <f>_xlfn.CEILING.MATH(F654*2)</f>
        <v>68</v>
      </c>
      <c r="N654" s="22">
        <f>H654*1.18</f>
        <v>40.119999999999997</v>
      </c>
      <c r="O654" s="22">
        <f>_xlfn.CEILING.MATH(F654*1.56)-1</f>
        <v>53</v>
      </c>
    </row>
    <row r="655" spans="1:15" s="22" customFormat="1">
      <c r="A655" s="22">
        <v>439</v>
      </c>
      <c r="B655" s="22" t="s">
        <v>656</v>
      </c>
      <c r="C655" s="22" t="s">
        <v>1918</v>
      </c>
      <c r="E655" s="22">
        <v>1</v>
      </c>
      <c r="F655" s="22">
        <v>43.5</v>
      </c>
      <c r="G655" s="30">
        <f>IF(OR(M655="",O655="",M655=0),"",(M655-O655)/M655)</f>
        <v>0.22988505747126436</v>
      </c>
      <c r="H655" s="22">
        <v>43.5</v>
      </c>
      <c r="I655" s="22">
        <v>1830</v>
      </c>
      <c r="J655" s="22">
        <v>10</v>
      </c>
      <c r="K655" s="22">
        <v>150</v>
      </c>
      <c r="L655" s="22">
        <v>18</v>
      </c>
      <c r="M655" s="22">
        <f>_xlfn.CEILING.MATH(F655*2)</f>
        <v>87</v>
      </c>
      <c r="N655" s="22">
        <f>H655*1.18</f>
        <v>51.33</v>
      </c>
      <c r="O655" s="22">
        <f>_xlfn.CEILING.MATH(F655*1.56)-1</f>
        <v>67</v>
      </c>
    </row>
    <row r="656" spans="1:15" s="22" customFormat="1">
      <c r="A656" s="22">
        <v>440</v>
      </c>
      <c r="B656" s="22" t="s">
        <v>657</v>
      </c>
      <c r="C656" s="22" t="s">
        <v>1919</v>
      </c>
      <c r="E656" s="22">
        <v>1</v>
      </c>
      <c r="F656" s="22">
        <v>63</v>
      </c>
      <c r="G656" s="30">
        <f>IF(OR(M656="",O656="",M656=0),"",(M656-O656)/M656)</f>
        <v>0.22222222222222221</v>
      </c>
      <c r="H656" s="22">
        <v>63</v>
      </c>
      <c r="I656" s="22">
        <v>778</v>
      </c>
      <c r="J656" s="22">
        <v>10</v>
      </c>
      <c r="K656" s="22">
        <v>150</v>
      </c>
      <c r="L656" s="22">
        <v>18</v>
      </c>
      <c r="M656" s="22">
        <f>_xlfn.CEILING.MATH(F656*2)</f>
        <v>126</v>
      </c>
      <c r="N656" s="22">
        <f>H656*1.18</f>
        <v>74.339999999999989</v>
      </c>
      <c r="O656" s="22">
        <f>_xlfn.CEILING.MATH(F656*1.56)-1</f>
        <v>98</v>
      </c>
    </row>
    <row r="657" spans="1:15" s="22" customFormat="1">
      <c r="A657" s="22">
        <v>441</v>
      </c>
      <c r="B657" s="22" t="s">
        <v>658</v>
      </c>
      <c r="C657" s="22" t="s">
        <v>1920</v>
      </c>
      <c r="E657" s="22">
        <v>1</v>
      </c>
      <c r="F657" s="22">
        <v>94.5</v>
      </c>
      <c r="G657" s="30">
        <f>IF(OR(M657="",O657="",M657=0),"",(M657-O657)/M657)</f>
        <v>0.22222222222222221</v>
      </c>
      <c r="H657" s="22">
        <v>94.5</v>
      </c>
      <c r="I657" s="22">
        <v>451</v>
      </c>
      <c r="J657" s="22">
        <v>5</v>
      </c>
      <c r="K657" s="22">
        <v>50</v>
      </c>
      <c r="L657" s="22">
        <v>18</v>
      </c>
      <c r="M657" s="22">
        <f>_xlfn.CEILING.MATH(F657*2)</f>
        <v>189</v>
      </c>
      <c r="N657" s="22">
        <f>H657*1.18</f>
        <v>111.50999999999999</v>
      </c>
      <c r="O657" s="22">
        <f>_xlfn.CEILING.MATH(F657*1.56)-1</f>
        <v>147</v>
      </c>
    </row>
    <row r="658" spans="1:15" s="22" customFormat="1">
      <c r="A658" s="22">
        <v>442</v>
      </c>
      <c r="B658" s="22" t="s">
        <v>659</v>
      </c>
      <c r="C658" s="22" t="s">
        <v>1921</v>
      </c>
      <c r="E658" s="22">
        <v>1</v>
      </c>
      <c r="F658" s="22">
        <v>111</v>
      </c>
      <c r="G658" s="30">
        <f>IF(OR(M658="",O658="",M658=0),"",(M658-O658)/M658)</f>
        <v>0.22072072072072071</v>
      </c>
      <c r="H658" s="22">
        <v>111</v>
      </c>
      <c r="I658" s="22">
        <v>718</v>
      </c>
      <c r="J658" s="22">
        <v>5</v>
      </c>
      <c r="K658" s="22">
        <v>50</v>
      </c>
      <c r="L658" s="22">
        <v>18</v>
      </c>
      <c r="M658" s="22">
        <f>_xlfn.CEILING.MATH(F658*2)</f>
        <v>222</v>
      </c>
      <c r="N658" s="22">
        <f>H658*1.18</f>
        <v>130.97999999999999</v>
      </c>
      <c r="O658" s="22">
        <f>_xlfn.CEILING.MATH(F658*1.56)-1</f>
        <v>173</v>
      </c>
    </row>
    <row r="659" spans="1:15" s="22" customFormat="1">
      <c r="A659" s="22">
        <v>443</v>
      </c>
      <c r="B659" s="22" t="s">
        <v>660</v>
      </c>
      <c r="C659" s="22" t="s">
        <v>1922</v>
      </c>
      <c r="E659" s="22">
        <v>1</v>
      </c>
      <c r="F659" s="22">
        <v>540</v>
      </c>
      <c r="G659" s="30">
        <f>IF(OR(M659="",O659="",M659=0),"",(M659-O659)/M659)</f>
        <v>0.22037037037037038</v>
      </c>
      <c r="H659" s="22">
        <v>540</v>
      </c>
      <c r="I659" s="22">
        <v>118</v>
      </c>
      <c r="J659" s="22">
        <v>5</v>
      </c>
      <c r="K659" s="22">
        <v>40</v>
      </c>
      <c r="L659" s="22">
        <v>18</v>
      </c>
      <c r="M659" s="22">
        <f>_xlfn.CEILING.MATH(F659*2)</f>
        <v>1080</v>
      </c>
      <c r="N659" s="22">
        <f>H659*1.18</f>
        <v>637.19999999999993</v>
      </c>
      <c r="O659" s="22">
        <f>_xlfn.CEILING.MATH(F659*1.56)-1</f>
        <v>842</v>
      </c>
    </row>
    <row r="660" spans="1:15" s="22" customFormat="1">
      <c r="A660" s="22">
        <v>444</v>
      </c>
      <c r="B660" s="22" t="s">
        <v>661</v>
      </c>
      <c r="C660" s="22" t="s">
        <v>1923</v>
      </c>
      <c r="E660" s="22">
        <v>1</v>
      </c>
      <c r="F660" s="22">
        <v>540</v>
      </c>
      <c r="G660" s="30">
        <f>IF(OR(M660="",O660="",M660=0),"",(M660-O660)/M660)</f>
        <v>0.22037037037037038</v>
      </c>
      <c r="H660" s="22">
        <v>540</v>
      </c>
      <c r="I660" s="22">
        <v>293</v>
      </c>
      <c r="J660" s="22">
        <v>5</v>
      </c>
      <c r="K660" s="22">
        <v>40</v>
      </c>
      <c r="L660" s="22">
        <v>18</v>
      </c>
      <c r="M660" s="22">
        <f>_xlfn.CEILING.MATH(F660*2)</f>
        <v>1080</v>
      </c>
      <c r="N660" s="22">
        <f>H660*1.18</f>
        <v>637.19999999999993</v>
      </c>
      <c r="O660" s="22">
        <f>_xlfn.CEILING.MATH(F660*1.56)-1</f>
        <v>842</v>
      </c>
    </row>
    <row r="661" spans="1:15" s="22" customFormat="1">
      <c r="A661" s="22">
        <v>445</v>
      </c>
      <c r="B661" s="22" t="s">
        <v>662</v>
      </c>
      <c r="C661" s="22" t="s">
        <v>1924</v>
      </c>
      <c r="E661" s="22">
        <v>1</v>
      </c>
      <c r="F661" s="22">
        <v>138</v>
      </c>
      <c r="G661" s="30">
        <f>IF(OR(M661="",O661="",M661=0),"",(M661-O661)/M661)</f>
        <v>0.2210144927536232</v>
      </c>
      <c r="H661" s="22">
        <v>138</v>
      </c>
      <c r="I661" s="22">
        <v>3105</v>
      </c>
      <c r="J661" s="22">
        <v>12</v>
      </c>
      <c r="K661" s="22">
        <v>72</v>
      </c>
      <c r="L661" s="22">
        <v>18</v>
      </c>
      <c r="M661" s="22">
        <f>_xlfn.CEILING.MATH(F661*2)</f>
        <v>276</v>
      </c>
      <c r="N661" s="22">
        <f>H661*1.18</f>
        <v>162.84</v>
      </c>
      <c r="O661" s="22">
        <f>_xlfn.CEILING.MATH(F661*1.56)-1</f>
        <v>215</v>
      </c>
    </row>
    <row r="662" spans="1:15" s="22" customFormat="1">
      <c r="A662" s="22">
        <v>446</v>
      </c>
      <c r="B662" s="22" t="s">
        <v>663</v>
      </c>
      <c r="C662" s="22" t="s">
        <v>1925</v>
      </c>
      <c r="E662" s="22">
        <v>1</v>
      </c>
      <c r="F662" s="22">
        <v>138</v>
      </c>
      <c r="G662" s="30">
        <f>IF(OR(M662="",O662="",M662=0),"",(M662-O662)/M662)</f>
        <v>0.2210144927536232</v>
      </c>
      <c r="H662" s="22">
        <v>138</v>
      </c>
      <c r="I662" s="22">
        <v>12377</v>
      </c>
      <c r="J662" s="22">
        <v>12</v>
      </c>
      <c r="K662" s="22">
        <v>72</v>
      </c>
      <c r="L662" s="22">
        <v>18</v>
      </c>
      <c r="M662" s="22">
        <f>_xlfn.CEILING.MATH(F662*2)</f>
        <v>276</v>
      </c>
      <c r="N662" s="22">
        <f>H662*1.18</f>
        <v>162.84</v>
      </c>
      <c r="O662" s="22">
        <f>_xlfn.CEILING.MATH(F662*1.56)-1</f>
        <v>215</v>
      </c>
    </row>
    <row r="663" spans="1:15" s="22" customFormat="1">
      <c r="A663" s="22">
        <v>447</v>
      </c>
      <c r="B663" s="22" t="s">
        <v>664</v>
      </c>
      <c r="C663" s="22" t="s">
        <v>1926</v>
      </c>
      <c r="E663" s="22">
        <v>1</v>
      </c>
      <c r="F663" s="22">
        <v>138</v>
      </c>
      <c r="G663" s="30">
        <f>IF(OR(M663="",O663="",M663=0),"",(M663-O663)/M663)</f>
        <v>0.2210144927536232</v>
      </c>
      <c r="H663" s="22">
        <v>138</v>
      </c>
      <c r="I663" s="22">
        <v>3122</v>
      </c>
      <c r="J663" s="22">
        <v>12</v>
      </c>
      <c r="K663" s="22">
        <v>72</v>
      </c>
      <c r="L663" s="22">
        <v>18</v>
      </c>
      <c r="M663" s="22">
        <f>_xlfn.CEILING.MATH(F663*2)</f>
        <v>276</v>
      </c>
      <c r="N663" s="22">
        <f>H663*1.18</f>
        <v>162.84</v>
      </c>
      <c r="O663" s="22">
        <f>_xlfn.CEILING.MATH(F663*1.56)-1</f>
        <v>215</v>
      </c>
    </row>
    <row r="664" spans="1:15" s="22" customFormat="1">
      <c r="A664" s="22">
        <v>448</v>
      </c>
      <c r="B664" s="22" t="s">
        <v>665</v>
      </c>
      <c r="C664" s="22" t="s">
        <v>1927</v>
      </c>
      <c r="E664" s="22">
        <v>1</v>
      </c>
      <c r="F664" s="22">
        <v>138</v>
      </c>
      <c r="G664" s="30">
        <f>IF(OR(M664="",O664="",M664=0),"",(M664-O664)/M664)</f>
        <v>0.2210144927536232</v>
      </c>
      <c r="H664" s="22">
        <v>138</v>
      </c>
      <c r="I664" s="22">
        <v>12067</v>
      </c>
      <c r="J664" s="22">
        <v>12</v>
      </c>
      <c r="K664" s="22">
        <v>72</v>
      </c>
      <c r="L664" s="22">
        <v>18</v>
      </c>
      <c r="M664" s="22">
        <f>_xlfn.CEILING.MATH(F664*2)</f>
        <v>276</v>
      </c>
      <c r="N664" s="22">
        <f>H664*1.18</f>
        <v>162.84</v>
      </c>
      <c r="O664" s="22">
        <f>_xlfn.CEILING.MATH(F664*1.56)-1</f>
        <v>215</v>
      </c>
    </row>
    <row r="665" spans="1:15" s="22" customFormat="1">
      <c r="A665" s="22">
        <v>449</v>
      </c>
      <c r="B665" s="22" t="s">
        <v>666</v>
      </c>
      <c r="C665" s="22" t="s">
        <v>1928</v>
      </c>
      <c r="E665" s="22">
        <v>1</v>
      </c>
      <c r="F665" s="22">
        <v>268.5</v>
      </c>
      <c r="G665" s="30">
        <f>IF(OR(M665="",O665="",M665=0),"",(M665-O665)/M665)</f>
        <v>0.22160148975791433</v>
      </c>
      <c r="H665" s="22">
        <v>268.5</v>
      </c>
      <c r="I665" s="22">
        <v>791</v>
      </c>
      <c r="J665" s="22">
        <v>12</v>
      </c>
      <c r="K665" s="22">
        <v>60</v>
      </c>
      <c r="L665" s="22">
        <v>18</v>
      </c>
      <c r="M665" s="22">
        <f>_xlfn.CEILING.MATH(F665*2)</f>
        <v>537</v>
      </c>
      <c r="N665" s="22">
        <f>H665*1.18</f>
        <v>316.83</v>
      </c>
      <c r="O665" s="22">
        <f>_xlfn.CEILING.MATH(F665*1.56)-1</f>
        <v>418</v>
      </c>
    </row>
    <row r="666" spans="1:15" s="22" customFormat="1">
      <c r="A666" s="22">
        <v>450</v>
      </c>
      <c r="B666" s="22" t="s">
        <v>667</v>
      </c>
      <c r="C666" s="22" t="s">
        <v>1929</v>
      </c>
      <c r="E666" s="22">
        <v>1</v>
      </c>
      <c r="F666" s="22">
        <v>268.5</v>
      </c>
      <c r="G666" s="30">
        <f>IF(OR(M666="",O666="",M666=0),"",(M666-O666)/M666)</f>
        <v>0.22160148975791433</v>
      </c>
      <c r="H666" s="22">
        <v>268.5</v>
      </c>
      <c r="I666" s="22">
        <v>1056</v>
      </c>
      <c r="J666" s="22">
        <v>10</v>
      </c>
      <c r="K666" s="22">
        <v>60</v>
      </c>
      <c r="L666" s="22">
        <v>18</v>
      </c>
      <c r="M666" s="22">
        <f>_xlfn.CEILING.MATH(F666*2)</f>
        <v>537</v>
      </c>
      <c r="N666" s="22">
        <f>H666*1.18</f>
        <v>316.83</v>
      </c>
      <c r="O666" s="22">
        <f>_xlfn.CEILING.MATH(F666*1.56)-1</f>
        <v>418</v>
      </c>
    </row>
    <row r="667" spans="1:15" s="22" customFormat="1">
      <c r="A667" s="22">
        <v>451</v>
      </c>
      <c r="B667" s="22" t="s">
        <v>668</v>
      </c>
      <c r="C667" s="22" t="s">
        <v>1930</v>
      </c>
      <c r="E667" s="22">
        <v>1</v>
      </c>
      <c r="F667" s="22">
        <v>133.5</v>
      </c>
      <c r="G667" s="30">
        <f>IF(OR(M667="",O667="",M667=0),"",(M667-O667)/M667)</f>
        <v>0.22097378277153559</v>
      </c>
      <c r="H667" s="22">
        <v>133.5</v>
      </c>
      <c r="I667" s="22">
        <v>244</v>
      </c>
      <c r="J667" s="22">
        <v>4</v>
      </c>
      <c r="K667" s="22">
        <v>36</v>
      </c>
      <c r="L667" s="22">
        <v>18</v>
      </c>
      <c r="M667" s="22">
        <f>_xlfn.CEILING.MATH(F667*2)</f>
        <v>267</v>
      </c>
      <c r="N667" s="22">
        <f>H667*1.18</f>
        <v>157.53</v>
      </c>
      <c r="O667" s="22">
        <f>_xlfn.CEILING.MATH(F667*1.56)-1</f>
        <v>208</v>
      </c>
    </row>
    <row r="668" spans="1:15" s="22" customFormat="1">
      <c r="A668" s="22">
        <v>452</v>
      </c>
      <c r="B668" s="22" t="s">
        <v>669</v>
      </c>
      <c r="C668" s="22" t="s">
        <v>1931</v>
      </c>
      <c r="E668" s="22">
        <v>1</v>
      </c>
      <c r="F668" s="22">
        <v>159</v>
      </c>
      <c r="G668" s="30">
        <f>IF(OR(M668="",O668="",M668=0),"",(M668-O668)/M668)</f>
        <v>0.22012578616352202</v>
      </c>
      <c r="H668" s="22">
        <v>159</v>
      </c>
      <c r="I668" s="22">
        <v>209</v>
      </c>
      <c r="J668" s="22">
        <v>4</v>
      </c>
      <c r="K668" s="22">
        <v>36</v>
      </c>
      <c r="L668" s="22">
        <v>18</v>
      </c>
      <c r="M668" s="22">
        <f>_xlfn.CEILING.MATH(F668*2)</f>
        <v>318</v>
      </c>
      <c r="N668" s="22">
        <f>H668*1.18</f>
        <v>187.61999999999998</v>
      </c>
      <c r="O668" s="22">
        <f>_xlfn.CEILING.MATH(F668*1.56)-1</f>
        <v>248</v>
      </c>
    </row>
    <row r="669" spans="1:15" s="22" customFormat="1">
      <c r="A669" s="22">
        <v>453</v>
      </c>
      <c r="B669" s="22" t="s">
        <v>670</v>
      </c>
      <c r="C669" s="22" t="s">
        <v>1932</v>
      </c>
      <c r="E669" s="22">
        <v>1</v>
      </c>
      <c r="F669" s="22">
        <v>193.5</v>
      </c>
      <c r="G669" s="30">
        <f>IF(OR(M669="",O669="",M669=0),"",(M669-O669)/M669)</f>
        <v>0.22222222222222221</v>
      </c>
      <c r="H669" s="22">
        <v>193.5</v>
      </c>
      <c r="I669" s="22">
        <v>162</v>
      </c>
      <c r="J669" s="22">
        <v>4</v>
      </c>
      <c r="K669" s="22">
        <v>36</v>
      </c>
      <c r="L669" s="22">
        <v>18</v>
      </c>
      <c r="M669" s="22">
        <f>_xlfn.CEILING.MATH(F669*2)</f>
        <v>387</v>
      </c>
      <c r="N669" s="22">
        <f>H669*1.18</f>
        <v>228.32999999999998</v>
      </c>
      <c r="O669" s="22">
        <f>_xlfn.CEILING.MATH(F669*1.56)-1</f>
        <v>301</v>
      </c>
    </row>
    <row r="670" spans="1:15" s="22" customFormat="1">
      <c r="A670" s="22">
        <v>454</v>
      </c>
      <c r="B670" s="22" t="s">
        <v>671</v>
      </c>
      <c r="C670" s="22" t="s">
        <v>1933</v>
      </c>
      <c r="E670" s="22">
        <v>1</v>
      </c>
      <c r="F670" s="22">
        <v>99</v>
      </c>
      <c r="G670" s="30">
        <f>IF(OR(M670="",O670="",M670=0),"",(M670-O670)/M670)</f>
        <v>0.22222222222222221</v>
      </c>
      <c r="H670" s="22">
        <v>99</v>
      </c>
      <c r="I670" s="22">
        <v>1035</v>
      </c>
      <c r="J670" s="22">
        <v>1</v>
      </c>
      <c r="K670" s="22">
        <v>20</v>
      </c>
      <c r="L670" s="22">
        <v>18</v>
      </c>
      <c r="M670" s="22">
        <f>_xlfn.CEILING.MATH(F670*2)</f>
        <v>198</v>
      </c>
      <c r="N670" s="22">
        <f>H670*1.18</f>
        <v>116.82</v>
      </c>
      <c r="O670" s="22">
        <f>_xlfn.CEILING.MATH(F670*1.56)-1</f>
        <v>154</v>
      </c>
    </row>
    <row r="671" spans="1:15" s="22" customFormat="1">
      <c r="A671" s="22">
        <v>455</v>
      </c>
      <c r="B671" s="22" t="s">
        <v>672</v>
      </c>
      <c r="C671" s="22" t="s">
        <v>1934</v>
      </c>
      <c r="E671" s="22">
        <v>1</v>
      </c>
      <c r="F671" s="22">
        <v>120</v>
      </c>
      <c r="G671" s="30">
        <f>IF(OR(M671="",O671="",M671=0),"",(M671-O671)/M671)</f>
        <v>0.22083333333333333</v>
      </c>
      <c r="H671" s="22">
        <v>120</v>
      </c>
      <c r="I671" s="22">
        <v>98</v>
      </c>
      <c r="J671" s="22">
        <v>12</v>
      </c>
      <c r="K671" s="22">
        <v>72</v>
      </c>
      <c r="L671" s="22">
        <v>18</v>
      </c>
      <c r="M671" s="22">
        <f>_xlfn.CEILING.MATH(F671*2)</f>
        <v>240</v>
      </c>
      <c r="N671" s="22">
        <f>H671*1.18</f>
        <v>141.6</v>
      </c>
      <c r="O671" s="22">
        <f>_xlfn.CEILING.MATH(F671*1.56)-1</f>
        <v>187</v>
      </c>
    </row>
    <row r="672" spans="1:15" s="22" customFormat="1">
      <c r="A672" s="22">
        <v>456</v>
      </c>
      <c r="B672" s="22" t="s">
        <v>673</v>
      </c>
      <c r="C672" s="22" t="s">
        <v>1935</v>
      </c>
      <c r="E672" s="22">
        <v>1</v>
      </c>
      <c r="F672" s="22">
        <v>153</v>
      </c>
      <c r="G672" s="30">
        <f>IF(OR(M672="",O672="",M672=0),"",(M672-O672)/M672)</f>
        <v>0.22222222222222221</v>
      </c>
      <c r="H672" s="22">
        <v>153</v>
      </c>
      <c r="I672" s="22">
        <v>1294</v>
      </c>
      <c r="J672" s="22">
        <v>10</v>
      </c>
      <c r="K672" s="22">
        <v>60</v>
      </c>
      <c r="L672" s="22">
        <v>18</v>
      </c>
      <c r="M672" s="22">
        <f>_xlfn.CEILING.MATH(F672*2)</f>
        <v>306</v>
      </c>
      <c r="N672" s="22">
        <f>H672*1.18</f>
        <v>180.54</v>
      </c>
      <c r="O672" s="22">
        <f>_xlfn.CEILING.MATH(F672*1.56)-1</f>
        <v>238</v>
      </c>
    </row>
    <row r="673" spans="1:15" s="22" customFormat="1">
      <c r="A673" s="22">
        <v>457</v>
      </c>
      <c r="B673" s="22" t="s">
        <v>1936</v>
      </c>
      <c r="C673" s="22" t="s">
        <v>1937</v>
      </c>
      <c r="E673" s="22">
        <v>1</v>
      </c>
      <c r="F673" s="22">
        <v>142.5</v>
      </c>
      <c r="G673" s="30">
        <f>IF(OR(M673="",O673="",M673=0),"",(M673-O673)/M673)</f>
        <v>0.22105263157894736</v>
      </c>
      <c r="H673" s="22">
        <v>142.5</v>
      </c>
      <c r="I673" s="22">
        <v>6462</v>
      </c>
      <c r="J673" s="22">
        <v>0</v>
      </c>
      <c r="K673" s="22">
        <v>0</v>
      </c>
      <c r="L673" s="22">
        <v>18</v>
      </c>
      <c r="M673" s="22">
        <f>_xlfn.CEILING.MATH(F673*2)</f>
        <v>285</v>
      </c>
      <c r="N673" s="22">
        <f>H673*1.18</f>
        <v>168.14999999999998</v>
      </c>
      <c r="O673" s="22">
        <f>_xlfn.CEILING.MATH(F673*1.56)-1</f>
        <v>222</v>
      </c>
    </row>
    <row r="674" spans="1:15" s="22" customFormat="1">
      <c r="A674" s="22">
        <v>458</v>
      </c>
      <c r="B674" s="22" t="s">
        <v>674</v>
      </c>
      <c r="C674" s="22" t="s">
        <v>1938</v>
      </c>
      <c r="E674" s="22">
        <v>1</v>
      </c>
      <c r="F674" s="22">
        <v>106.2</v>
      </c>
      <c r="G674" s="30">
        <f>IF(OR(M674="",O674="",M674=0),"",(M674-O674)/M674)</f>
        <v>0.22535211267605634</v>
      </c>
      <c r="H674" s="22">
        <v>106.2</v>
      </c>
      <c r="I674" s="22">
        <v>6152</v>
      </c>
      <c r="J674" s="22">
        <v>0</v>
      </c>
      <c r="K674" s="22">
        <v>0</v>
      </c>
      <c r="L674" s="22">
        <v>18</v>
      </c>
      <c r="M674" s="22">
        <f>_xlfn.CEILING.MATH(F674*2)</f>
        <v>213</v>
      </c>
      <c r="N674" s="22">
        <f>H674*1.18</f>
        <v>125.316</v>
      </c>
      <c r="O674" s="22">
        <f>_xlfn.CEILING.MATH(F674*1.56)-1</f>
        <v>165</v>
      </c>
    </row>
    <row r="675" spans="1:15" s="22" customFormat="1">
      <c r="A675" s="22">
        <v>459</v>
      </c>
      <c r="B675" s="22" t="s">
        <v>675</v>
      </c>
      <c r="C675" s="22" t="s">
        <v>1939</v>
      </c>
      <c r="E675" s="22">
        <v>1</v>
      </c>
      <c r="F675" s="22">
        <v>135</v>
      </c>
      <c r="G675" s="30">
        <f>IF(OR(M675="",O675="",M675=0),"",(M675-O675)/M675)</f>
        <v>0.22222222222222221</v>
      </c>
      <c r="H675" s="22">
        <v>135</v>
      </c>
      <c r="I675" s="22">
        <v>1403</v>
      </c>
      <c r="J675" s="22">
        <v>10</v>
      </c>
      <c r="K675" s="22">
        <v>60</v>
      </c>
      <c r="L675" s="22">
        <v>18</v>
      </c>
      <c r="M675" s="22">
        <f>_xlfn.CEILING.MATH(F675*2)</f>
        <v>270</v>
      </c>
      <c r="N675" s="22">
        <f>H675*1.18</f>
        <v>159.29999999999998</v>
      </c>
      <c r="O675" s="22">
        <f>_xlfn.CEILING.MATH(F675*1.56)-1</f>
        <v>210</v>
      </c>
    </row>
    <row r="676" spans="1:15" s="22" customFormat="1">
      <c r="A676" s="22">
        <v>460</v>
      </c>
      <c r="B676" s="22" t="s">
        <v>676</v>
      </c>
      <c r="C676" s="22" t="s">
        <v>1940</v>
      </c>
      <c r="E676" s="22">
        <v>1</v>
      </c>
      <c r="F676" s="22">
        <v>540</v>
      </c>
      <c r="G676" s="30">
        <f>IF(OR(M676="",O676="",M676=0),"",(M676-O676)/M676)</f>
        <v>0.22037037037037038</v>
      </c>
      <c r="H676" s="22">
        <v>540</v>
      </c>
      <c r="I676" s="22">
        <v>0</v>
      </c>
      <c r="J676" s="22">
        <v>4</v>
      </c>
      <c r="K676" s="22">
        <v>8</v>
      </c>
      <c r="L676" s="22">
        <v>18</v>
      </c>
      <c r="M676" s="22">
        <f>_xlfn.CEILING.MATH(F676*2)</f>
        <v>1080</v>
      </c>
      <c r="N676" s="22">
        <f>H676*1.18</f>
        <v>637.19999999999993</v>
      </c>
      <c r="O676" s="22">
        <f>_xlfn.CEILING.MATH(F676*1.56)-1</f>
        <v>842</v>
      </c>
    </row>
    <row r="677" spans="1:15" s="22" customFormat="1">
      <c r="A677" s="22">
        <v>461</v>
      </c>
      <c r="B677" s="22" t="s">
        <v>677</v>
      </c>
      <c r="C677" s="22" t="s">
        <v>1941</v>
      </c>
      <c r="E677" s="22">
        <v>1</v>
      </c>
      <c r="F677" s="22">
        <v>225</v>
      </c>
      <c r="G677" s="30">
        <f>IF(OR(M677="",O677="",M677=0),"",(M677-O677)/M677)</f>
        <v>0.22222222222222221</v>
      </c>
      <c r="H677" s="22">
        <v>225</v>
      </c>
      <c r="I677" s="22">
        <v>0</v>
      </c>
      <c r="J677" s="22">
        <v>5</v>
      </c>
      <c r="K677" s="22">
        <v>20</v>
      </c>
      <c r="L677" s="22">
        <v>18</v>
      </c>
      <c r="M677" s="22">
        <f>_xlfn.CEILING.MATH(F677*2)</f>
        <v>450</v>
      </c>
      <c r="N677" s="22">
        <f>H677*1.18</f>
        <v>265.5</v>
      </c>
      <c r="O677" s="22">
        <f>_xlfn.CEILING.MATH(F677*1.56)-1</f>
        <v>350</v>
      </c>
    </row>
    <row r="678" spans="1:15" s="22" customFormat="1">
      <c r="A678" s="22">
        <v>462</v>
      </c>
      <c r="B678" s="22" t="s">
        <v>678</v>
      </c>
      <c r="C678" s="22" t="s">
        <v>1942</v>
      </c>
      <c r="E678" s="22">
        <v>1</v>
      </c>
      <c r="F678" s="22">
        <v>24</v>
      </c>
      <c r="G678" s="30">
        <f>IF(OR(M678="",O678="",M678=0),"",(M678-O678)/M678)</f>
        <v>0.22916666666666666</v>
      </c>
      <c r="H678" s="22">
        <v>24</v>
      </c>
      <c r="I678" s="22">
        <v>944</v>
      </c>
      <c r="J678" s="22">
        <v>10</v>
      </c>
      <c r="K678" s="22">
        <v>500</v>
      </c>
      <c r="L678" s="22">
        <v>18</v>
      </c>
      <c r="M678" s="22">
        <f>_xlfn.CEILING.MATH(F678*2)</f>
        <v>48</v>
      </c>
      <c r="N678" s="22">
        <f>H678*1.18</f>
        <v>28.32</v>
      </c>
      <c r="O678" s="22">
        <f>_xlfn.CEILING.MATH(F678*1.56)-1</f>
        <v>37</v>
      </c>
    </row>
    <row r="679" spans="1:15" s="22" customFormat="1">
      <c r="A679" s="22">
        <v>463</v>
      </c>
      <c r="B679" s="22" t="s">
        <v>679</v>
      </c>
      <c r="C679" s="22" t="s">
        <v>1943</v>
      </c>
      <c r="E679" s="22">
        <v>1</v>
      </c>
      <c r="F679" s="22">
        <v>27</v>
      </c>
      <c r="G679" s="30">
        <f>IF(OR(M679="",O679="",M679=0),"",(M679-O679)/M679)</f>
        <v>0.22222222222222221</v>
      </c>
      <c r="H679" s="22">
        <v>27</v>
      </c>
      <c r="I679" s="22">
        <v>1022</v>
      </c>
      <c r="J679" s="22">
        <v>10</v>
      </c>
      <c r="K679" s="22">
        <v>500</v>
      </c>
      <c r="L679" s="22">
        <v>18</v>
      </c>
      <c r="M679" s="22">
        <f>_xlfn.CEILING.MATH(F679*2)</f>
        <v>54</v>
      </c>
      <c r="N679" s="22">
        <f>H679*1.18</f>
        <v>31.86</v>
      </c>
      <c r="O679" s="22">
        <f>_xlfn.CEILING.MATH(F679*1.56)-1</f>
        <v>42</v>
      </c>
    </row>
    <row r="680" spans="1:15" s="22" customFormat="1">
      <c r="A680" s="22">
        <v>464</v>
      </c>
      <c r="B680" s="22" t="s">
        <v>680</v>
      </c>
      <c r="C680" s="22" t="s">
        <v>1944</v>
      </c>
      <c r="E680" s="22">
        <v>1</v>
      </c>
      <c r="F680" s="22">
        <v>28.5</v>
      </c>
      <c r="G680" s="30">
        <f>IF(OR(M680="",O680="",M680=0),"",(M680-O680)/M680)</f>
        <v>0.22807017543859648</v>
      </c>
      <c r="H680" s="22">
        <v>28.5</v>
      </c>
      <c r="I680" s="22">
        <v>161</v>
      </c>
      <c r="J680" s="22">
        <v>10</v>
      </c>
      <c r="K680" s="22">
        <v>400</v>
      </c>
      <c r="L680" s="22">
        <v>18</v>
      </c>
      <c r="M680" s="22">
        <f>_xlfn.CEILING.MATH(F680*2)</f>
        <v>57</v>
      </c>
      <c r="N680" s="22">
        <f>H680*1.18</f>
        <v>33.629999999999995</v>
      </c>
      <c r="O680" s="22">
        <f>_xlfn.CEILING.MATH(F680*1.56)-1</f>
        <v>44</v>
      </c>
    </row>
    <row r="681" spans="1:15" s="22" customFormat="1">
      <c r="A681" s="22">
        <v>465</v>
      </c>
      <c r="B681" s="22" t="s">
        <v>681</v>
      </c>
      <c r="C681" s="22" t="s">
        <v>1945</v>
      </c>
      <c r="E681" s="22">
        <v>1</v>
      </c>
      <c r="F681" s="22">
        <v>31.5</v>
      </c>
      <c r="G681" s="30">
        <f>IF(OR(M681="",O681="",M681=0),"",(M681-O681)/M681)</f>
        <v>0.22222222222222221</v>
      </c>
      <c r="H681" s="22">
        <v>31.5</v>
      </c>
      <c r="I681" s="22">
        <v>342</v>
      </c>
      <c r="J681" s="22">
        <v>10</v>
      </c>
      <c r="K681" s="22">
        <v>400</v>
      </c>
      <c r="L681" s="22">
        <v>18</v>
      </c>
      <c r="M681" s="22">
        <f>_xlfn.CEILING.MATH(F681*2)</f>
        <v>63</v>
      </c>
      <c r="N681" s="22">
        <f>H681*1.18</f>
        <v>37.169999999999995</v>
      </c>
      <c r="O681" s="22">
        <f>_xlfn.CEILING.MATH(F681*1.56)-1</f>
        <v>49</v>
      </c>
    </row>
    <row r="682" spans="1:15" s="22" customFormat="1">
      <c r="A682" s="22">
        <v>466</v>
      </c>
      <c r="B682" s="22" t="s">
        <v>682</v>
      </c>
      <c r="C682" s="22" t="s">
        <v>1946</v>
      </c>
      <c r="E682" s="22">
        <v>1</v>
      </c>
      <c r="F682" s="22">
        <v>33</v>
      </c>
      <c r="G682" s="30">
        <f>IF(OR(M682="",O682="",M682=0),"",(M682-O682)/M682)</f>
        <v>0.22727272727272727</v>
      </c>
      <c r="H682" s="22">
        <v>33</v>
      </c>
      <c r="I682" s="22">
        <v>53</v>
      </c>
      <c r="J682" s="22">
        <v>10</v>
      </c>
      <c r="K682" s="22">
        <v>400</v>
      </c>
      <c r="L682" s="22">
        <v>18</v>
      </c>
      <c r="M682" s="22">
        <f>_xlfn.CEILING.MATH(F682*2)</f>
        <v>66</v>
      </c>
      <c r="N682" s="22">
        <f>H682*1.18</f>
        <v>38.94</v>
      </c>
      <c r="O682" s="22">
        <f>_xlfn.CEILING.MATH(F682*1.56)-1</f>
        <v>51</v>
      </c>
    </row>
    <row r="683" spans="1:15" s="22" customFormat="1">
      <c r="A683" s="22">
        <v>467</v>
      </c>
      <c r="B683" s="22" t="s">
        <v>683</v>
      </c>
      <c r="C683" s="22" t="s">
        <v>1947</v>
      </c>
      <c r="E683" s="22">
        <v>1</v>
      </c>
      <c r="F683" s="22">
        <v>34.5</v>
      </c>
      <c r="G683" s="30">
        <f>IF(OR(M683="",O683="",M683=0),"",(M683-O683)/M683)</f>
        <v>0.2318840579710145</v>
      </c>
      <c r="H683" s="22">
        <v>34.5</v>
      </c>
      <c r="I683" s="22">
        <v>3009</v>
      </c>
      <c r="J683" s="22">
        <v>10</v>
      </c>
      <c r="K683" s="22">
        <v>300</v>
      </c>
      <c r="L683" s="22">
        <v>18</v>
      </c>
      <c r="M683" s="22">
        <f>_xlfn.CEILING.MATH(F683*2)</f>
        <v>69</v>
      </c>
      <c r="N683" s="22">
        <f>H683*1.18</f>
        <v>40.71</v>
      </c>
      <c r="O683" s="22">
        <f>_xlfn.CEILING.MATH(F683*1.56)-1</f>
        <v>53</v>
      </c>
    </row>
    <row r="684" spans="1:15" s="22" customFormat="1">
      <c r="A684" s="22">
        <v>468</v>
      </c>
      <c r="B684" s="22" t="s">
        <v>684</v>
      </c>
      <c r="C684" s="22" t="s">
        <v>1948</v>
      </c>
      <c r="E684" s="22">
        <v>1</v>
      </c>
      <c r="F684" s="22">
        <v>37.5</v>
      </c>
      <c r="G684" s="30">
        <f>IF(OR(M684="",O684="",M684=0),"",(M684-O684)/M684)</f>
        <v>0.22666666666666666</v>
      </c>
      <c r="H684" s="22">
        <v>37.5</v>
      </c>
      <c r="I684" s="22">
        <v>5523</v>
      </c>
      <c r="J684" s="22">
        <v>10</v>
      </c>
      <c r="K684" s="22">
        <v>300</v>
      </c>
      <c r="L684" s="22">
        <v>18</v>
      </c>
      <c r="M684" s="22">
        <f>_xlfn.CEILING.MATH(F684*2)</f>
        <v>75</v>
      </c>
      <c r="N684" s="22">
        <f>H684*1.18</f>
        <v>44.25</v>
      </c>
      <c r="O684" s="22">
        <f>_xlfn.CEILING.MATH(F684*1.56)-1</f>
        <v>58</v>
      </c>
    </row>
    <row r="685" spans="1:15" s="22" customFormat="1">
      <c r="A685" s="22">
        <v>469</v>
      </c>
      <c r="B685" s="22" t="s">
        <v>685</v>
      </c>
      <c r="C685" s="22" t="s">
        <v>1949</v>
      </c>
      <c r="E685" s="22">
        <v>1</v>
      </c>
      <c r="F685" s="22">
        <v>40.5</v>
      </c>
      <c r="G685" s="30">
        <f>IF(OR(M685="",O685="",M685=0),"",(M685-O685)/M685)</f>
        <v>0.22222222222222221</v>
      </c>
      <c r="H685" s="22">
        <v>40.5</v>
      </c>
      <c r="I685" s="22">
        <v>312</v>
      </c>
      <c r="J685" s="22">
        <v>10</v>
      </c>
      <c r="K685" s="22">
        <v>300</v>
      </c>
      <c r="L685" s="22">
        <v>18</v>
      </c>
      <c r="M685" s="22">
        <f>_xlfn.CEILING.MATH(F685*2)</f>
        <v>81</v>
      </c>
      <c r="N685" s="22">
        <f>H685*1.18</f>
        <v>47.79</v>
      </c>
      <c r="O685" s="22">
        <f>_xlfn.CEILING.MATH(F685*1.56)-1</f>
        <v>63</v>
      </c>
    </row>
    <row r="686" spans="1:15" s="22" customFormat="1">
      <c r="A686" s="22">
        <v>470</v>
      </c>
      <c r="B686" s="22" t="s">
        <v>686</v>
      </c>
      <c r="C686" s="22" t="s">
        <v>1950</v>
      </c>
      <c r="E686" s="22">
        <v>1</v>
      </c>
      <c r="F686" s="22">
        <v>45</v>
      </c>
      <c r="G686" s="30">
        <f>IF(OR(M686="",O686="",M686=0),"",(M686-O686)/M686)</f>
        <v>0.22222222222222221</v>
      </c>
      <c r="H686" s="22">
        <v>45</v>
      </c>
      <c r="I686" s="22">
        <v>322</v>
      </c>
      <c r="J686" s="22">
        <v>10</v>
      </c>
      <c r="K686" s="22">
        <v>200</v>
      </c>
      <c r="L686" s="22">
        <v>18</v>
      </c>
      <c r="M686" s="22">
        <f>_xlfn.CEILING.MATH(F686*2)</f>
        <v>90</v>
      </c>
      <c r="N686" s="22">
        <f>H686*1.18</f>
        <v>53.099999999999994</v>
      </c>
      <c r="O686" s="22">
        <f>_xlfn.CEILING.MATH(F686*1.56)-1</f>
        <v>70</v>
      </c>
    </row>
    <row r="687" spans="1:15" s="22" customFormat="1">
      <c r="A687" s="22">
        <v>471</v>
      </c>
      <c r="B687" s="22" t="s">
        <v>687</v>
      </c>
      <c r="C687" s="22" t="s">
        <v>1951</v>
      </c>
      <c r="E687" s="22">
        <v>1</v>
      </c>
      <c r="F687" s="22">
        <v>48</v>
      </c>
      <c r="G687" s="30">
        <f>IF(OR(M687="",O687="",M687=0),"",(M687-O687)/M687)</f>
        <v>0.22916666666666666</v>
      </c>
      <c r="H687" s="22">
        <v>48</v>
      </c>
      <c r="I687" s="22">
        <v>692</v>
      </c>
      <c r="J687" s="22">
        <v>5</v>
      </c>
      <c r="K687" s="22">
        <v>150</v>
      </c>
      <c r="L687" s="22">
        <v>18</v>
      </c>
      <c r="M687" s="22">
        <f>_xlfn.CEILING.MATH(F687*2)</f>
        <v>96</v>
      </c>
      <c r="N687" s="22">
        <f>H687*1.18</f>
        <v>56.64</v>
      </c>
      <c r="O687" s="22">
        <f>_xlfn.CEILING.MATH(F687*1.56)-1</f>
        <v>74</v>
      </c>
    </row>
    <row r="688" spans="1:15" s="22" customFormat="1">
      <c r="A688" s="22">
        <v>472</v>
      </c>
      <c r="B688" s="22" t="s">
        <v>688</v>
      </c>
      <c r="C688" s="22" t="s">
        <v>1952</v>
      </c>
      <c r="E688" s="22">
        <v>1</v>
      </c>
      <c r="F688" s="22">
        <v>49.5</v>
      </c>
      <c r="G688" s="30">
        <f>IF(OR(M688="",O688="",M688=0),"",(M688-O688)/M688)</f>
        <v>0.22222222222222221</v>
      </c>
      <c r="H688" s="22">
        <v>49.5</v>
      </c>
      <c r="I688" s="22">
        <v>2019</v>
      </c>
      <c r="J688" s="22">
        <v>5</v>
      </c>
      <c r="K688" s="22">
        <v>150</v>
      </c>
      <c r="L688" s="22">
        <v>18</v>
      </c>
      <c r="M688" s="22">
        <f>_xlfn.CEILING.MATH(F688*2)</f>
        <v>99</v>
      </c>
      <c r="N688" s="22">
        <f>H688*1.18</f>
        <v>58.41</v>
      </c>
      <c r="O688" s="22">
        <f>_xlfn.CEILING.MATH(F688*1.56)-1</f>
        <v>77</v>
      </c>
    </row>
    <row r="689" spans="1:15" s="22" customFormat="1">
      <c r="A689" s="22">
        <v>473</v>
      </c>
      <c r="B689" s="22" t="s">
        <v>689</v>
      </c>
      <c r="C689" s="22" t="s">
        <v>1953</v>
      </c>
      <c r="E689" s="22">
        <v>1</v>
      </c>
      <c r="F689" s="22">
        <v>55.5</v>
      </c>
      <c r="G689" s="30">
        <f>IF(OR(M689="",O689="",M689=0),"",(M689-O689)/M689)</f>
        <v>0.22522522522522523</v>
      </c>
      <c r="H689" s="22">
        <v>55.5</v>
      </c>
      <c r="I689" s="22">
        <v>445</v>
      </c>
      <c r="J689" s="22">
        <v>5</v>
      </c>
      <c r="K689" s="22">
        <v>125</v>
      </c>
      <c r="L689" s="22">
        <v>18</v>
      </c>
      <c r="M689" s="22">
        <f>_xlfn.CEILING.MATH(F689*2)</f>
        <v>111</v>
      </c>
      <c r="N689" s="22">
        <f>H689*1.18</f>
        <v>65.489999999999995</v>
      </c>
      <c r="O689" s="22">
        <f>_xlfn.CEILING.MATH(F689*1.56)-1</f>
        <v>86</v>
      </c>
    </row>
    <row r="690" spans="1:15" s="22" customFormat="1">
      <c r="A690" s="22">
        <v>474</v>
      </c>
      <c r="B690" s="22" t="s">
        <v>690</v>
      </c>
      <c r="C690" s="22" t="s">
        <v>1954</v>
      </c>
      <c r="E690" s="22">
        <v>1</v>
      </c>
      <c r="F690" s="22">
        <v>63</v>
      </c>
      <c r="G690" s="30">
        <f>IF(OR(M690="",O690="",M690=0),"",(M690-O690)/M690)</f>
        <v>0.22222222222222221</v>
      </c>
      <c r="H690" s="22">
        <v>63</v>
      </c>
      <c r="I690" s="22">
        <v>190</v>
      </c>
      <c r="J690" s="22">
        <v>5</v>
      </c>
      <c r="K690" s="22">
        <v>100</v>
      </c>
      <c r="L690" s="22">
        <v>18</v>
      </c>
      <c r="M690" s="22">
        <f>_xlfn.CEILING.MATH(F690*2)</f>
        <v>126</v>
      </c>
      <c r="N690" s="22">
        <f>H690*1.18</f>
        <v>74.339999999999989</v>
      </c>
      <c r="O690" s="22">
        <f>_xlfn.CEILING.MATH(F690*1.56)-1</f>
        <v>98</v>
      </c>
    </row>
    <row r="691" spans="1:15" s="22" customFormat="1">
      <c r="A691" s="22">
        <v>475</v>
      </c>
      <c r="B691" s="22" t="s">
        <v>691</v>
      </c>
      <c r="C691" s="22" t="s">
        <v>1955</v>
      </c>
      <c r="E691" s="22">
        <v>1</v>
      </c>
      <c r="F691" s="22">
        <v>67.5</v>
      </c>
      <c r="G691" s="30">
        <f>IF(OR(M691="",O691="",M691=0),"",(M691-O691)/M691)</f>
        <v>0.22222222222222221</v>
      </c>
      <c r="H691" s="22">
        <v>67.5</v>
      </c>
      <c r="I691" s="22">
        <v>1238</v>
      </c>
      <c r="J691" s="22">
        <v>5</v>
      </c>
      <c r="K691" s="22">
        <v>100</v>
      </c>
      <c r="L691" s="22">
        <v>18</v>
      </c>
      <c r="M691" s="22">
        <f>_xlfn.CEILING.MATH(F691*2)</f>
        <v>135</v>
      </c>
      <c r="N691" s="22">
        <f>H691*1.18</f>
        <v>79.649999999999991</v>
      </c>
      <c r="O691" s="22">
        <f>_xlfn.CEILING.MATH(F691*1.56)-1</f>
        <v>105</v>
      </c>
    </row>
    <row r="692" spans="1:15" s="22" customFormat="1">
      <c r="A692" s="22">
        <v>476</v>
      </c>
      <c r="B692" s="22" t="s">
        <v>692</v>
      </c>
      <c r="C692" s="22" t="s">
        <v>1956</v>
      </c>
      <c r="E692" s="22">
        <v>1</v>
      </c>
      <c r="F692" s="22">
        <v>76.5</v>
      </c>
      <c r="G692" s="30">
        <f>IF(OR(M692="",O692="",M692=0),"",(M692-O692)/M692)</f>
        <v>0.22222222222222221</v>
      </c>
      <c r="H692" s="22">
        <v>76.5</v>
      </c>
      <c r="I692" s="22">
        <v>2155</v>
      </c>
      <c r="J692" s="22">
        <v>5</v>
      </c>
      <c r="K692" s="22">
        <v>100</v>
      </c>
      <c r="L692" s="22">
        <v>18</v>
      </c>
      <c r="M692" s="22">
        <f>_xlfn.CEILING.MATH(F692*2)</f>
        <v>153</v>
      </c>
      <c r="N692" s="22">
        <f>H692*1.18</f>
        <v>90.27</v>
      </c>
      <c r="O692" s="22">
        <f>_xlfn.CEILING.MATH(F692*1.56)-1</f>
        <v>119</v>
      </c>
    </row>
    <row r="693" spans="1:15" s="22" customFormat="1">
      <c r="A693" s="22">
        <v>477</v>
      </c>
      <c r="B693" s="22" t="s">
        <v>693</v>
      </c>
      <c r="C693" s="22" t="s">
        <v>1957</v>
      </c>
      <c r="E693" s="22">
        <v>1</v>
      </c>
      <c r="F693" s="22">
        <v>90</v>
      </c>
      <c r="G693" s="30">
        <f>IF(OR(M693="",O693="",M693=0),"",(M693-O693)/M693)</f>
        <v>0.22222222222222221</v>
      </c>
      <c r="H693" s="22">
        <v>90</v>
      </c>
      <c r="I693" s="22">
        <v>1176</v>
      </c>
      <c r="J693" s="22">
        <v>5</v>
      </c>
      <c r="K693" s="22">
        <v>75</v>
      </c>
      <c r="L693" s="22">
        <v>18</v>
      </c>
      <c r="M693" s="22">
        <f>_xlfn.CEILING.MATH(F693*2)</f>
        <v>180</v>
      </c>
      <c r="N693" s="22">
        <f>H693*1.18</f>
        <v>106.19999999999999</v>
      </c>
      <c r="O693" s="22">
        <f>_xlfn.CEILING.MATH(F693*1.56)-1</f>
        <v>140</v>
      </c>
    </row>
    <row r="694" spans="1:15" s="22" customFormat="1">
      <c r="A694" s="22">
        <v>478</v>
      </c>
      <c r="B694" s="22" t="s">
        <v>694</v>
      </c>
      <c r="C694" s="22" t="s">
        <v>1958</v>
      </c>
      <c r="E694" s="22">
        <v>1</v>
      </c>
      <c r="F694" s="22">
        <v>112.5</v>
      </c>
      <c r="G694" s="30">
        <f>IF(OR(M694="",O694="",M694=0),"",(M694-O694)/M694)</f>
        <v>0.22222222222222221</v>
      </c>
      <c r="H694" s="22">
        <v>112.5</v>
      </c>
      <c r="I694" s="22">
        <v>251</v>
      </c>
      <c r="J694" s="22">
        <v>5</v>
      </c>
      <c r="K694" s="22">
        <v>75</v>
      </c>
      <c r="L694" s="22">
        <v>18</v>
      </c>
      <c r="M694" s="22">
        <f>_xlfn.CEILING.MATH(F694*2)</f>
        <v>225</v>
      </c>
      <c r="N694" s="22">
        <f>H694*1.18</f>
        <v>132.75</v>
      </c>
      <c r="O694" s="22">
        <f>_xlfn.CEILING.MATH(F694*1.56)-1</f>
        <v>175</v>
      </c>
    </row>
    <row r="695" spans="1:15" s="22" customFormat="1">
      <c r="A695" s="22">
        <v>479</v>
      </c>
      <c r="B695" s="22" t="s">
        <v>695</v>
      </c>
      <c r="C695" s="22" t="s">
        <v>1959</v>
      </c>
      <c r="E695" s="22">
        <v>1</v>
      </c>
      <c r="F695" s="22">
        <v>129</v>
      </c>
      <c r="G695" s="30">
        <f>IF(OR(M695="",O695="",M695=0),"",(M695-O695)/M695)</f>
        <v>0.22093023255813954</v>
      </c>
      <c r="H695" s="22">
        <v>129</v>
      </c>
      <c r="I695" s="22">
        <v>35</v>
      </c>
      <c r="J695" s="22">
        <v>5</v>
      </c>
      <c r="K695" s="22">
        <v>50</v>
      </c>
      <c r="L695" s="22">
        <v>18</v>
      </c>
      <c r="M695" s="22">
        <f>_xlfn.CEILING.MATH(F695*2)</f>
        <v>258</v>
      </c>
      <c r="N695" s="22">
        <f>H695*1.18</f>
        <v>152.22</v>
      </c>
      <c r="O695" s="22">
        <f>_xlfn.CEILING.MATH(F695*1.56)-1</f>
        <v>201</v>
      </c>
    </row>
    <row r="696" spans="1:15" s="22" customFormat="1">
      <c r="A696" s="22">
        <v>480</v>
      </c>
      <c r="B696" s="22" t="s">
        <v>696</v>
      </c>
      <c r="C696" s="22" t="s">
        <v>1960</v>
      </c>
      <c r="E696" s="22">
        <v>1</v>
      </c>
      <c r="F696" s="22">
        <v>142.5</v>
      </c>
      <c r="G696" s="30">
        <f>IF(OR(M696="",O696="",M696=0),"",(M696-O696)/M696)</f>
        <v>0.22105263157894736</v>
      </c>
      <c r="H696" s="22">
        <v>142.5</v>
      </c>
      <c r="I696" s="22">
        <v>60</v>
      </c>
      <c r="J696" s="22">
        <v>5</v>
      </c>
      <c r="K696" s="22">
        <v>50</v>
      </c>
      <c r="L696" s="22">
        <v>18</v>
      </c>
      <c r="M696" s="22">
        <f>_xlfn.CEILING.MATH(F696*2)</f>
        <v>285</v>
      </c>
      <c r="N696" s="22">
        <f>H696*1.18</f>
        <v>168.14999999999998</v>
      </c>
      <c r="O696" s="22">
        <f>_xlfn.CEILING.MATH(F696*1.56)-1</f>
        <v>222</v>
      </c>
    </row>
    <row r="697" spans="1:15" s="22" customFormat="1">
      <c r="A697" s="22">
        <v>481</v>
      </c>
      <c r="B697" s="22" t="s">
        <v>697</v>
      </c>
      <c r="C697" s="22" t="s">
        <v>1961</v>
      </c>
      <c r="E697" s="22">
        <v>1</v>
      </c>
      <c r="F697" s="22">
        <v>165</v>
      </c>
      <c r="G697" s="30">
        <f>IF(OR(M697="",O697="",M697=0),"",(M697-O697)/M697)</f>
        <v>0.22121212121212122</v>
      </c>
      <c r="H697" s="22">
        <v>165</v>
      </c>
      <c r="I697" s="22">
        <v>147</v>
      </c>
      <c r="J697" s="22">
        <v>5</v>
      </c>
      <c r="K697" s="22">
        <v>50</v>
      </c>
      <c r="L697" s="22">
        <v>18</v>
      </c>
      <c r="M697" s="22">
        <f>_xlfn.CEILING.MATH(F697*2)</f>
        <v>330</v>
      </c>
      <c r="N697" s="22">
        <f>H697*1.18</f>
        <v>194.7</v>
      </c>
      <c r="O697" s="22">
        <f>_xlfn.CEILING.MATH(F697*1.56)-1</f>
        <v>257</v>
      </c>
    </row>
    <row r="698" spans="1:15" s="22" customFormat="1">
      <c r="A698" s="22">
        <v>482</v>
      </c>
      <c r="B698" s="22" t="s">
        <v>698</v>
      </c>
      <c r="C698" s="22" t="s">
        <v>1962</v>
      </c>
      <c r="E698" s="22">
        <v>1</v>
      </c>
      <c r="F698" s="22">
        <v>165</v>
      </c>
      <c r="G698" s="30">
        <f>IF(OR(M698="",O698="",M698=0),"",(M698-O698)/M698)</f>
        <v>0.22121212121212122</v>
      </c>
      <c r="H698" s="22">
        <v>165</v>
      </c>
      <c r="I698" s="22">
        <v>36</v>
      </c>
      <c r="J698" s="22">
        <v>5</v>
      </c>
      <c r="K698" s="22">
        <v>40</v>
      </c>
      <c r="L698" s="22">
        <v>18</v>
      </c>
      <c r="M698" s="22">
        <f>_xlfn.CEILING.MATH(F698*2)</f>
        <v>330</v>
      </c>
      <c r="N698" s="22">
        <f>H698*1.18</f>
        <v>194.7</v>
      </c>
      <c r="O698" s="22">
        <f>_xlfn.CEILING.MATH(F698*1.56)-1</f>
        <v>257</v>
      </c>
    </row>
    <row r="699" spans="1:15" s="22" customFormat="1">
      <c r="A699" s="22">
        <v>483</v>
      </c>
      <c r="B699" s="22" t="s">
        <v>699</v>
      </c>
      <c r="C699" s="22" t="s">
        <v>1963</v>
      </c>
      <c r="E699" s="22">
        <v>1</v>
      </c>
      <c r="F699" s="22">
        <v>180</v>
      </c>
      <c r="G699" s="30">
        <f>IF(OR(M699="",O699="",M699=0),"",(M699-O699)/M699)</f>
        <v>0.22222222222222221</v>
      </c>
      <c r="H699" s="22">
        <v>180</v>
      </c>
      <c r="I699" s="22">
        <v>109</v>
      </c>
      <c r="J699" s="22">
        <v>5</v>
      </c>
      <c r="K699" s="22">
        <v>40</v>
      </c>
      <c r="L699" s="22">
        <v>18</v>
      </c>
      <c r="M699" s="22">
        <f>_xlfn.CEILING.MATH(F699*2)</f>
        <v>360</v>
      </c>
      <c r="N699" s="22">
        <f>H699*1.18</f>
        <v>212.39999999999998</v>
      </c>
      <c r="O699" s="22">
        <f>_xlfn.CEILING.MATH(F699*1.56)-1</f>
        <v>280</v>
      </c>
    </row>
    <row r="700" spans="1:15" s="22" customFormat="1">
      <c r="A700" s="22">
        <v>484</v>
      </c>
      <c r="B700" s="22" t="s">
        <v>700</v>
      </c>
      <c r="C700" s="22" t="s">
        <v>1964</v>
      </c>
      <c r="E700" s="22">
        <v>1</v>
      </c>
      <c r="F700" s="22">
        <v>195</v>
      </c>
      <c r="G700" s="30">
        <f>IF(OR(M700="",O700="",M700=0),"",(M700-O700)/M700)</f>
        <v>0.22051282051282051</v>
      </c>
      <c r="H700" s="22">
        <v>195</v>
      </c>
      <c r="I700" s="22">
        <v>38</v>
      </c>
      <c r="J700" s="22">
        <v>5</v>
      </c>
      <c r="K700" s="22">
        <v>40</v>
      </c>
      <c r="L700" s="22">
        <v>18</v>
      </c>
      <c r="M700" s="22">
        <f>_xlfn.CEILING.MATH(F700*2)</f>
        <v>390</v>
      </c>
      <c r="N700" s="22">
        <f>H700*1.18</f>
        <v>230.1</v>
      </c>
      <c r="O700" s="22">
        <f>_xlfn.CEILING.MATH(F700*1.56)-1</f>
        <v>304</v>
      </c>
    </row>
    <row r="701" spans="1:15" s="22" customFormat="1">
      <c r="A701" s="22">
        <v>485</v>
      </c>
      <c r="B701" s="22" t="s">
        <v>701</v>
      </c>
      <c r="C701" s="22" t="s">
        <v>1965</v>
      </c>
      <c r="E701" s="22">
        <v>1</v>
      </c>
      <c r="F701" s="22">
        <v>195</v>
      </c>
      <c r="G701" s="30">
        <f>IF(OR(M701="",O701="",M701=0),"",(M701-O701)/M701)</f>
        <v>0.22051282051282051</v>
      </c>
      <c r="H701" s="22">
        <v>195</v>
      </c>
      <c r="I701" s="22">
        <v>19</v>
      </c>
      <c r="J701" s="22">
        <v>5</v>
      </c>
      <c r="K701" s="22">
        <v>30</v>
      </c>
      <c r="L701" s="22">
        <v>18</v>
      </c>
      <c r="M701" s="22">
        <f>_xlfn.CEILING.MATH(F701*2)</f>
        <v>390</v>
      </c>
      <c r="N701" s="22">
        <f>H701*1.18</f>
        <v>230.1</v>
      </c>
      <c r="O701" s="22">
        <f>_xlfn.CEILING.MATH(F701*1.56)-1</f>
        <v>304</v>
      </c>
    </row>
    <row r="702" spans="1:15" s="22" customFormat="1">
      <c r="A702" s="22">
        <v>486</v>
      </c>
      <c r="B702" s="22" t="s">
        <v>702</v>
      </c>
      <c r="C702" s="22" t="s">
        <v>1966</v>
      </c>
      <c r="E702" s="22">
        <v>1</v>
      </c>
      <c r="F702" s="22">
        <v>195</v>
      </c>
      <c r="G702" s="30">
        <f>IF(OR(M702="",O702="",M702=0),"",(M702-O702)/M702)</f>
        <v>0.22051282051282051</v>
      </c>
      <c r="H702" s="22">
        <v>195</v>
      </c>
      <c r="I702" s="22">
        <v>7</v>
      </c>
      <c r="J702" s="22">
        <v>5</v>
      </c>
      <c r="K702" s="22">
        <v>30</v>
      </c>
      <c r="L702" s="22">
        <v>18</v>
      </c>
      <c r="M702" s="22">
        <f>_xlfn.CEILING.MATH(F702*2)</f>
        <v>390</v>
      </c>
      <c r="N702" s="22">
        <f>H702*1.18</f>
        <v>230.1</v>
      </c>
      <c r="O702" s="22">
        <f>_xlfn.CEILING.MATH(F702*1.56)-1</f>
        <v>304</v>
      </c>
    </row>
    <row r="703" spans="1:15" s="22" customFormat="1">
      <c r="A703" s="22">
        <v>487</v>
      </c>
      <c r="B703" s="22" t="s">
        <v>703</v>
      </c>
      <c r="C703" s="22" t="s">
        <v>1967</v>
      </c>
      <c r="E703" s="22">
        <v>1</v>
      </c>
      <c r="F703" s="22">
        <v>240</v>
      </c>
      <c r="G703" s="30">
        <f>IF(OR(M703="",O703="",M703=0),"",(M703-O703)/M703)</f>
        <v>0.22083333333333333</v>
      </c>
      <c r="H703" s="22">
        <v>240</v>
      </c>
      <c r="I703" s="22">
        <v>4</v>
      </c>
      <c r="J703" s="22">
        <v>5</v>
      </c>
      <c r="K703" s="22">
        <v>30</v>
      </c>
      <c r="L703" s="22">
        <v>18</v>
      </c>
      <c r="M703" s="22">
        <f>_xlfn.CEILING.MATH(F703*2)</f>
        <v>480</v>
      </c>
      <c r="N703" s="22">
        <f>H703*1.18</f>
        <v>283.2</v>
      </c>
      <c r="O703" s="22">
        <f>_xlfn.CEILING.MATH(F703*1.56)-1</f>
        <v>374</v>
      </c>
    </row>
    <row r="704" spans="1:15" s="22" customFormat="1">
      <c r="A704" s="22">
        <v>488</v>
      </c>
      <c r="B704" s="22" t="s">
        <v>704</v>
      </c>
      <c r="C704" s="22" t="s">
        <v>1968</v>
      </c>
      <c r="E704" s="22">
        <v>1</v>
      </c>
      <c r="F704" s="22">
        <v>420</v>
      </c>
      <c r="G704" s="30">
        <f>IF(OR(M704="",O704="",M704=0),"",(M704-O704)/M704)</f>
        <v>0.22023809523809523</v>
      </c>
      <c r="H704" s="22">
        <v>420</v>
      </c>
      <c r="I704" s="22">
        <v>36</v>
      </c>
      <c r="J704" s="22">
        <v>5</v>
      </c>
      <c r="K704" s="22">
        <v>20</v>
      </c>
      <c r="L704" s="22">
        <v>18</v>
      </c>
      <c r="M704" s="22">
        <f>_xlfn.CEILING.MATH(F704*2)</f>
        <v>840</v>
      </c>
      <c r="N704" s="22">
        <f>H704*1.18</f>
        <v>495.59999999999997</v>
      </c>
      <c r="O704" s="22">
        <f>_xlfn.CEILING.MATH(F704*1.56)-1</f>
        <v>655</v>
      </c>
    </row>
    <row r="705" spans="1:15" s="22" customFormat="1">
      <c r="A705" s="22">
        <v>489</v>
      </c>
      <c r="B705" s="22" t="s">
        <v>705</v>
      </c>
      <c r="C705" s="22" t="s">
        <v>1969</v>
      </c>
      <c r="E705" s="22">
        <v>1</v>
      </c>
      <c r="F705" s="22">
        <v>547.5</v>
      </c>
      <c r="G705" s="30">
        <f>IF(OR(M705="",O705="",M705=0),"",(M705-O705)/M705)</f>
        <v>0.22009132420091324</v>
      </c>
      <c r="H705" s="22">
        <v>547.5</v>
      </c>
      <c r="I705" s="22">
        <v>4</v>
      </c>
      <c r="J705" s="22">
        <v>5</v>
      </c>
      <c r="K705" s="22">
        <v>20</v>
      </c>
      <c r="L705" s="22">
        <v>18</v>
      </c>
      <c r="M705" s="22">
        <f>_xlfn.CEILING.MATH(F705*2)</f>
        <v>1095</v>
      </c>
      <c r="N705" s="22">
        <f>H705*1.18</f>
        <v>646.04999999999995</v>
      </c>
      <c r="O705" s="22">
        <f>_xlfn.CEILING.MATH(F705*1.56)-1</f>
        <v>854</v>
      </c>
    </row>
    <row r="706" spans="1:15" s="22" customFormat="1">
      <c r="A706" s="22">
        <v>490</v>
      </c>
      <c r="B706" s="22" t="s">
        <v>706</v>
      </c>
      <c r="C706" s="22" t="s">
        <v>1970</v>
      </c>
      <c r="E706" s="22">
        <v>1</v>
      </c>
      <c r="F706" s="22">
        <v>570</v>
      </c>
      <c r="G706" s="30">
        <f>IF(OR(M706="",O706="",M706=0),"",(M706-O706)/M706)</f>
        <v>0.22017543859649122</v>
      </c>
      <c r="H706" s="22">
        <v>570</v>
      </c>
      <c r="I706" s="22">
        <v>0</v>
      </c>
      <c r="J706" s="22">
        <v>5</v>
      </c>
      <c r="K706" s="22">
        <v>20</v>
      </c>
      <c r="L706" s="22">
        <v>18</v>
      </c>
      <c r="M706" s="22">
        <f>_xlfn.CEILING.MATH(F706*2)</f>
        <v>1140</v>
      </c>
      <c r="N706" s="22">
        <f>H706*1.18</f>
        <v>672.59999999999991</v>
      </c>
      <c r="O706" s="22">
        <f>_xlfn.CEILING.MATH(F706*1.56)-1</f>
        <v>889</v>
      </c>
    </row>
    <row r="707" spans="1:15" s="22" customFormat="1">
      <c r="A707" s="22">
        <v>491</v>
      </c>
      <c r="B707" s="22" t="s">
        <v>707</v>
      </c>
      <c r="C707" s="22" t="s">
        <v>1971</v>
      </c>
      <c r="E707" s="22">
        <v>1</v>
      </c>
      <c r="F707" s="22">
        <v>780</v>
      </c>
      <c r="G707" s="30">
        <f>IF(OR(M707="",O707="",M707=0),"",(M707-O707)/M707)</f>
        <v>0.22051282051282051</v>
      </c>
      <c r="H707" s="22">
        <v>780</v>
      </c>
      <c r="I707" s="22">
        <v>12</v>
      </c>
      <c r="J707" s="22">
        <v>5</v>
      </c>
      <c r="K707" s="22">
        <v>10</v>
      </c>
      <c r="L707" s="22">
        <v>18</v>
      </c>
      <c r="M707" s="22">
        <f>_xlfn.CEILING.MATH(F707*2)</f>
        <v>1560</v>
      </c>
      <c r="N707" s="22">
        <f>H707*1.18</f>
        <v>920.4</v>
      </c>
      <c r="O707" s="22">
        <f>_xlfn.CEILING.MATH(F707*1.56)-1</f>
        <v>1216</v>
      </c>
    </row>
    <row r="708" spans="1:15" s="22" customFormat="1">
      <c r="A708" s="22">
        <v>492</v>
      </c>
      <c r="B708" s="22" t="s">
        <v>708</v>
      </c>
      <c r="C708" s="22" t="s">
        <v>1972</v>
      </c>
      <c r="E708" s="22">
        <v>1</v>
      </c>
      <c r="F708" s="22">
        <v>975</v>
      </c>
      <c r="G708" s="30">
        <f>IF(OR(M708="",O708="",M708=0),"",(M708-O708)/M708)</f>
        <v>0.22051282051282051</v>
      </c>
      <c r="H708" s="22">
        <v>975</v>
      </c>
      <c r="I708" s="22">
        <v>6</v>
      </c>
      <c r="J708" s="22">
        <v>1</v>
      </c>
      <c r="K708" s="22">
        <v>10</v>
      </c>
      <c r="L708" s="22">
        <v>18</v>
      </c>
      <c r="M708" s="22">
        <f>_xlfn.CEILING.MATH(F708*2)</f>
        <v>1950</v>
      </c>
      <c r="N708" s="22">
        <f>H708*1.18</f>
        <v>1150.5</v>
      </c>
      <c r="O708" s="22">
        <f>_xlfn.CEILING.MATH(F708*1.56)-1</f>
        <v>1520</v>
      </c>
    </row>
    <row r="709" spans="1:15" s="22" customFormat="1">
      <c r="A709" s="22">
        <v>493</v>
      </c>
      <c r="B709" s="22" t="s">
        <v>709</v>
      </c>
      <c r="C709" s="22" t="s">
        <v>1973</v>
      </c>
      <c r="E709" s="22">
        <v>1</v>
      </c>
      <c r="F709" s="22">
        <v>1230</v>
      </c>
      <c r="G709" s="30">
        <f>IF(OR(M709="",O709="",M709=0),"",(M709-O709)/M709)</f>
        <v>0.22032520325203253</v>
      </c>
      <c r="H709" s="22">
        <v>1230</v>
      </c>
      <c r="I709" s="22">
        <v>9</v>
      </c>
      <c r="J709" s="22">
        <v>1</v>
      </c>
      <c r="K709" s="22">
        <v>10</v>
      </c>
      <c r="L709" s="22">
        <v>18</v>
      </c>
      <c r="M709" s="22">
        <f>_xlfn.CEILING.MATH(F709*2)</f>
        <v>2460</v>
      </c>
      <c r="N709" s="22">
        <f>H709*1.18</f>
        <v>1451.3999999999999</v>
      </c>
      <c r="O709" s="22">
        <f>_xlfn.CEILING.MATH(F709*1.56)-1</f>
        <v>1918</v>
      </c>
    </row>
    <row r="710" spans="1:15" s="22" customFormat="1">
      <c r="A710" s="22">
        <v>494</v>
      </c>
      <c r="B710" s="22" t="s">
        <v>710</v>
      </c>
      <c r="C710" s="22" t="s">
        <v>1974</v>
      </c>
      <c r="E710" s="22">
        <v>1</v>
      </c>
      <c r="F710" s="22">
        <v>345</v>
      </c>
      <c r="G710" s="30">
        <f>IF(OR(M710="",O710="",M710=0),"",(M710-O710)/M710)</f>
        <v>0.22028985507246376</v>
      </c>
      <c r="H710" s="22">
        <v>345</v>
      </c>
      <c r="I710" s="22">
        <v>0</v>
      </c>
      <c r="J710" s="22">
        <v>3</v>
      </c>
      <c r="K710" s="22">
        <v>12</v>
      </c>
      <c r="L710" s="22">
        <v>18</v>
      </c>
      <c r="M710" s="22">
        <f>_xlfn.CEILING.MATH(F710*2)</f>
        <v>690</v>
      </c>
      <c r="N710" s="22">
        <f>H710*1.18</f>
        <v>407.09999999999997</v>
      </c>
      <c r="O710" s="22">
        <f>_xlfn.CEILING.MATH(F710*1.56)-1</f>
        <v>538</v>
      </c>
    </row>
    <row r="711" spans="1:15" s="22" customFormat="1">
      <c r="A711" s="22">
        <v>495</v>
      </c>
      <c r="B711" s="22" t="s">
        <v>1975</v>
      </c>
      <c r="C711" s="22" t="s">
        <v>1976</v>
      </c>
      <c r="E711" s="22">
        <v>1</v>
      </c>
      <c r="F711" s="22">
        <v>121.5</v>
      </c>
      <c r="G711" s="30">
        <f>IF(OR(M711="",O711="",M711=0),"",(M711-O711)/M711)</f>
        <v>0.22222222222222221</v>
      </c>
      <c r="H711" s="22">
        <v>121.5</v>
      </c>
      <c r="I711" s="22">
        <v>44</v>
      </c>
      <c r="J711" s="22">
        <v>6</v>
      </c>
      <c r="K711" s="22">
        <v>48</v>
      </c>
      <c r="L711" s="22">
        <v>18</v>
      </c>
      <c r="M711" s="22">
        <f>_xlfn.CEILING.MATH(F711*2)</f>
        <v>243</v>
      </c>
      <c r="N711" s="22">
        <f>H711*1.18</f>
        <v>143.37</v>
      </c>
      <c r="O711" s="22">
        <f>_xlfn.CEILING.MATH(F711*1.56)-1</f>
        <v>189</v>
      </c>
    </row>
    <row r="712" spans="1:15" s="22" customFormat="1">
      <c r="A712" s="22">
        <v>496</v>
      </c>
      <c r="B712" s="22" t="s">
        <v>1977</v>
      </c>
      <c r="C712" s="22" t="s">
        <v>1978</v>
      </c>
      <c r="E712" s="22">
        <v>1</v>
      </c>
      <c r="F712" s="22">
        <v>144</v>
      </c>
      <c r="G712" s="30">
        <f>IF(OR(M712="",O712="",M712=0),"",(M712-O712)/M712)</f>
        <v>0.22222222222222221</v>
      </c>
      <c r="H712" s="22">
        <v>144</v>
      </c>
      <c r="I712" s="22">
        <v>114</v>
      </c>
      <c r="J712" s="22">
        <v>6</v>
      </c>
      <c r="K712" s="22">
        <v>48</v>
      </c>
      <c r="L712" s="22">
        <v>18</v>
      </c>
      <c r="M712" s="22">
        <f>_xlfn.CEILING.MATH(F712*2)</f>
        <v>288</v>
      </c>
      <c r="N712" s="22">
        <f>H712*1.18</f>
        <v>169.92</v>
      </c>
      <c r="O712" s="22">
        <f>_xlfn.CEILING.MATH(F712*1.56)-1</f>
        <v>224</v>
      </c>
    </row>
    <row r="713" spans="1:15" s="22" customFormat="1">
      <c r="A713" s="22">
        <v>497</v>
      </c>
      <c r="B713" s="22" t="s">
        <v>1979</v>
      </c>
      <c r="C713" s="22" t="s">
        <v>1980</v>
      </c>
      <c r="E713" s="22">
        <v>1</v>
      </c>
      <c r="F713" s="22">
        <v>216</v>
      </c>
      <c r="G713" s="30">
        <f>IF(OR(M713="",O713="",M713=0),"",(M713-O713)/M713)</f>
        <v>0.22222222222222221</v>
      </c>
      <c r="H713" s="22">
        <v>216</v>
      </c>
      <c r="I713" s="22">
        <v>94</v>
      </c>
      <c r="J713" s="22">
        <v>4</v>
      </c>
      <c r="K713" s="22">
        <v>36</v>
      </c>
      <c r="L713" s="22">
        <v>18</v>
      </c>
      <c r="M713" s="22">
        <f>_xlfn.CEILING.MATH(F713*2)</f>
        <v>432</v>
      </c>
      <c r="N713" s="22">
        <f>H713*1.18</f>
        <v>254.88</v>
      </c>
      <c r="O713" s="22">
        <f>_xlfn.CEILING.MATH(F713*1.56)-1</f>
        <v>336</v>
      </c>
    </row>
    <row r="714" spans="1:15" s="22" customFormat="1">
      <c r="A714" s="22">
        <v>498</v>
      </c>
      <c r="B714" s="22" t="s">
        <v>711</v>
      </c>
      <c r="C714" s="22" t="s">
        <v>1981</v>
      </c>
      <c r="E714" s="22">
        <v>1</v>
      </c>
      <c r="F714" s="22">
        <v>88.5</v>
      </c>
      <c r="G714" s="30">
        <f>IF(OR(M714="",O714="",M714=0),"",(M714-O714)/M714)</f>
        <v>0.22033898305084745</v>
      </c>
      <c r="H714" s="22">
        <v>88.5</v>
      </c>
      <c r="I714" s="22">
        <v>151</v>
      </c>
      <c r="J714" s="22">
        <v>6</v>
      </c>
      <c r="K714" s="22">
        <v>48</v>
      </c>
      <c r="L714" s="22">
        <v>18</v>
      </c>
      <c r="M714" s="22">
        <f>_xlfn.CEILING.MATH(F714*2)</f>
        <v>177</v>
      </c>
      <c r="N714" s="22">
        <f>H714*1.18</f>
        <v>104.42999999999999</v>
      </c>
      <c r="O714" s="22">
        <f>_xlfn.CEILING.MATH(F714*1.56)-1</f>
        <v>138</v>
      </c>
    </row>
    <row r="715" spans="1:15" s="22" customFormat="1">
      <c r="A715" s="22">
        <v>499</v>
      </c>
      <c r="B715" s="22" t="s">
        <v>712</v>
      </c>
      <c r="C715" s="22" t="s">
        <v>1982</v>
      </c>
      <c r="E715" s="22">
        <v>1</v>
      </c>
      <c r="F715" s="22">
        <v>99</v>
      </c>
      <c r="G715" s="30">
        <f>IF(OR(M715="",O715="",M715=0),"",(M715-O715)/M715)</f>
        <v>0.22222222222222221</v>
      </c>
      <c r="H715" s="22">
        <v>99</v>
      </c>
      <c r="I715" s="22">
        <v>181</v>
      </c>
      <c r="J715" s="22">
        <v>6</v>
      </c>
      <c r="K715" s="22">
        <v>48</v>
      </c>
      <c r="L715" s="22">
        <v>18</v>
      </c>
      <c r="M715" s="22">
        <f>_xlfn.CEILING.MATH(F715*2)</f>
        <v>198</v>
      </c>
      <c r="N715" s="22">
        <f>H715*1.18</f>
        <v>116.82</v>
      </c>
      <c r="O715" s="22">
        <f>_xlfn.CEILING.MATH(F715*1.56)-1</f>
        <v>154</v>
      </c>
    </row>
    <row r="716" spans="1:15" s="22" customFormat="1">
      <c r="A716" s="22">
        <v>500</v>
      </c>
      <c r="B716" s="22" t="s">
        <v>713</v>
      </c>
      <c r="C716" s="22" t="s">
        <v>1983</v>
      </c>
      <c r="E716" s="22">
        <v>1</v>
      </c>
      <c r="F716" s="22">
        <v>124.5</v>
      </c>
      <c r="G716" s="30">
        <f>IF(OR(M716="",O716="",M716=0),"",(M716-O716)/M716)</f>
        <v>0.22088353413654618</v>
      </c>
      <c r="H716" s="22">
        <v>124.5</v>
      </c>
      <c r="I716" s="22">
        <v>144</v>
      </c>
      <c r="J716" s="22">
        <v>6</v>
      </c>
      <c r="K716" s="22">
        <v>48</v>
      </c>
      <c r="L716" s="22">
        <v>18</v>
      </c>
      <c r="M716" s="22">
        <f>_xlfn.CEILING.MATH(F716*2)</f>
        <v>249</v>
      </c>
      <c r="N716" s="22">
        <f>H716*1.18</f>
        <v>146.91</v>
      </c>
      <c r="O716" s="22">
        <f>_xlfn.CEILING.MATH(F716*1.56)-1</f>
        <v>194</v>
      </c>
    </row>
    <row r="717" spans="1:15" s="22" customFormat="1">
      <c r="A717" s="22">
        <v>501</v>
      </c>
      <c r="B717" s="22" t="s">
        <v>714</v>
      </c>
      <c r="C717" s="22" t="s">
        <v>1984</v>
      </c>
      <c r="E717" s="22">
        <v>1</v>
      </c>
      <c r="F717" s="22">
        <v>139.5</v>
      </c>
      <c r="G717" s="30">
        <f>IF(OR(M717="",O717="",M717=0),"",(M717-O717)/M717)</f>
        <v>0.22222222222222221</v>
      </c>
      <c r="H717" s="22">
        <v>139.5</v>
      </c>
      <c r="I717" s="22">
        <v>192</v>
      </c>
      <c r="J717" s="22">
        <v>4</v>
      </c>
      <c r="K717" s="22">
        <v>36</v>
      </c>
      <c r="L717" s="22">
        <v>18</v>
      </c>
      <c r="M717" s="22">
        <f>_xlfn.CEILING.MATH(F717*2)</f>
        <v>279</v>
      </c>
      <c r="N717" s="22">
        <f>H717*1.18</f>
        <v>164.60999999999999</v>
      </c>
      <c r="O717" s="22">
        <f>_xlfn.CEILING.MATH(F717*1.56)-1</f>
        <v>217</v>
      </c>
    </row>
    <row r="718" spans="1:15" s="22" customFormat="1">
      <c r="A718" s="22">
        <v>502</v>
      </c>
      <c r="B718" s="22" t="s">
        <v>715</v>
      </c>
      <c r="C718" s="22" t="s">
        <v>1985</v>
      </c>
      <c r="E718" s="22">
        <v>1</v>
      </c>
      <c r="F718" s="22">
        <v>163.5</v>
      </c>
      <c r="G718" s="30">
        <f>IF(OR(M718="",O718="",M718=0),"",(M718-O718)/M718)</f>
        <v>0.22018348623853212</v>
      </c>
      <c r="H718" s="22">
        <v>163.5</v>
      </c>
      <c r="I718" s="22">
        <v>126</v>
      </c>
      <c r="J718" s="22">
        <v>4</v>
      </c>
      <c r="K718" s="22">
        <v>36</v>
      </c>
      <c r="L718" s="22">
        <v>18</v>
      </c>
      <c r="M718" s="22">
        <f>_xlfn.CEILING.MATH(F718*2)</f>
        <v>327</v>
      </c>
      <c r="N718" s="22">
        <f>H718*1.18</f>
        <v>192.92999999999998</v>
      </c>
      <c r="O718" s="22">
        <f>_xlfn.CEILING.MATH(F718*1.56)-1</f>
        <v>255</v>
      </c>
    </row>
    <row r="719" spans="1:15" s="22" customFormat="1">
      <c r="A719" s="22">
        <v>503</v>
      </c>
      <c r="B719" s="22" t="s">
        <v>716</v>
      </c>
      <c r="C719" s="22" t="s">
        <v>1986</v>
      </c>
      <c r="E719" s="22">
        <v>1</v>
      </c>
      <c r="F719" s="22">
        <v>214.5</v>
      </c>
      <c r="G719" s="30">
        <f>IF(OR(M719="",O719="",M719=0),"",(M719-O719)/M719)</f>
        <v>0.22144522144522144</v>
      </c>
      <c r="H719" s="22">
        <v>214.5</v>
      </c>
      <c r="I719" s="22">
        <v>199</v>
      </c>
      <c r="J719" s="22">
        <v>2</v>
      </c>
      <c r="K719" s="22">
        <v>24</v>
      </c>
      <c r="L719" s="22">
        <v>18</v>
      </c>
      <c r="M719" s="22">
        <f>_xlfn.CEILING.MATH(F719*2)</f>
        <v>429</v>
      </c>
      <c r="N719" s="22">
        <f>H719*1.18</f>
        <v>253.10999999999999</v>
      </c>
      <c r="O719" s="22">
        <f>_xlfn.CEILING.MATH(F719*1.56)-1</f>
        <v>334</v>
      </c>
    </row>
    <row r="720" spans="1:15" s="22" customFormat="1">
      <c r="A720" s="22">
        <v>504</v>
      </c>
      <c r="B720" s="22" t="s">
        <v>717</v>
      </c>
      <c r="C720" s="22" t="s">
        <v>1987</v>
      </c>
      <c r="E720" s="22">
        <v>1</v>
      </c>
      <c r="F720" s="22">
        <v>195</v>
      </c>
      <c r="G720" s="30">
        <f>IF(OR(M720="",O720="",M720=0),"",(M720-O720)/M720)</f>
        <v>0.22051282051282051</v>
      </c>
      <c r="H720" s="22">
        <v>195</v>
      </c>
      <c r="I720" s="22">
        <v>236</v>
      </c>
      <c r="J720" s="22">
        <v>1</v>
      </c>
      <c r="K720" s="22">
        <v>20</v>
      </c>
      <c r="L720" s="22">
        <v>18</v>
      </c>
      <c r="M720" s="22">
        <f>_xlfn.CEILING.MATH(F720*2)</f>
        <v>390</v>
      </c>
      <c r="N720" s="22">
        <f>H720*1.18</f>
        <v>230.1</v>
      </c>
      <c r="O720" s="22">
        <f>_xlfn.CEILING.MATH(F720*1.56)-1</f>
        <v>304</v>
      </c>
    </row>
    <row r="721" spans="1:15" s="22" customFormat="1">
      <c r="A721" s="22">
        <v>505</v>
      </c>
      <c r="B721" s="22" t="s">
        <v>718</v>
      </c>
      <c r="C721" s="22" t="s">
        <v>1988</v>
      </c>
      <c r="E721" s="22">
        <v>1</v>
      </c>
      <c r="F721" s="22">
        <v>195</v>
      </c>
      <c r="G721" s="30">
        <f>IF(OR(M721="",O721="",M721=0),"",(M721-O721)/M721)</f>
        <v>0.22051282051282051</v>
      </c>
      <c r="H721" s="22">
        <v>195</v>
      </c>
      <c r="I721" s="22">
        <v>39</v>
      </c>
      <c r="J721" s="22">
        <v>1</v>
      </c>
      <c r="K721" s="22">
        <v>20</v>
      </c>
      <c r="L721" s="22">
        <v>18</v>
      </c>
      <c r="M721" s="22">
        <f>_xlfn.CEILING.MATH(F721*2)</f>
        <v>390</v>
      </c>
      <c r="N721" s="22">
        <f>H721*1.18</f>
        <v>230.1</v>
      </c>
      <c r="O721" s="22">
        <f>_xlfn.CEILING.MATH(F721*1.56)-1</f>
        <v>304</v>
      </c>
    </row>
    <row r="722" spans="1:15" s="22" customFormat="1">
      <c r="A722" s="22">
        <v>506</v>
      </c>
      <c r="B722" s="22" t="s">
        <v>719</v>
      </c>
      <c r="C722" s="22" t="s">
        <v>1989</v>
      </c>
      <c r="E722" s="22">
        <v>1</v>
      </c>
      <c r="F722" s="22">
        <v>12.5</v>
      </c>
      <c r="G722" s="30">
        <f>IF(OR(M722="",O722="",M722=0),"",(M722-O722)/M722)</f>
        <v>0.24</v>
      </c>
      <c r="H722" s="22">
        <v>12.5</v>
      </c>
      <c r="I722" s="22">
        <v>2554</v>
      </c>
      <c r="J722" s="22">
        <v>10</v>
      </c>
      <c r="K722" s="22">
        <v>800</v>
      </c>
      <c r="L722" s="22">
        <v>18</v>
      </c>
      <c r="M722" s="22">
        <f>_xlfn.CEILING.MATH(F722*2)</f>
        <v>25</v>
      </c>
      <c r="N722" s="22">
        <f>H722*1.18</f>
        <v>14.75</v>
      </c>
      <c r="O722" s="22">
        <f>_xlfn.CEILING.MATH(F722*1.56)-1</f>
        <v>19</v>
      </c>
    </row>
    <row r="723" spans="1:15" s="22" customFormat="1">
      <c r="A723" s="22">
        <v>507</v>
      </c>
      <c r="B723" s="22" t="s">
        <v>720</v>
      </c>
      <c r="C723" s="22" t="s">
        <v>1990</v>
      </c>
      <c r="E723" s="22">
        <v>1</v>
      </c>
      <c r="F723" s="22">
        <v>16.5</v>
      </c>
      <c r="G723" s="30">
        <f>IF(OR(M723="",O723="",M723=0),"",(M723-O723)/M723)</f>
        <v>0.24242424242424243</v>
      </c>
      <c r="H723" s="22">
        <v>16.5</v>
      </c>
      <c r="I723" s="22">
        <v>21</v>
      </c>
      <c r="J723" s="22">
        <v>10</v>
      </c>
      <c r="K723" s="22">
        <v>800</v>
      </c>
      <c r="L723" s="22">
        <v>18</v>
      </c>
      <c r="M723" s="22">
        <f>_xlfn.CEILING.MATH(F723*2)</f>
        <v>33</v>
      </c>
      <c r="N723" s="22">
        <f>H723*1.18</f>
        <v>19.47</v>
      </c>
      <c r="O723" s="22">
        <f>_xlfn.CEILING.MATH(F723*1.56)-1</f>
        <v>25</v>
      </c>
    </row>
    <row r="724" spans="1:15" s="22" customFormat="1">
      <c r="A724" s="22">
        <v>508</v>
      </c>
      <c r="B724" s="22" t="s">
        <v>721</v>
      </c>
      <c r="C724" s="22" t="s">
        <v>1991</v>
      </c>
      <c r="E724" s="22">
        <v>1</v>
      </c>
      <c r="F724" s="22">
        <v>21.5</v>
      </c>
      <c r="G724" s="30">
        <f>IF(OR(M724="",O724="",M724=0),"",(M724-O724)/M724)</f>
        <v>0.23255813953488372</v>
      </c>
      <c r="H724" s="22">
        <v>21.5</v>
      </c>
      <c r="I724" s="22">
        <v>4339</v>
      </c>
      <c r="J724" s="22">
        <v>5</v>
      </c>
      <c r="K724" s="22">
        <v>100</v>
      </c>
      <c r="L724" s="22">
        <v>18</v>
      </c>
      <c r="M724" s="22">
        <f>_xlfn.CEILING.MATH(F724*2)</f>
        <v>43</v>
      </c>
      <c r="N724" s="22">
        <f>H724*1.18</f>
        <v>25.369999999999997</v>
      </c>
      <c r="O724" s="22">
        <f>_xlfn.CEILING.MATH(F724*1.56)-1</f>
        <v>33</v>
      </c>
    </row>
    <row r="725" spans="1:15" s="22" customFormat="1">
      <c r="A725" s="22">
        <v>509</v>
      </c>
      <c r="B725" s="22" t="s">
        <v>722</v>
      </c>
      <c r="C725" s="22" t="s">
        <v>1992</v>
      </c>
      <c r="E725" s="22">
        <v>1</v>
      </c>
      <c r="F725" s="22">
        <v>72</v>
      </c>
      <c r="G725" s="30">
        <f>IF(OR(M725="",O725="",M725=0),"",(M725-O725)/M725)</f>
        <v>0.22222222222222221</v>
      </c>
      <c r="H725" s="22">
        <v>72</v>
      </c>
      <c r="I725" s="22">
        <v>446</v>
      </c>
      <c r="J725" s="22">
        <v>5</v>
      </c>
      <c r="K725" s="22">
        <v>80</v>
      </c>
      <c r="L725" s="22">
        <v>18</v>
      </c>
      <c r="M725" s="22">
        <f>_xlfn.CEILING.MATH(F725*2)</f>
        <v>144</v>
      </c>
      <c r="N725" s="22">
        <f>H725*1.18</f>
        <v>84.96</v>
      </c>
      <c r="O725" s="22">
        <f>_xlfn.CEILING.MATH(F725*1.56)-1</f>
        <v>112</v>
      </c>
    </row>
    <row r="726" spans="1:15" s="22" customFormat="1">
      <c r="A726" s="22">
        <v>510</v>
      </c>
      <c r="B726" s="22" t="s">
        <v>723</v>
      </c>
      <c r="C726" s="22" t="s">
        <v>1993</v>
      </c>
      <c r="E726" s="22">
        <v>1</v>
      </c>
      <c r="F726" s="22">
        <v>24.5</v>
      </c>
      <c r="G726" s="30">
        <f>IF(OR(M726="",O726="",M726=0),"",(M726-O726)/M726)</f>
        <v>0.22448979591836735</v>
      </c>
      <c r="H726" s="22">
        <v>24.5</v>
      </c>
      <c r="I726" s="22">
        <v>2279</v>
      </c>
      <c r="J726" s="22">
        <v>10</v>
      </c>
      <c r="K726" s="22">
        <v>300</v>
      </c>
      <c r="L726" s="22">
        <v>18</v>
      </c>
      <c r="M726" s="22">
        <f>_xlfn.CEILING.MATH(F726*2)</f>
        <v>49</v>
      </c>
      <c r="N726" s="22">
        <f>H726*1.18</f>
        <v>28.91</v>
      </c>
      <c r="O726" s="22">
        <f>_xlfn.CEILING.MATH(F726*1.56)-1</f>
        <v>38</v>
      </c>
    </row>
    <row r="727" spans="1:15" s="22" customFormat="1">
      <c r="A727" s="22">
        <v>511</v>
      </c>
      <c r="B727" s="22" t="s">
        <v>724</v>
      </c>
      <c r="C727" s="22" t="s">
        <v>1994</v>
      </c>
      <c r="E727" s="22">
        <v>1</v>
      </c>
      <c r="F727" s="22">
        <v>18</v>
      </c>
      <c r="G727" s="30">
        <f>IF(OR(M727="",O727="",M727=0),"",(M727-O727)/M727)</f>
        <v>0.22222222222222221</v>
      </c>
      <c r="H727" s="22">
        <v>18</v>
      </c>
      <c r="I727" s="22">
        <v>1549</v>
      </c>
      <c r="J727" s="22">
        <v>10</v>
      </c>
      <c r="K727" s="22">
        <v>400</v>
      </c>
      <c r="L727" s="22">
        <v>18</v>
      </c>
      <c r="M727" s="22">
        <f>_xlfn.CEILING.MATH(F727*2)</f>
        <v>36</v>
      </c>
      <c r="N727" s="22">
        <f>H727*1.18</f>
        <v>21.24</v>
      </c>
      <c r="O727" s="22">
        <f>_xlfn.CEILING.MATH(F727*1.56)-1</f>
        <v>28</v>
      </c>
    </row>
    <row r="728" spans="1:15" s="22" customFormat="1">
      <c r="A728" s="22">
        <v>512</v>
      </c>
      <c r="B728" s="22" t="s">
        <v>725</v>
      </c>
      <c r="C728" s="22" t="s">
        <v>1995</v>
      </c>
      <c r="E728" s="22">
        <v>1</v>
      </c>
      <c r="F728" s="22">
        <v>18</v>
      </c>
      <c r="G728" s="30">
        <f>IF(OR(M728="",O728="",M728=0),"",(M728-O728)/M728)</f>
        <v>0.22222222222222221</v>
      </c>
      <c r="H728" s="22">
        <v>18</v>
      </c>
      <c r="I728" s="22">
        <v>2963</v>
      </c>
      <c r="J728" s="22">
        <v>10</v>
      </c>
      <c r="K728" s="22">
        <v>400</v>
      </c>
      <c r="L728" s="22">
        <v>18</v>
      </c>
      <c r="M728" s="22">
        <f>_xlfn.CEILING.MATH(F728*2)</f>
        <v>36</v>
      </c>
      <c r="N728" s="22">
        <f>H728*1.18</f>
        <v>21.24</v>
      </c>
      <c r="O728" s="22">
        <f>_xlfn.CEILING.MATH(F728*1.56)-1</f>
        <v>28</v>
      </c>
    </row>
    <row r="729" spans="1:15" s="22" customFormat="1">
      <c r="A729" s="22">
        <v>513</v>
      </c>
      <c r="B729" s="22" t="s">
        <v>726</v>
      </c>
      <c r="C729" s="22" t="s">
        <v>1996</v>
      </c>
      <c r="E729" s="22">
        <v>1</v>
      </c>
      <c r="F729" s="22">
        <v>19.5</v>
      </c>
      <c r="G729" s="30">
        <f>IF(OR(M729="",O729="",M729=0),"",(M729-O729)/M729)</f>
        <v>0.23076923076923078</v>
      </c>
      <c r="H729" s="22">
        <v>19.5</v>
      </c>
      <c r="I729" s="22">
        <v>0</v>
      </c>
      <c r="J729" s="22">
        <v>10</v>
      </c>
      <c r="K729" s="22">
        <v>400</v>
      </c>
      <c r="L729" s="22">
        <v>18</v>
      </c>
      <c r="M729" s="22">
        <f>_xlfn.CEILING.MATH(F729*2)</f>
        <v>39</v>
      </c>
      <c r="N729" s="22">
        <f>H729*1.18</f>
        <v>23.009999999999998</v>
      </c>
      <c r="O729" s="22">
        <f>_xlfn.CEILING.MATH(F729*1.56)-1</f>
        <v>30</v>
      </c>
    </row>
    <row r="730" spans="1:15" s="22" customFormat="1">
      <c r="A730" s="22">
        <v>514</v>
      </c>
      <c r="B730" s="22" t="s">
        <v>727</v>
      </c>
      <c r="C730" s="22" t="s">
        <v>1997</v>
      </c>
      <c r="E730" s="22">
        <v>1</v>
      </c>
      <c r="F730" s="22">
        <v>24</v>
      </c>
      <c r="G730" s="30">
        <f>IF(OR(M730="",O730="",M730=0),"",(M730-O730)/M730)</f>
        <v>0.22916666666666666</v>
      </c>
      <c r="H730" s="22">
        <v>24</v>
      </c>
      <c r="I730" s="22">
        <v>10481</v>
      </c>
      <c r="J730" s="22">
        <v>10</v>
      </c>
      <c r="K730" s="22">
        <v>400</v>
      </c>
      <c r="L730" s="22">
        <v>18</v>
      </c>
      <c r="M730" s="22">
        <f>_xlfn.CEILING.MATH(F730*2)</f>
        <v>48</v>
      </c>
      <c r="N730" s="22">
        <f>H730*1.18</f>
        <v>28.32</v>
      </c>
      <c r="O730" s="22">
        <f>_xlfn.CEILING.MATH(F730*1.56)-1</f>
        <v>37</v>
      </c>
    </row>
    <row r="731" spans="1:15" s="22" customFormat="1">
      <c r="A731" s="22">
        <v>515</v>
      </c>
      <c r="B731" s="22" t="s">
        <v>728</v>
      </c>
      <c r="C731" s="22" t="s">
        <v>1998</v>
      </c>
      <c r="E731" s="22">
        <v>1</v>
      </c>
      <c r="F731" s="22">
        <v>94.5</v>
      </c>
      <c r="G731" s="30">
        <f>IF(OR(M731="",O731="",M731=0),"",(M731-O731)/M731)</f>
        <v>0.22222222222222221</v>
      </c>
      <c r="H731" s="22">
        <v>94.5</v>
      </c>
      <c r="I731" s="22">
        <v>2217</v>
      </c>
      <c r="J731" s="22">
        <v>5</v>
      </c>
      <c r="K731" s="22">
        <v>60</v>
      </c>
      <c r="L731" s="22">
        <v>18</v>
      </c>
      <c r="M731" s="22">
        <f>_xlfn.CEILING.MATH(F731*2)</f>
        <v>189</v>
      </c>
      <c r="N731" s="22">
        <f>H731*1.18</f>
        <v>111.50999999999999</v>
      </c>
      <c r="O731" s="22">
        <f>_xlfn.CEILING.MATH(F731*1.56)-1</f>
        <v>147</v>
      </c>
    </row>
    <row r="732" spans="1:15" s="22" customFormat="1">
      <c r="A732" s="22">
        <v>516</v>
      </c>
      <c r="B732" s="22" t="s">
        <v>729</v>
      </c>
      <c r="C732" s="22" t="s">
        <v>1999</v>
      </c>
      <c r="E732" s="22">
        <v>1</v>
      </c>
      <c r="F732" s="22">
        <v>21</v>
      </c>
      <c r="G732" s="30">
        <f>IF(OR(M732="",O732="",M732=0),"",(M732-O732)/M732)</f>
        <v>0.23809523809523808</v>
      </c>
      <c r="H732" s="22">
        <v>21</v>
      </c>
      <c r="I732" s="22">
        <v>217</v>
      </c>
      <c r="J732" s="22">
        <v>10</v>
      </c>
      <c r="K732" s="22">
        <v>300</v>
      </c>
      <c r="L732" s="22">
        <v>18</v>
      </c>
      <c r="M732" s="22">
        <f>_xlfn.CEILING.MATH(F732*2)</f>
        <v>42</v>
      </c>
      <c r="N732" s="22">
        <f>H732*1.18</f>
        <v>24.779999999999998</v>
      </c>
      <c r="O732" s="22">
        <f>_xlfn.CEILING.MATH(F732*1.56)-1</f>
        <v>32</v>
      </c>
    </row>
    <row r="733" spans="1:15" s="22" customFormat="1">
      <c r="A733" s="22">
        <v>517</v>
      </c>
      <c r="B733" s="22" t="s">
        <v>730</v>
      </c>
      <c r="C733" s="22" t="s">
        <v>2000</v>
      </c>
      <c r="E733" s="22">
        <v>1</v>
      </c>
      <c r="F733" s="22">
        <v>21.5</v>
      </c>
      <c r="G733" s="30">
        <f>IF(OR(M733="",O733="",M733=0),"",(M733-O733)/M733)</f>
        <v>0.23255813953488372</v>
      </c>
      <c r="H733" s="22">
        <v>21.5</v>
      </c>
      <c r="I733" s="22">
        <v>899</v>
      </c>
      <c r="J733" s="22">
        <v>10</v>
      </c>
      <c r="K733" s="22">
        <v>400</v>
      </c>
      <c r="L733" s="22">
        <v>18</v>
      </c>
      <c r="M733" s="22">
        <f>_xlfn.CEILING.MATH(F733*2)</f>
        <v>43</v>
      </c>
      <c r="N733" s="22">
        <f>H733*1.18</f>
        <v>25.369999999999997</v>
      </c>
      <c r="O733" s="22">
        <f>_xlfn.CEILING.MATH(F733*1.56)-1</f>
        <v>33</v>
      </c>
    </row>
    <row r="734" spans="1:15" s="22" customFormat="1">
      <c r="A734" s="22">
        <v>518</v>
      </c>
      <c r="B734" s="22" t="s">
        <v>731</v>
      </c>
      <c r="C734" s="22" t="s">
        <v>2001</v>
      </c>
      <c r="E734" s="22">
        <v>1</v>
      </c>
      <c r="F734" s="22">
        <v>27.5</v>
      </c>
      <c r="G734" s="30">
        <f>IF(OR(M734="",O734="",M734=0),"",(M734-O734)/M734)</f>
        <v>0.23636363636363636</v>
      </c>
      <c r="H734" s="22">
        <v>27.5</v>
      </c>
      <c r="I734" s="22">
        <v>1663</v>
      </c>
      <c r="J734" s="22">
        <v>5</v>
      </c>
      <c r="K734" s="22">
        <v>200</v>
      </c>
      <c r="L734" s="22">
        <v>18</v>
      </c>
      <c r="M734" s="22">
        <f>_xlfn.CEILING.MATH(F734*2)</f>
        <v>55</v>
      </c>
      <c r="N734" s="22">
        <f>H734*1.18</f>
        <v>32.449999999999996</v>
      </c>
      <c r="O734" s="22">
        <f>_xlfn.CEILING.MATH(F734*1.56)-1</f>
        <v>42</v>
      </c>
    </row>
    <row r="735" spans="1:15" s="22" customFormat="1">
      <c r="A735" s="22">
        <v>519</v>
      </c>
      <c r="B735" s="22" t="s">
        <v>732</v>
      </c>
      <c r="C735" s="22" t="s">
        <v>2002</v>
      </c>
      <c r="E735" s="22">
        <v>1</v>
      </c>
      <c r="F735" s="22">
        <v>24.5</v>
      </c>
      <c r="G735" s="30">
        <f>IF(OR(M735="",O735="",M735=0),"",(M735-O735)/M735)</f>
        <v>0.22448979591836735</v>
      </c>
      <c r="H735" s="22">
        <v>24.5</v>
      </c>
      <c r="I735" s="22">
        <v>285</v>
      </c>
      <c r="J735" s="22">
        <v>10</v>
      </c>
      <c r="K735" s="22">
        <v>300</v>
      </c>
      <c r="L735" s="22">
        <v>18</v>
      </c>
      <c r="M735" s="22">
        <f>_xlfn.CEILING.MATH(F735*2)</f>
        <v>49</v>
      </c>
      <c r="N735" s="22">
        <f>H735*1.18</f>
        <v>28.91</v>
      </c>
      <c r="O735" s="22">
        <f>_xlfn.CEILING.MATH(F735*1.56)-1</f>
        <v>38</v>
      </c>
    </row>
    <row r="736" spans="1:15" s="22" customFormat="1">
      <c r="A736" s="22">
        <v>520</v>
      </c>
      <c r="B736" s="22" t="s">
        <v>733</v>
      </c>
      <c r="C736" s="22" t="s">
        <v>2003</v>
      </c>
      <c r="E736" s="22">
        <v>1</v>
      </c>
      <c r="F736" s="22">
        <v>30</v>
      </c>
      <c r="G736" s="30">
        <f>IF(OR(M736="",O736="",M736=0),"",(M736-O736)/M736)</f>
        <v>0.23333333333333334</v>
      </c>
      <c r="H736" s="22">
        <v>30</v>
      </c>
      <c r="I736" s="22">
        <v>9553</v>
      </c>
      <c r="J736" s="22">
        <v>5</v>
      </c>
      <c r="K736" s="22">
        <v>200</v>
      </c>
      <c r="L736" s="22">
        <v>18</v>
      </c>
      <c r="M736" s="22">
        <f>_xlfn.CEILING.MATH(F736*2)</f>
        <v>60</v>
      </c>
      <c r="N736" s="22">
        <f>H736*1.18</f>
        <v>35.4</v>
      </c>
      <c r="O736" s="22">
        <f>_xlfn.CEILING.MATH(F736*1.56)-1</f>
        <v>46</v>
      </c>
    </row>
    <row r="737" spans="1:15" s="22" customFormat="1">
      <c r="A737" s="22">
        <v>521</v>
      </c>
      <c r="B737" s="22" t="s">
        <v>734</v>
      </c>
      <c r="C737" s="22" t="s">
        <v>2004</v>
      </c>
      <c r="E737" s="22">
        <v>1</v>
      </c>
      <c r="F737" s="22">
        <v>30</v>
      </c>
      <c r="G737" s="30">
        <f>IF(OR(M737="",O737="",M737=0),"",(M737-O737)/M737)</f>
        <v>0.23333333333333334</v>
      </c>
      <c r="H737" s="22">
        <v>30</v>
      </c>
      <c r="I737" s="22">
        <v>17</v>
      </c>
      <c r="J737" s="22">
        <v>5</v>
      </c>
      <c r="K737" s="22">
        <v>200</v>
      </c>
      <c r="L737" s="22">
        <v>18</v>
      </c>
      <c r="M737" s="22">
        <f>_xlfn.CEILING.MATH(F737*2)</f>
        <v>60</v>
      </c>
      <c r="N737" s="22">
        <f>H737*1.18</f>
        <v>35.4</v>
      </c>
      <c r="O737" s="22">
        <f>_xlfn.CEILING.MATH(F737*1.56)-1</f>
        <v>46</v>
      </c>
    </row>
    <row r="738" spans="1:15" s="22" customFormat="1">
      <c r="A738" s="22">
        <v>522</v>
      </c>
      <c r="B738" s="22" t="s">
        <v>735</v>
      </c>
      <c r="C738" s="22" t="s">
        <v>736</v>
      </c>
      <c r="E738" s="22">
        <v>1</v>
      </c>
      <c r="F738" s="22">
        <v>36</v>
      </c>
      <c r="G738" s="30">
        <f>IF(OR(M738="",O738="",M738=0),"",(M738-O738)/M738)</f>
        <v>0.22222222222222221</v>
      </c>
      <c r="H738" s="22">
        <v>36</v>
      </c>
      <c r="I738" s="22">
        <v>162</v>
      </c>
      <c r="J738" s="22">
        <v>5</v>
      </c>
      <c r="K738" s="22">
        <v>100</v>
      </c>
      <c r="L738" s="22">
        <v>18</v>
      </c>
      <c r="M738" s="22">
        <f>_xlfn.CEILING.MATH(F738*2)</f>
        <v>72</v>
      </c>
      <c r="N738" s="22">
        <f>H738*1.18</f>
        <v>42.48</v>
      </c>
      <c r="O738" s="22">
        <f>_xlfn.CEILING.MATH(F738*1.56)-1</f>
        <v>56</v>
      </c>
    </row>
    <row r="739" spans="1:15" s="22" customFormat="1">
      <c r="A739" s="22">
        <v>523</v>
      </c>
      <c r="B739" s="22" t="s">
        <v>737</v>
      </c>
      <c r="C739" s="22" t="s">
        <v>738</v>
      </c>
      <c r="E739" s="22">
        <v>1</v>
      </c>
      <c r="F739" s="22">
        <v>38</v>
      </c>
      <c r="G739" s="30">
        <f>IF(OR(M739="",O739="",M739=0),"",(M739-O739)/M739)</f>
        <v>0.22368421052631579</v>
      </c>
      <c r="H739" s="22">
        <v>38</v>
      </c>
      <c r="I739" s="22">
        <v>1521</v>
      </c>
      <c r="J739" s="22">
        <v>5</v>
      </c>
      <c r="K739" s="22">
        <v>150</v>
      </c>
      <c r="L739" s="22">
        <v>18</v>
      </c>
      <c r="M739" s="22">
        <f>_xlfn.CEILING.MATH(F739*2)</f>
        <v>76</v>
      </c>
      <c r="N739" s="22">
        <f>H739*1.18</f>
        <v>44.839999999999996</v>
      </c>
      <c r="O739" s="22">
        <f>_xlfn.CEILING.MATH(F739*1.56)-1</f>
        <v>59</v>
      </c>
    </row>
    <row r="740" spans="1:15" s="22" customFormat="1">
      <c r="A740" s="22">
        <v>524</v>
      </c>
      <c r="B740" s="22" t="s">
        <v>739</v>
      </c>
      <c r="C740" s="22" t="s">
        <v>740</v>
      </c>
      <c r="E740" s="22">
        <v>1</v>
      </c>
      <c r="F740" s="22">
        <v>40.5</v>
      </c>
      <c r="G740" s="30">
        <f>IF(OR(M740="",O740="",M740=0),"",(M740-O740)/M740)</f>
        <v>0.22222222222222221</v>
      </c>
      <c r="H740" s="22">
        <v>40.5</v>
      </c>
      <c r="I740" s="22">
        <v>3820</v>
      </c>
      <c r="J740" s="22">
        <v>5</v>
      </c>
      <c r="K740" s="22">
        <v>100</v>
      </c>
      <c r="L740" s="22">
        <v>18</v>
      </c>
      <c r="M740" s="22">
        <f>_xlfn.CEILING.MATH(F740*2)</f>
        <v>81</v>
      </c>
      <c r="N740" s="22">
        <f>H740*1.18</f>
        <v>47.79</v>
      </c>
      <c r="O740" s="22">
        <f>_xlfn.CEILING.MATH(F740*1.56)-1</f>
        <v>63</v>
      </c>
    </row>
    <row r="741" spans="1:15" s="22" customFormat="1">
      <c r="A741" s="22">
        <v>525</v>
      </c>
      <c r="B741" s="22" t="s">
        <v>741</v>
      </c>
      <c r="C741" s="22" t="s">
        <v>742</v>
      </c>
      <c r="E741" s="22">
        <v>1</v>
      </c>
      <c r="F741" s="22">
        <v>40.5</v>
      </c>
      <c r="G741" s="30">
        <f>IF(OR(M741="",O741="",M741=0),"",(M741-O741)/M741)</f>
        <v>0.22222222222222221</v>
      </c>
      <c r="H741" s="22">
        <v>40.5</v>
      </c>
      <c r="I741" s="22">
        <v>6347</v>
      </c>
      <c r="J741" s="22">
        <v>5</v>
      </c>
      <c r="K741" s="22">
        <v>100</v>
      </c>
      <c r="L741" s="22">
        <v>18</v>
      </c>
      <c r="M741" s="22">
        <f>_xlfn.CEILING.MATH(F741*2)</f>
        <v>81</v>
      </c>
      <c r="N741" s="22">
        <f>H741*1.18</f>
        <v>47.79</v>
      </c>
      <c r="O741" s="22">
        <f>_xlfn.CEILING.MATH(F741*1.56)-1</f>
        <v>63</v>
      </c>
    </row>
    <row r="742" spans="1:15" s="22" customFormat="1">
      <c r="A742" s="22">
        <v>526</v>
      </c>
      <c r="B742" s="22" t="s">
        <v>743</v>
      </c>
      <c r="C742" s="22" t="s">
        <v>744</v>
      </c>
      <c r="E742" s="22">
        <v>1</v>
      </c>
      <c r="F742" s="22">
        <v>45.5</v>
      </c>
      <c r="G742" s="30">
        <f>IF(OR(M742="",O742="",M742=0),"",(M742-O742)/M742)</f>
        <v>0.23076923076923078</v>
      </c>
      <c r="H742" s="22">
        <v>45.5</v>
      </c>
      <c r="I742" s="22">
        <v>7285</v>
      </c>
      <c r="J742" s="22">
        <v>5</v>
      </c>
      <c r="K742" s="22">
        <v>100</v>
      </c>
      <c r="L742" s="22">
        <v>18</v>
      </c>
      <c r="M742" s="22">
        <f>_xlfn.CEILING.MATH(F742*2)</f>
        <v>91</v>
      </c>
      <c r="N742" s="22">
        <f>H742*1.18</f>
        <v>53.69</v>
      </c>
      <c r="O742" s="22">
        <f>_xlfn.CEILING.MATH(F742*1.56)-1</f>
        <v>70</v>
      </c>
    </row>
    <row r="743" spans="1:15" s="22" customFormat="1">
      <c r="A743" s="22">
        <v>527</v>
      </c>
      <c r="B743" s="22" t="s">
        <v>745</v>
      </c>
      <c r="C743" s="22" t="s">
        <v>746</v>
      </c>
      <c r="E743" s="22">
        <v>1</v>
      </c>
      <c r="F743" s="22">
        <v>60</v>
      </c>
      <c r="G743" s="30">
        <f>IF(OR(M743="",O743="",M743=0),"",(M743-O743)/M743)</f>
        <v>0.22500000000000001</v>
      </c>
      <c r="H743" s="22">
        <v>60</v>
      </c>
      <c r="I743" s="22">
        <v>19</v>
      </c>
      <c r="J743" s="22">
        <v>5</v>
      </c>
      <c r="K743" s="22">
        <v>100</v>
      </c>
      <c r="L743" s="22">
        <v>18</v>
      </c>
      <c r="M743" s="22">
        <f>_xlfn.CEILING.MATH(F743*2)</f>
        <v>120</v>
      </c>
      <c r="N743" s="22">
        <f>H743*1.18</f>
        <v>70.8</v>
      </c>
      <c r="O743" s="22">
        <f>_xlfn.CEILING.MATH(F743*1.56)-1</f>
        <v>93</v>
      </c>
    </row>
    <row r="744" spans="1:15" s="22" customFormat="1">
      <c r="A744" s="22">
        <v>528</v>
      </c>
      <c r="B744" s="22" t="s">
        <v>747</v>
      </c>
      <c r="C744" s="22" t="s">
        <v>748</v>
      </c>
      <c r="E744" s="22">
        <v>1</v>
      </c>
      <c r="F744" s="22">
        <v>72</v>
      </c>
      <c r="G744" s="30">
        <f>IF(OR(M744="",O744="",M744=0),"",(M744-O744)/M744)</f>
        <v>0.22222222222222221</v>
      </c>
      <c r="H744" s="22">
        <v>72</v>
      </c>
      <c r="I744" s="22">
        <v>19</v>
      </c>
      <c r="J744" s="22">
        <v>5</v>
      </c>
      <c r="K744" s="22">
        <v>80</v>
      </c>
      <c r="L744" s="22">
        <v>18</v>
      </c>
      <c r="M744" s="22">
        <f>_xlfn.CEILING.MATH(F744*2)</f>
        <v>144</v>
      </c>
      <c r="N744" s="22">
        <f>H744*1.18</f>
        <v>84.96</v>
      </c>
      <c r="O744" s="22">
        <f>_xlfn.CEILING.MATH(F744*1.56)-1</f>
        <v>112</v>
      </c>
    </row>
    <row r="745" spans="1:15" s="22" customFormat="1">
      <c r="A745" s="22">
        <v>529</v>
      </c>
      <c r="B745" s="22" t="s">
        <v>749</v>
      </c>
      <c r="C745" s="22" t="s">
        <v>750</v>
      </c>
      <c r="E745" s="22">
        <v>1</v>
      </c>
      <c r="F745" s="22">
        <v>72</v>
      </c>
      <c r="G745" s="30">
        <f>IF(OR(M745="",O745="",M745=0),"",(M745-O745)/M745)</f>
        <v>0.22222222222222221</v>
      </c>
      <c r="H745" s="22">
        <v>72</v>
      </c>
      <c r="I745" s="22">
        <v>1045</v>
      </c>
      <c r="J745" s="22">
        <v>5</v>
      </c>
      <c r="K745" s="22">
        <v>80</v>
      </c>
      <c r="L745" s="22">
        <v>18</v>
      </c>
      <c r="M745" s="22">
        <f>_xlfn.CEILING.MATH(F745*2)</f>
        <v>144</v>
      </c>
      <c r="N745" s="22">
        <f>H745*1.18</f>
        <v>84.96</v>
      </c>
      <c r="O745" s="22">
        <f>_xlfn.CEILING.MATH(F745*1.56)-1</f>
        <v>112</v>
      </c>
    </row>
    <row r="746" spans="1:15" s="22" customFormat="1">
      <c r="A746" s="22">
        <v>530</v>
      </c>
      <c r="B746" s="22" t="s">
        <v>751</v>
      </c>
      <c r="C746" s="22" t="s">
        <v>752</v>
      </c>
      <c r="E746" s="22">
        <v>1</v>
      </c>
      <c r="F746" s="22">
        <v>81</v>
      </c>
      <c r="G746" s="30">
        <f>IF(OR(M746="",O746="",M746=0),"",(M746-O746)/M746)</f>
        <v>0.22222222222222221</v>
      </c>
      <c r="H746" s="22">
        <v>81</v>
      </c>
      <c r="I746" s="22">
        <v>1617</v>
      </c>
      <c r="J746" s="22">
        <v>5</v>
      </c>
      <c r="K746" s="22">
        <v>60</v>
      </c>
      <c r="L746" s="22">
        <v>18</v>
      </c>
      <c r="M746" s="22">
        <f>_xlfn.CEILING.MATH(F746*2)</f>
        <v>162</v>
      </c>
      <c r="N746" s="22">
        <f>H746*1.18</f>
        <v>95.58</v>
      </c>
      <c r="O746" s="22">
        <f>_xlfn.CEILING.MATH(F746*1.56)-1</f>
        <v>126</v>
      </c>
    </row>
    <row r="747" spans="1:15" s="22" customFormat="1">
      <c r="A747" s="22">
        <v>531</v>
      </c>
      <c r="B747" s="22" t="s">
        <v>753</v>
      </c>
      <c r="C747" s="22" t="s">
        <v>754</v>
      </c>
      <c r="E747" s="22">
        <v>1</v>
      </c>
      <c r="F747" s="22">
        <v>97.5</v>
      </c>
      <c r="G747" s="30">
        <f>IF(OR(M747="",O747="",M747=0),"",(M747-O747)/M747)</f>
        <v>0.22051282051282051</v>
      </c>
      <c r="H747" s="22">
        <v>97.5</v>
      </c>
      <c r="I747" s="22">
        <v>223</v>
      </c>
      <c r="J747" s="22">
        <v>5</v>
      </c>
      <c r="K747" s="22">
        <v>60</v>
      </c>
      <c r="L747" s="22">
        <v>18</v>
      </c>
      <c r="M747" s="22">
        <f>_xlfn.CEILING.MATH(F747*2)</f>
        <v>195</v>
      </c>
      <c r="N747" s="22">
        <f>H747*1.18</f>
        <v>115.05</v>
      </c>
      <c r="O747" s="22">
        <f>_xlfn.CEILING.MATH(F747*1.56)-1</f>
        <v>152</v>
      </c>
    </row>
    <row r="748" spans="1:15" s="22" customFormat="1">
      <c r="A748" s="22">
        <v>532</v>
      </c>
      <c r="B748" s="22" t="s">
        <v>755</v>
      </c>
      <c r="C748" s="22" t="s">
        <v>756</v>
      </c>
      <c r="E748" s="22">
        <v>1</v>
      </c>
      <c r="F748" s="22">
        <v>21.5</v>
      </c>
      <c r="G748" s="30">
        <f>IF(OR(M748="",O748="",M748=0),"",(M748-O748)/M748)</f>
        <v>0.23255813953488372</v>
      </c>
      <c r="H748" s="22">
        <v>21.5</v>
      </c>
      <c r="I748" s="22">
        <v>2560</v>
      </c>
      <c r="J748" s="22">
        <v>10</v>
      </c>
      <c r="K748" s="22">
        <v>400</v>
      </c>
      <c r="L748" s="22">
        <v>18</v>
      </c>
      <c r="M748" s="22">
        <f>_xlfn.CEILING.MATH(F748*2)</f>
        <v>43</v>
      </c>
      <c r="N748" s="22">
        <f>H748*1.18</f>
        <v>25.369999999999997</v>
      </c>
      <c r="O748" s="22">
        <f>_xlfn.CEILING.MATH(F748*1.56)-1</f>
        <v>33</v>
      </c>
    </row>
    <row r="749" spans="1:15" s="22" customFormat="1">
      <c r="A749" s="22">
        <v>533</v>
      </c>
      <c r="B749" s="22" t="s">
        <v>757</v>
      </c>
      <c r="C749" s="22" t="s">
        <v>758</v>
      </c>
      <c r="E749" s="22">
        <v>1</v>
      </c>
      <c r="F749" s="22">
        <v>34.5</v>
      </c>
      <c r="G749" s="30">
        <f>IF(OR(M749="",O749="",M749=0),"",(M749-O749)/M749)</f>
        <v>0.2318840579710145</v>
      </c>
      <c r="H749" s="22">
        <v>34.5</v>
      </c>
      <c r="I749" s="22">
        <v>2990</v>
      </c>
      <c r="J749" s="22">
        <v>5</v>
      </c>
      <c r="K749" s="22">
        <v>100</v>
      </c>
      <c r="L749" s="22">
        <v>18</v>
      </c>
      <c r="M749" s="22">
        <f>_xlfn.CEILING.MATH(F749*2)</f>
        <v>69</v>
      </c>
      <c r="N749" s="22">
        <f>H749*1.18</f>
        <v>40.71</v>
      </c>
      <c r="O749" s="22">
        <f>_xlfn.CEILING.MATH(F749*1.56)-1</f>
        <v>53</v>
      </c>
    </row>
    <row r="750" spans="1:15" s="22" customFormat="1">
      <c r="A750" s="22">
        <v>534</v>
      </c>
      <c r="B750" s="22" t="s">
        <v>759</v>
      </c>
      <c r="C750" s="22" t="s">
        <v>760</v>
      </c>
      <c r="E750" s="22">
        <v>1</v>
      </c>
      <c r="F750" s="22">
        <v>30</v>
      </c>
      <c r="G750" s="30">
        <f>IF(OR(M750="",O750="",M750=0),"",(M750-O750)/M750)</f>
        <v>0.23333333333333334</v>
      </c>
      <c r="H750" s="22">
        <v>30</v>
      </c>
      <c r="I750" s="22">
        <v>2277</v>
      </c>
      <c r="J750" s="22">
        <v>5</v>
      </c>
      <c r="K750" s="22">
        <v>200</v>
      </c>
      <c r="L750" s="22">
        <v>18</v>
      </c>
      <c r="M750" s="22">
        <f>_xlfn.CEILING.MATH(F750*2)</f>
        <v>60</v>
      </c>
      <c r="N750" s="22">
        <f>H750*1.18</f>
        <v>35.4</v>
      </c>
      <c r="O750" s="22">
        <f>_xlfn.CEILING.MATH(F750*1.56)-1</f>
        <v>46</v>
      </c>
    </row>
    <row r="751" spans="1:15" s="22" customFormat="1">
      <c r="A751" s="22">
        <v>535</v>
      </c>
      <c r="B751" s="22" t="s">
        <v>761</v>
      </c>
      <c r="C751" s="22" t="s">
        <v>762</v>
      </c>
      <c r="E751" s="22">
        <v>1</v>
      </c>
      <c r="F751" s="22">
        <v>39</v>
      </c>
      <c r="G751" s="30">
        <f>IF(OR(M751="",O751="",M751=0),"",(M751-O751)/M751)</f>
        <v>0.23076923076923078</v>
      </c>
      <c r="H751" s="22">
        <v>39</v>
      </c>
      <c r="I751" s="22">
        <v>3408</v>
      </c>
      <c r="J751" s="22">
        <v>5</v>
      </c>
      <c r="K751" s="22">
        <v>150</v>
      </c>
      <c r="L751" s="22">
        <v>18</v>
      </c>
      <c r="M751" s="22">
        <f>_xlfn.CEILING.MATH(F751*2)</f>
        <v>78</v>
      </c>
      <c r="N751" s="22">
        <f>H751*1.18</f>
        <v>46.019999999999996</v>
      </c>
      <c r="O751" s="22">
        <f>_xlfn.CEILING.MATH(F751*1.56)-1</f>
        <v>60</v>
      </c>
    </row>
    <row r="752" spans="1:15" s="22" customFormat="1">
      <c r="A752" s="22">
        <v>536</v>
      </c>
      <c r="B752" s="22" t="s">
        <v>763</v>
      </c>
      <c r="C752" s="22" t="s">
        <v>764</v>
      </c>
      <c r="E752" s="22">
        <v>1</v>
      </c>
      <c r="F752" s="22">
        <v>97.5</v>
      </c>
      <c r="G752" s="30">
        <f>IF(OR(M752="",O752="",M752=0),"",(M752-O752)/M752)</f>
        <v>0.22051282051282051</v>
      </c>
      <c r="H752" s="22">
        <v>97.5</v>
      </c>
      <c r="I752" s="22">
        <v>77</v>
      </c>
      <c r="J752" s="22">
        <v>5</v>
      </c>
      <c r="K752" s="22">
        <v>60</v>
      </c>
      <c r="L752" s="22">
        <v>18</v>
      </c>
      <c r="M752" s="22">
        <f>_xlfn.CEILING.MATH(F752*2)</f>
        <v>195</v>
      </c>
      <c r="N752" s="22">
        <f>H752*1.18</f>
        <v>115.05</v>
      </c>
      <c r="O752" s="22">
        <f>_xlfn.CEILING.MATH(F752*1.56)-1</f>
        <v>152</v>
      </c>
    </row>
    <row r="753" spans="1:15" s="22" customFormat="1">
      <c r="A753" s="22">
        <v>537</v>
      </c>
      <c r="B753" s="22" t="s">
        <v>765</v>
      </c>
      <c r="C753" s="22" t="s">
        <v>766</v>
      </c>
      <c r="E753" s="22">
        <v>1</v>
      </c>
      <c r="F753" s="22">
        <v>164</v>
      </c>
      <c r="G753" s="30">
        <f>IF(OR(M753="",O753="",M753=0),"",(M753-O753)/M753)</f>
        <v>0.2225609756097561</v>
      </c>
      <c r="H753" s="22">
        <v>164</v>
      </c>
      <c r="I753" s="22">
        <v>106</v>
      </c>
      <c r="J753" s="22">
        <v>5</v>
      </c>
      <c r="K753" s="22">
        <v>30</v>
      </c>
      <c r="L753" s="22">
        <v>18</v>
      </c>
      <c r="M753" s="22">
        <f>_xlfn.CEILING.MATH(F753*2)</f>
        <v>328</v>
      </c>
      <c r="N753" s="22">
        <f>H753*1.18</f>
        <v>193.51999999999998</v>
      </c>
      <c r="O753" s="22">
        <f>_xlfn.CEILING.MATH(F753*1.56)-1</f>
        <v>255</v>
      </c>
    </row>
    <row r="754" spans="1:15" s="22" customFormat="1">
      <c r="A754" s="22">
        <v>538</v>
      </c>
      <c r="B754" s="22" t="s">
        <v>767</v>
      </c>
      <c r="C754" s="22" t="s">
        <v>768</v>
      </c>
      <c r="E754" s="22">
        <v>1</v>
      </c>
      <c r="F754" s="22">
        <v>273</v>
      </c>
      <c r="G754" s="30">
        <f>IF(OR(M754="",O754="",M754=0),"",(M754-O754)/M754)</f>
        <v>0.2216117216117216</v>
      </c>
      <c r="H754" s="22">
        <v>273</v>
      </c>
      <c r="I754" s="22">
        <v>525</v>
      </c>
      <c r="J754" s="22">
        <v>1</v>
      </c>
      <c r="K754" s="22">
        <v>20</v>
      </c>
      <c r="L754" s="22">
        <v>18</v>
      </c>
      <c r="M754" s="22">
        <f>_xlfn.CEILING.MATH(F754*2)</f>
        <v>546</v>
      </c>
      <c r="N754" s="22">
        <f>H754*1.18</f>
        <v>322.14</v>
      </c>
      <c r="O754" s="22">
        <f>_xlfn.CEILING.MATH(F754*1.56)-1</f>
        <v>425</v>
      </c>
    </row>
    <row r="755" spans="1:15" s="22" customFormat="1">
      <c r="A755" s="22">
        <v>539</v>
      </c>
      <c r="B755" s="22" t="s">
        <v>769</v>
      </c>
      <c r="C755" s="22" t="s">
        <v>770</v>
      </c>
      <c r="E755" s="22">
        <v>1</v>
      </c>
      <c r="F755" s="22">
        <v>34.5</v>
      </c>
      <c r="G755" s="30">
        <f>IF(OR(M755="",O755="",M755=0),"",(M755-O755)/M755)</f>
        <v>0.2318840579710145</v>
      </c>
      <c r="H755" s="22">
        <v>34.5</v>
      </c>
      <c r="I755" s="22">
        <v>793</v>
      </c>
      <c r="J755" s="22">
        <v>5</v>
      </c>
      <c r="K755" s="22">
        <v>200</v>
      </c>
      <c r="L755" s="22">
        <v>18</v>
      </c>
      <c r="M755" s="22">
        <f>_xlfn.CEILING.MATH(F755*2)</f>
        <v>69</v>
      </c>
      <c r="N755" s="22">
        <f>H755*1.18</f>
        <v>40.71</v>
      </c>
      <c r="O755" s="22">
        <f>_xlfn.CEILING.MATH(F755*1.56)-1</f>
        <v>53</v>
      </c>
    </row>
    <row r="756" spans="1:15" s="22" customFormat="1">
      <c r="A756" s="22">
        <v>540</v>
      </c>
      <c r="B756" s="22" t="s">
        <v>771</v>
      </c>
      <c r="C756" s="22" t="s">
        <v>772</v>
      </c>
      <c r="E756" s="22">
        <v>1</v>
      </c>
      <c r="F756" s="22">
        <v>94.5</v>
      </c>
      <c r="G756" s="30">
        <f>IF(OR(M756="",O756="",M756=0),"",(M756-O756)/M756)</f>
        <v>0.22222222222222221</v>
      </c>
      <c r="H756" s="22">
        <v>94.5</v>
      </c>
      <c r="I756" s="22">
        <v>6750</v>
      </c>
      <c r="J756" s="22">
        <v>5</v>
      </c>
      <c r="K756" s="22">
        <v>60</v>
      </c>
      <c r="L756" s="22">
        <v>18</v>
      </c>
      <c r="M756" s="22">
        <f>_xlfn.CEILING.MATH(F756*2)</f>
        <v>189</v>
      </c>
      <c r="N756" s="22">
        <f>H756*1.18</f>
        <v>111.50999999999999</v>
      </c>
      <c r="O756" s="22">
        <f>_xlfn.CEILING.MATH(F756*1.56)-1</f>
        <v>147</v>
      </c>
    </row>
    <row r="757" spans="1:15" s="22" customFormat="1">
      <c r="A757" s="22">
        <v>541</v>
      </c>
      <c r="B757" s="22" t="s">
        <v>773</v>
      </c>
      <c r="C757" s="22" t="s">
        <v>774</v>
      </c>
      <c r="E757" s="22">
        <v>1</v>
      </c>
      <c r="F757" s="22">
        <v>46.5</v>
      </c>
      <c r="G757" s="30">
        <f>IF(OR(M757="",O757="",M757=0),"",(M757-O757)/M757)</f>
        <v>0.22580645161290322</v>
      </c>
      <c r="H757" s="22">
        <v>46.5</v>
      </c>
      <c r="I757" s="22">
        <v>2731</v>
      </c>
      <c r="J757" s="22">
        <v>5</v>
      </c>
      <c r="K757" s="22">
        <v>100</v>
      </c>
      <c r="L757" s="22">
        <v>18</v>
      </c>
      <c r="M757" s="22">
        <f>_xlfn.CEILING.MATH(F757*2)</f>
        <v>93</v>
      </c>
      <c r="N757" s="22">
        <f>H757*1.18</f>
        <v>54.87</v>
      </c>
      <c r="O757" s="22">
        <f>_xlfn.CEILING.MATH(F757*1.56)-1</f>
        <v>72</v>
      </c>
    </row>
    <row r="758" spans="1:15" s="22" customFormat="1">
      <c r="A758" s="22">
        <v>542</v>
      </c>
      <c r="B758" s="22" t="s">
        <v>775</v>
      </c>
      <c r="C758" s="22" t="s">
        <v>776</v>
      </c>
      <c r="E758" s="22">
        <v>1</v>
      </c>
      <c r="F758" s="22">
        <v>58.5</v>
      </c>
      <c r="G758" s="30">
        <f>IF(OR(M758="",O758="",M758=0),"",(M758-O758)/M758)</f>
        <v>0.22222222222222221</v>
      </c>
      <c r="H758" s="22">
        <v>58.5</v>
      </c>
      <c r="I758" s="22">
        <v>15</v>
      </c>
      <c r="J758" s="22">
        <v>5</v>
      </c>
      <c r="K758" s="22">
        <v>100</v>
      </c>
      <c r="L758" s="22">
        <v>18</v>
      </c>
      <c r="M758" s="22">
        <f>_xlfn.CEILING.MATH(F758*2)</f>
        <v>117</v>
      </c>
      <c r="N758" s="22">
        <f>H758*1.18</f>
        <v>69.03</v>
      </c>
      <c r="O758" s="22">
        <f>_xlfn.CEILING.MATH(F758*1.56)-1</f>
        <v>91</v>
      </c>
    </row>
    <row r="759" spans="1:15" s="22" customFormat="1">
      <c r="A759" s="22">
        <v>543</v>
      </c>
      <c r="B759" s="22" t="s">
        <v>777</v>
      </c>
      <c r="C759" s="22" t="s">
        <v>778</v>
      </c>
      <c r="E759" s="22">
        <v>1</v>
      </c>
      <c r="F759" s="22">
        <v>17.5</v>
      </c>
      <c r="G759" s="30">
        <f>IF(OR(M759="",O759="",M759=0),"",(M759-O759)/M759)</f>
        <v>0.22857142857142856</v>
      </c>
      <c r="H759" s="22">
        <v>17.5</v>
      </c>
      <c r="I759" s="22">
        <v>11403</v>
      </c>
      <c r="J759" s="22">
        <v>10</v>
      </c>
      <c r="K759" s="22">
        <v>600</v>
      </c>
      <c r="L759" s="22">
        <v>18</v>
      </c>
      <c r="M759" s="22">
        <f>_xlfn.CEILING.MATH(F759*2)</f>
        <v>35</v>
      </c>
      <c r="N759" s="22">
        <f>H759*1.18</f>
        <v>20.65</v>
      </c>
      <c r="O759" s="22">
        <f>_xlfn.CEILING.MATH(F759*1.56)-1</f>
        <v>27</v>
      </c>
    </row>
    <row r="760" spans="1:15" s="22" customFormat="1">
      <c r="A760" s="22">
        <v>544</v>
      </c>
      <c r="B760" s="22" t="s">
        <v>779</v>
      </c>
      <c r="C760" s="22" t="s">
        <v>780</v>
      </c>
      <c r="E760" s="22">
        <v>1</v>
      </c>
      <c r="F760" s="22">
        <v>84</v>
      </c>
      <c r="G760" s="30">
        <f>IF(OR(M760="",O760="",M760=0),"",(M760-O760)/M760)</f>
        <v>0.22023809523809523</v>
      </c>
      <c r="H760" s="22">
        <v>84</v>
      </c>
      <c r="I760" s="22">
        <v>164</v>
      </c>
      <c r="J760" s="22">
        <v>5</v>
      </c>
      <c r="K760" s="22">
        <v>60</v>
      </c>
      <c r="L760" s="22">
        <v>18</v>
      </c>
      <c r="M760" s="22">
        <f>_xlfn.CEILING.MATH(F760*2)</f>
        <v>168</v>
      </c>
      <c r="N760" s="22">
        <f>H760*1.18</f>
        <v>99.11999999999999</v>
      </c>
      <c r="O760" s="22">
        <f>_xlfn.CEILING.MATH(F760*1.56)-1</f>
        <v>131</v>
      </c>
    </row>
    <row r="761" spans="1:15" s="22" customFormat="1">
      <c r="A761" s="22">
        <v>545</v>
      </c>
      <c r="B761" s="22" t="s">
        <v>781</v>
      </c>
      <c r="C761" s="22" t="s">
        <v>782</v>
      </c>
      <c r="E761" s="22">
        <v>1</v>
      </c>
      <c r="F761" s="22">
        <v>24.5</v>
      </c>
      <c r="G761" s="30">
        <f>IF(OR(M761="",O761="",M761=0),"",(M761-O761)/M761)</f>
        <v>0.22448979591836735</v>
      </c>
      <c r="H761" s="22">
        <v>24.5</v>
      </c>
      <c r="I761" s="22">
        <v>14377</v>
      </c>
      <c r="J761" s="22">
        <v>5</v>
      </c>
      <c r="K761" s="22">
        <v>80</v>
      </c>
      <c r="L761" s="22">
        <v>18</v>
      </c>
      <c r="M761" s="22">
        <f>_xlfn.CEILING.MATH(F761*2)</f>
        <v>49</v>
      </c>
      <c r="N761" s="22">
        <f>H761*1.18</f>
        <v>28.91</v>
      </c>
      <c r="O761" s="22">
        <f>_xlfn.CEILING.MATH(F761*1.56)-1</f>
        <v>38</v>
      </c>
    </row>
    <row r="762" spans="1:15" s="22" customFormat="1">
      <c r="A762" s="22">
        <v>546</v>
      </c>
      <c r="B762" s="22" t="s">
        <v>2005</v>
      </c>
      <c r="C762" s="22" t="s">
        <v>2006</v>
      </c>
      <c r="E762" s="22">
        <v>1</v>
      </c>
      <c r="F762" s="22">
        <v>28</v>
      </c>
      <c r="G762" s="30">
        <f>IF(OR(M762="",O762="",M762=0),"",(M762-O762)/M762)</f>
        <v>0.23214285714285715</v>
      </c>
      <c r="H762" s="22">
        <v>28</v>
      </c>
      <c r="I762" s="22">
        <v>0</v>
      </c>
      <c r="J762" s="22">
        <v>0</v>
      </c>
      <c r="K762" s="22">
        <v>0</v>
      </c>
      <c r="L762" s="22">
        <v>18</v>
      </c>
      <c r="M762" s="22">
        <f>_xlfn.CEILING.MATH(F762*2)</f>
        <v>56</v>
      </c>
      <c r="N762" s="22">
        <f>H762*1.18</f>
        <v>33.04</v>
      </c>
      <c r="O762" s="22">
        <f>_xlfn.CEILING.MATH(F762*1.56)-1</f>
        <v>43</v>
      </c>
    </row>
    <row r="763" spans="1:15" s="22" customFormat="1">
      <c r="A763" s="22">
        <v>547</v>
      </c>
      <c r="B763" s="22" t="s">
        <v>783</v>
      </c>
      <c r="C763" s="22" t="s">
        <v>784</v>
      </c>
      <c r="E763" s="22">
        <v>1</v>
      </c>
      <c r="F763" s="22">
        <v>40.5</v>
      </c>
      <c r="G763" s="30">
        <f>IF(OR(M763="",O763="",M763=0),"",(M763-O763)/M763)</f>
        <v>0.22222222222222221</v>
      </c>
      <c r="H763" s="22">
        <v>40.5</v>
      </c>
      <c r="I763" s="22">
        <v>0</v>
      </c>
      <c r="J763" s="22">
        <v>5</v>
      </c>
      <c r="K763" s="22">
        <v>80</v>
      </c>
      <c r="L763" s="22">
        <v>18</v>
      </c>
      <c r="M763" s="22">
        <f>_xlfn.CEILING.MATH(F763*2)</f>
        <v>81</v>
      </c>
      <c r="N763" s="22">
        <f>H763*1.18</f>
        <v>47.79</v>
      </c>
      <c r="O763" s="22">
        <f>_xlfn.CEILING.MATH(F763*1.56)-1</f>
        <v>63</v>
      </c>
    </row>
    <row r="764" spans="1:15" s="22" customFormat="1">
      <c r="A764" s="22">
        <v>548</v>
      </c>
      <c r="B764" s="22" t="s">
        <v>785</v>
      </c>
      <c r="C764" s="22" t="s">
        <v>786</v>
      </c>
      <c r="E764" s="22">
        <v>1</v>
      </c>
      <c r="F764" s="22">
        <v>240</v>
      </c>
      <c r="G764" s="30">
        <f>IF(OR(M764="",O764="",M764=0),"",(M764-O764)/M764)</f>
        <v>0.22083333333333333</v>
      </c>
      <c r="H764" s="22">
        <v>240</v>
      </c>
      <c r="I764" s="22">
        <v>62</v>
      </c>
      <c r="J764" s="22">
        <v>5</v>
      </c>
      <c r="K764" s="22">
        <v>30</v>
      </c>
      <c r="L764" s="22">
        <v>18</v>
      </c>
      <c r="M764" s="22">
        <f>_xlfn.CEILING.MATH(F764*2)</f>
        <v>480</v>
      </c>
      <c r="N764" s="22">
        <f>H764*1.18</f>
        <v>283.2</v>
      </c>
      <c r="O764" s="22">
        <f>_xlfn.CEILING.MATH(F764*1.56)-1</f>
        <v>374</v>
      </c>
    </row>
    <row r="765" spans="1:15" s="22" customFormat="1">
      <c r="A765" s="22">
        <v>549</v>
      </c>
      <c r="B765" s="22" t="s">
        <v>787</v>
      </c>
      <c r="C765" s="22" t="s">
        <v>788</v>
      </c>
      <c r="E765" s="22">
        <v>1</v>
      </c>
      <c r="F765" s="22">
        <v>396</v>
      </c>
      <c r="G765" s="30">
        <f>IF(OR(M765="",O765="",M765=0),"",(M765-O765)/M765)</f>
        <v>0.22095959595959597</v>
      </c>
      <c r="H765" s="22">
        <v>396</v>
      </c>
      <c r="I765" s="22">
        <v>30</v>
      </c>
      <c r="J765" s="22">
        <v>5</v>
      </c>
      <c r="K765" s="22">
        <v>30</v>
      </c>
      <c r="L765" s="22">
        <v>18</v>
      </c>
      <c r="M765" s="22">
        <f>_xlfn.CEILING.MATH(F765*2)</f>
        <v>792</v>
      </c>
      <c r="N765" s="22">
        <f>H765*1.18</f>
        <v>467.28</v>
      </c>
      <c r="O765" s="22">
        <f>_xlfn.CEILING.MATH(F765*1.56)-1</f>
        <v>617</v>
      </c>
    </row>
    <row r="766" spans="1:15" s="22" customFormat="1">
      <c r="A766" s="22">
        <v>550</v>
      </c>
      <c r="B766" s="22" t="s">
        <v>789</v>
      </c>
      <c r="C766" s="22" t="s">
        <v>790</v>
      </c>
      <c r="E766" s="22">
        <v>1</v>
      </c>
      <c r="F766" s="22">
        <v>28</v>
      </c>
      <c r="G766" s="30">
        <f>IF(OR(M766="",O766="",M766=0),"",(M766-O766)/M766)</f>
        <v>0.23214285714285715</v>
      </c>
      <c r="H766" s="22">
        <v>28</v>
      </c>
      <c r="I766" s="22">
        <v>618</v>
      </c>
      <c r="J766" s="22">
        <v>5</v>
      </c>
      <c r="L766" s="22">
        <v>18</v>
      </c>
      <c r="M766" s="22">
        <f>_xlfn.CEILING.MATH(F766*2)</f>
        <v>56</v>
      </c>
      <c r="N766" s="22">
        <f>H766*1.18</f>
        <v>33.04</v>
      </c>
      <c r="O766" s="22">
        <f>_xlfn.CEILING.MATH(F766*1.56)-1</f>
        <v>43</v>
      </c>
    </row>
    <row r="767" spans="1:15" s="22" customFormat="1">
      <c r="A767" s="22">
        <v>551</v>
      </c>
      <c r="B767" s="22" t="s">
        <v>791</v>
      </c>
      <c r="C767" s="22" t="s">
        <v>792</v>
      </c>
      <c r="E767" s="22">
        <v>1</v>
      </c>
      <c r="F767" s="22">
        <v>36</v>
      </c>
      <c r="G767" s="30">
        <f>IF(OR(M767="",O767="",M767=0),"",(M767-O767)/M767)</f>
        <v>0.22222222222222221</v>
      </c>
      <c r="H767" s="22">
        <v>36</v>
      </c>
      <c r="I767" s="22">
        <v>0</v>
      </c>
      <c r="J767" s="22">
        <v>5</v>
      </c>
      <c r="K767" s="22">
        <v>30</v>
      </c>
      <c r="L767" s="22">
        <v>18</v>
      </c>
      <c r="M767" s="22">
        <f>_xlfn.CEILING.MATH(F767*2)</f>
        <v>72</v>
      </c>
      <c r="N767" s="22">
        <f>H767*1.18</f>
        <v>42.48</v>
      </c>
      <c r="O767" s="22">
        <f>_xlfn.CEILING.MATH(F767*1.56)-1</f>
        <v>56</v>
      </c>
    </row>
    <row r="768" spans="1:15" s="22" customFormat="1">
      <c r="A768" s="22">
        <v>552</v>
      </c>
      <c r="B768" s="22" t="s">
        <v>793</v>
      </c>
      <c r="C768" s="22" t="s">
        <v>794</v>
      </c>
      <c r="E768" s="22">
        <v>1</v>
      </c>
      <c r="F768" s="22">
        <v>285</v>
      </c>
      <c r="G768" s="30">
        <f>IF(OR(M768="",O768="",M768=0),"",(M768-O768)/M768)</f>
        <v>0.22105263157894736</v>
      </c>
      <c r="H768" s="22">
        <v>285</v>
      </c>
      <c r="I768" s="22">
        <v>51</v>
      </c>
      <c r="J768" s="22">
        <v>5</v>
      </c>
      <c r="K768" s="22">
        <v>30</v>
      </c>
      <c r="L768" s="22">
        <v>18</v>
      </c>
      <c r="M768" s="22">
        <f>_xlfn.CEILING.MATH(F768*2)</f>
        <v>570</v>
      </c>
      <c r="N768" s="22">
        <f>H768*1.18</f>
        <v>336.29999999999995</v>
      </c>
      <c r="O768" s="22">
        <f>_xlfn.CEILING.MATH(F768*1.56)-1</f>
        <v>444</v>
      </c>
    </row>
    <row r="769" spans="1:15" s="22" customFormat="1">
      <c r="A769" s="22">
        <v>553</v>
      </c>
      <c r="B769" s="22" t="s">
        <v>795</v>
      </c>
      <c r="C769" s="22" t="s">
        <v>796</v>
      </c>
      <c r="E769" s="22">
        <v>1</v>
      </c>
      <c r="F769" s="22">
        <v>91</v>
      </c>
      <c r="G769" s="30">
        <f>IF(OR(M769="",O769="",M769=0),"",(M769-O769)/M769)</f>
        <v>0.22527472527472528</v>
      </c>
      <c r="H769" s="22">
        <v>91</v>
      </c>
      <c r="I769" s="22">
        <v>0</v>
      </c>
      <c r="J769" s="22">
        <v>5</v>
      </c>
      <c r="K769" s="22">
        <v>30</v>
      </c>
      <c r="L769" s="22">
        <v>18</v>
      </c>
      <c r="M769" s="22">
        <f>_xlfn.CEILING.MATH(F769*2)</f>
        <v>182</v>
      </c>
      <c r="N769" s="22">
        <f>H769*1.18</f>
        <v>107.38</v>
      </c>
      <c r="O769" s="22">
        <f>_xlfn.CEILING.MATH(F769*1.56)-1</f>
        <v>141</v>
      </c>
    </row>
    <row r="770" spans="1:15" s="22" customFormat="1">
      <c r="A770" s="22">
        <v>554</v>
      </c>
      <c r="B770" s="22" t="s">
        <v>797</v>
      </c>
      <c r="C770" s="22" t="s">
        <v>2007</v>
      </c>
      <c r="E770" s="22">
        <v>1</v>
      </c>
      <c r="F770" s="22">
        <v>172.5</v>
      </c>
      <c r="G770" s="30">
        <f>IF(OR(M770="",O770="",M770=0),"",(M770-O770)/M770)</f>
        <v>0.22028985507246376</v>
      </c>
      <c r="H770" s="22">
        <v>172.5</v>
      </c>
      <c r="I770" s="22">
        <v>99</v>
      </c>
      <c r="J770" s="22">
        <v>1</v>
      </c>
      <c r="K770" s="22">
        <v>10</v>
      </c>
      <c r="L770" s="22">
        <v>18</v>
      </c>
      <c r="M770" s="22">
        <f>_xlfn.CEILING.MATH(F770*2)</f>
        <v>345</v>
      </c>
      <c r="N770" s="22">
        <f>H770*1.18</f>
        <v>203.54999999999998</v>
      </c>
      <c r="O770" s="22">
        <f>_xlfn.CEILING.MATH(F770*1.56)-1</f>
        <v>269</v>
      </c>
    </row>
    <row r="771" spans="1:15" s="22" customFormat="1">
      <c r="A771" s="22">
        <v>555</v>
      </c>
      <c r="B771" s="22" t="s">
        <v>798</v>
      </c>
      <c r="C771" s="22" t="s">
        <v>799</v>
      </c>
      <c r="E771" s="22">
        <v>1</v>
      </c>
      <c r="F771" s="22">
        <v>204</v>
      </c>
      <c r="G771" s="30">
        <f>IF(OR(M771="",O771="",M771=0),"",(M771-O771)/M771)</f>
        <v>0.22058823529411764</v>
      </c>
      <c r="H771" s="22">
        <v>204</v>
      </c>
      <c r="I771" s="22">
        <v>699</v>
      </c>
      <c r="J771" s="22">
        <v>5</v>
      </c>
      <c r="K771" s="22">
        <v>30</v>
      </c>
      <c r="L771" s="22">
        <v>18</v>
      </c>
      <c r="M771" s="22">
        <f>_xlfn.CEILING.MATH(F771*2)</f>
        <v>408</v>
      </c>
      <c r="N771" s="22">
        <f>H771*1.18</f>
        <v>240.72</v>
      </c>
      <c r="O771" s="22">
        <f>_xlfn.CEILING.MATH(F771*1.56)-1</f>
        <v>318</v>
      </c>
    </row>
    <row r="772" spans="1:15" s="22" customFormat="1">
      <c r="A772" s="22">
        <v>556</v>
      </c>
      <c r="B772" s="22" t="s">
        <v>800</v>
      </c>
      <c r="C772" s="22" t="s">
        <v>801</v>
      </c>
      <c r="E772" s="22">
        <v>1</v>
      </c>
      <c r="F772" s="22">
        <v>220.5</v>
      </c>
      <c r="G772" s="30">
        <f>IF(OR(M772="",O772="",M772=0),"",(M772-O772)/M772)</f>
        <v>0.22222222222222221</v>
      </c>
      <c r="H772" s="22">
        <v>220.5</v>
      </c>
      <c r="I772" s="22">
        <v>68</v>
      </c>
      <c r="J772" s="22">
        <v>5</v>
      </c>
      <c r="K772" s="22">
        <v>30</v>
      </c>
      <c r="L772" s="22">
        <v>18</v>
      </c>
      <c r="M772" s="22">
        <f>_xlfn.CEILING.MATH(F772*2)</f>
        <v>441</v>
      </c>
      <c r="N772" s="22">
        <f>H772*1.18</f>
        <v>260.19</v>
      </c>
      <c r="O772" s="22">
        <f>_xlfn.CEILING.MATH(F772*1.56)-1</f>
        <v>343</v>
      </c>
    </row>
    <row r="773" spans="1:15" s="22" customFormat="1">
      <c r="A773" s="22">
        <v>557</v>
      </c>
      <c r="B773" s="22" t="s">
        <v>2008</v>
      </c>
      <c r="C773" s="22" t="s">
        <v>2009</v>
      </c>
      <c r="E773" s="22">
        <v>1</v>
      </c>
      <c r="F773" s="22">
        <v>199.5</v>
      </c>
      <c r="G773" s="30">
        <f>IF(OR(M773="",O773="",M773=0),"",(M773-O773)/M773)</f>
        <v>0.22055137844611528</v>
      </c>
      <c r="H773" s="22">
        <v>199.5</v>
      </c>
      <c r="I773" s="22">
        <v>1126</v>
      </c>
      <c r="J773" s="22">
        <v>5</v>
      </c>
      <c r="K773" s="22">
        <v>30</v>
      </c>
      <c r="L773" s="22">
        <v>18</v>
      </c>
      <c r="M773" s="22">
        <f>_xlfn.CEILING.MATH(F773*2)</f>
        <v>399</v>
      </c>
      <c r="N773" s="22">
        <f>H773*1.18</f>
        <v>235.41</v>
      </c>
      <c r="O773" s="22">
        <f>_xlfn.CEILING.MATH(F773*1.56)-1</f>
        <v>311</v>
      </c>
    </row>
    <row r="774" spans="1:15" s="22" customFormat="1">
      <c r="A774" s="22">
        <v>558</v>
      </c>
      <c r="B774" s="22" t="s">
        <v>802</v>
      </c>
      <c r="C774" s="22" t="s">
        <v>2010</v>
      </c>
      <c r="E774" s="22">
        <v>1</v>
      </c>
      <c r="F774" s="22">
        <v>225</v>
      </c>
      <c r="G774" s="30">
        <f>IF(OR(M774="",O774="",M774=0),"",(M774-O774)/M774)</f>
        <v>0.22222222222222221</v>
      </c>
      <c r="H774" s="22">
        <v>225</v>
      </c>
      <c r="I774" s="22">
        <v>61</v>
      </c>
      <c r="J774" s="22">
        <v>5</v>
      </c>
      <c r="K774" s="22">
        <v>30</v>
      </c>
      <c r="L774" s="22">
        <v>18</v>
      </c>
      <c r="M774" s="22">
        <f>_xlfn.CEILING.MATH(F774*2)</f>
        <v>450</v>
      </c>
      <c r="N774" s="22">
        <f>H774*1.18</f>
        <v>265.5</v>
      </c>
      <c r="O774" s="22">
        <f>_xlfn.CEILING.MATH(F774*1.56)-1</f>
        <v>350</v>
      </c>
    </row>
    <row r="775" spans="1:15" s="22" customFormat="1">
      <c r="A775" s="22">
        <v>559</v>
      </c>
      <c r="B775" s="22" t="s">
        <v>803</v>
      </c>
      <c r="C775" s="22" t="s">
        <v>804</v>
      </c>
      <c r="E775" s="22">
        <v>1</v>
      </c>
      <c r="F775" s="22">
        <v>393</v>
      </c>
      <c r="G775" s="30">
        <f>IF(OR(M775="",O775="",M775=0),"",(M775-O775)/M775)</f>
        <v>0.22010178117048346</v>
      </c>
      <c r="H775" s="22">
        <v>393</v>
      </c>
      <c r="I775" s="22">
        <v>6</v>
      </c>
      <c r="J775" s="22">
        <v>5</v>
      </c>
      <c r="K775" s="22">
        <v>30</v>
      </c>
      <c r="L775" s="22">
        <v>18</v>
      </c>
      <c r="M775" s="22">
        <f>_xlfn.CEILING.MATH(F775*2)</f>
        <v>786</v>
      </c>
      <c r="N775" s="22">
        <f>H775*1.18</f>
        <v>463.73999999999995</v>
      </c>
      <c r="O775" s="22">
        <f>_xlfn.CEILING.MATH(F775*1.56)-1</f>
        <v>613</v>
      </c>
    </row>
    <row r="776" spans="1:15" s="22" customFormat="1">
      <c r="A776" s="22">
        <v>560</v>
      </c>
      <c r="B776" s="22" t="s">
        <v>805</v>
      </c>
      <c r="C776" s="22" t="s">
        <v>806</v>
      </c>
      <c r="E776" s="22">
        <v>1</v>
      </c>
      <c r="F776" s="22">
        <v>750</v>
      </c>
      <c r="G776" s="30">
        <f>IF(OR(M776="",O776="",M776=0),"",(M776-O776)/M776)</f>
        <v>0.22066666666666668</v>
      </c>
      <c r="H776" s="22">
        <v>750</v>
      </c>
      <c r="I776" s="22">
        <v>43</v>
      </c>
      <c r="J776" s="22">
        <v>1</v>
      </c>
      <c r="K776" s="22">
        <v>10</v>
      </c>
      <c r="L776" s="22">
        <v>18</v>
      </c>
      <c r="M776" s="22">
        <f>_xlfn.CEILING.MATH(F776*2)</f>
        <v>1500</v>
      </c>
      <c r="N776" s="22">
        <f>H776*1.18</f>
        <v>885</v>
      </c>
      <c r="O776" s="22">
        <f>_xlfn.CEILING.MATH(F776*1.56)-1</f>
        <v>1169</v>
      </c>
    </row>
    <row r="777" spans="1:15" s="22" customFormat="1">
      <c r="A777" s="22">
        <v>561</v>
      </c>
      <c r="B777" s="22" t="s">
        <v>807</v>
      </c>
      <c r="C777" s="22" t="s">
        <v>808</v>
      </c>
      <c r="E777" s="22">
        <v>1</v>
      </c>
      <c r="F777" s="22">
        <v>1020</v>
      </c>
      <c r="G777" s="30">
        <f>IF(OR(M777="",O777="",M777=0),"",(M777-O777)/M777)</f>
        <v>0.22009803921568627</v>
      </c>
      <c r="H777" s="22">
        <v>1020</v>
      </c>
      <c r="I777" s="22">
        <v>3</v>
      </c>
      <c r="J777" s="22">
        <v>2</v>
      </c>
      <c r="K777" s="22">
        <v>10</v>
      </c>
      <c r="L777" s="22">
        <v>18</v>
      </c>
      <c r="M777" s="22">
        <f>_xlfn.CEILING.MATH(F777*2)</f>
        <v>2040</v>
      </c>
      <c r="N777" s="22">
        <f>H777*1.18</f>
        <v>1203.5999999999999</v>
      </c>
      <c r="O777" s="22">
        <f>_xlfn.CEILING.MATH(F777*1.56)-1</f>
        <v>1591</v>
      </c>
    </row>
    <row r="778" spans="1:15" s="22" customFormat="1">
      <c r="A778" s="22">
        <v>562</v>
      </c>
      <c r="B778" s="22" t="s">
        <v>2011</v>
      </c>
      <c r="C778" s="22" t="s">
        <v>2012</v>
      </c>
      <c r="E778" s="22">
        <v>1</v>
      </c>
      <c r="F778" s="22">
        <v>2480</v>
      </c>
      <c r="G778" s="30">
        <f>IF(OR(M778="",O778="",M778=0),"",(M778-O778)/M778)</f>
        <v>0.22016129032258064</v>
      </c>
      <c r="H778" s="22">
        <v>2480</v>
      </c>
      <c r="I778" s="22">
        <v>0</v>
      </c>
      <c r="J778" s="22">
        <v>5</v>
      </c>
      <c r="K778" s="22">
        <v>10</v>
      </c>
      <c r="L778" s="22">
        <v>18</v>
      </c>
      <c r="M778" s="22">
        <f>_xlfn.CEILING.MATH(F778*2)</f>
        <v>4960</v>
      </c>
      <c r="N778" s="22">
        <f>H778*1.18</f>
        <v>2926.3999999999996</v>
      </c>
      <c r="O778" s="22">
        <f>_xlfn.CEILING.MATH(F778*1.56)-1</f>
        <v>3868</v>
      </c>
    </row>
    <row r="779" spans="1:15" s="22" customFormat="1">
      <c r="A779" s="22">
        <v>563</v>
      </c>
      <c r="B779" s="22" t="s">
        <v>2013</v>
      </c>
      <c r="C779" s="22" t="s">
        <v>2014</v>
      </c>
      <c r="E779" s="22">
        <v>1</v>
      </c>
      <c r="F779" s="22">
        <v>28.5</v>
      </c>
      <c r="G779" s="30">
        <f>IF(OR(M779="",O779="",M779=0),"",(M779-O779)/M779)</f>
        <v>0.22807017543859648</v>
      </c>
      <c r="H779" s="22">
        <v>28.5</v>
      </c>
      <c r="I779" s="22">
        <v>548</v>
      </c>
      <c r="J779" s="22">
        <v>10</v>
      </c>
      <c r="K779" s="22">
        <v>200</v>
      </c>
      <c r="L779" s="22">
        <v>18</v>
      </c>
      <c r="M779" s="22">
        <f>_xlfn.CEILING.MATH(F779*2)</f>
        <v>57</v>
      </c>
      <c r="N779" s="22">
        <f>H779*1.18</f>
        <v>33.629999999999995</v>
      </c>
      <c r="O779" s="22">
        <f>_xlfn.CEILING.MATH(F779*1.56)-1</f>
        <v>44</v>
      </c>
    </row>
    <row r="780" spans="1:15" s="22" customFormat="1">
      <c r="A780" s="22">
        <v>564</v>
      </c>
      <c r="B780" s="22" t="s">
        <v>2015</v>
      </c>
      <c r="C780" s="22" t="s">
        <v>2016</v>
      </c>
      <c r="E780" s="22">
        <v>1</v>
      </c>
      <c r="F780" s="22">
        <v>34.5</v>
      </c>
      <c r="G780" s="30">
        <f>IF(OR(M780="",O780="",M780=0),"",(M780-O780)/M780)</f>
        <v>0.2318840579710145</v>
      </c>
      <c r="H780" s="22">
        <v>34.5</v>
      </c>
      <c r="I780" s="22">
        <v>0</v>
      </c>
      <c r="J780" s="22">
        <v>10</v>
      </c>
      <c r="K780" s="22">
        <v>200</v>
      </c>
      <c r="L780" s="22">
        <v>18</v>
      </c>
      <c r="M780" s="22">
        <f>_xlfn.CEILING.MATH(F780*2)</f>
        <v>69</v>
      </c>
      <c r="N780" s="22">
        <f>H780*1.18</f>
        <v>40.71</v>
      </c>
      <c r="O780" s="22">
        <f>_xlfn.CEILING.MATH(F780*1.56)-1</f>
        <v>53</v>
      </c>
    </row>
    <row r="781" spans="1:15" s="22" customFormat="1">
      <c r="A781" s="22">
        <v>565</v>
      </c>
      <c r="B781" s="22" t="s">
        <v>2017</v>
      </c>
      <c r="C781" s="22" t="s">
        <v>2018</v>
      </c>
      <c r="E781" s="22">
        <v>1</v>
      </c>
      <c r="F781" s="22">
        <v>42</v>
      </c>
      <c r="G781" s="30">
        <f>IF(OR(M781="",O781="",M781=0),"",(M781-O781)/M781)</f>
        <v>0.22619047619047619</v>
      </c>
      <c r="H781" s="22">
        <v>42</v>
      </c>
      <c r="I781" s="22">
        <v>323</v>
      </c>
      <c r="J781" s="22">
        <v>10</v>
      </c>
      <c r="K781" s="22">
        <v>150</v>
      </c>
      <c r="L781" s="22">
        <v>18</v>
      </c>
      <c r="M781" s="22">
        <f>_xlfn.CEILING.MATH(F781*2)</f>
        <v>84</v>
      </c>
      <c r="N781" s="22">
        <f>H781*1.18</f>
        <v>49.559999999999995</v>
      </c>
      <c r="O781" s="22">
        <f>_xlfn.CEILING.MATH(F781*1.56)-1</f>
        <v>65</v>
      </c>
    </row>
    <row r="782" spans="1:15" s="22" customFormat="1">
      <c r="A782" s="22">
        <v>566</v>
      </c>
      <c r="B782" s="22" t="s">
        <v>2019</v>
      </c>
      <c r="C782" s="22" t="s">
        <v>2020</v>
      </c>
      <c r="E782" s="22">
        <v>1</v>
      </c>
      <c r="F782" s="22">
        <v>54</v>
      </c>
      <c r="G782" s="30">
        <f>IF(OR(M782="",O782="",M782=0),"",(M782-O782)/M782)</f>
        <v>0.22222222222222221</v>
      </c>
      <c r="H782" s="22">
        <v>54</v>
      </c>
      <c r="I782" s="22">
        <v>0</v>
      </c>
      <c r="J782" s="22">
        <v>5</v>
      </c>
      <c r="K782" s="22">
        <v>150</v>
      </c>
      <c r="L782" s="22">
        <v>18</v>
      </c>
      <c r="M782" s="22">
        <f>_xlfn.CEILING.MATH(F782*2)</f>
        <v>108</v>
      </c>
      <c r="N782" s="22">
        <f>H782*1.18</f>
        <v>63.72</v>
      </c>
      <c r="O782" s="22">
        <f>_xlfn.CEILING.MATH(F782*1.56)-1</f>
        <v>84</v>
      </c>
    </row>
    <row r="783" spans="1:15" s="22" customFormat="1">
      <c r="A783" s="22">
        <v>567</v>
      </c>
      <c r="B783" s="22" t="s">
        <v>2021</v>
      </c>
      <c r="C783" s="22" t="s">
        <v>2022</v>
      </c>
      <c r="E783" s="22">
        <v>1</v>
      </c>
      <c r="F783" s="22">
        <v>67.5</v>
      </c>
      <c r="G783" s="30">
        <f>IF(OR(M783="",O783="",M783=0),"",(M783-O783)/M783)</f>
        <v>0.22222222222222221</v>
      </c>
      <c r="H783" s="22">
        <v>67.5</v>
      </c>
      <c r="I783" s="22">
        <v>266</v>
      </c>
      <c r="J783" s="22">
        <v>5</v>
      </c>
      <c r="K783" s="22">
        <v>100</v>
      </c>
      <c r="L783" s="22">
        <v>18</v>
      </c>
      <c r="M783" s="22">
        <f>_xlfn.CEILING.MATH(F783*2)</f>
        <v>135</v>
      </c>
      <c r="N783" s="22">
        <f>H783*1.18</f>
        <v>79.649999999999991</v>
      </c>
      <c r="O783" s="22">
        <f>_xlfn.CEILING.MATH(F783*1.56)-1</f>
        <v>105</v>
      </c>
    </row>
    <row r="784" spans="1:15" s="22" customFormat="1">
      <c r="A784" s="22">
        <v>568</v>
      </c>
      <c r="B784" s="22" t="s">
        <v>2023</v>
      </c>
      <c r="C784" s="22" t="s">
        <v>2024</v>
      </c>
      <c r="E784" s="22">
        <v>1</v>
      </c>
      <c r="F784" s="22">
        <v>76.5</v>
      </c>
      <c r="G784" s="30">
        <f>IF(OR(M784="",O784="",M784=0),"",(M784-O784)/M784)</f>
        <v>0.22222222222222221</v>
      </c>
      <c r="H784" s="22">
        <v>76.5</v>
      </c>
      <c r="I784" s="22">
        <v>245</v>
      </c>
      <c r="J784" s="22">
        <v>5</v>
      </c>
      <c r="K784" s="22">
        <v>100</v>
      </c>
      <c r="L784" s="22">
        <v>18</v>
      </c>
      <c r="M784" s="22">
        <f>_xlfn.CEILING.MATH(F784*2)</f>
        <v>153</v>
      </c>
      <c r="N784" s="22">
        <f>H784*1.18</f>
        <v>90.27</v>
      </c>
      <c r="O784" s="22">
        <f>_xlfn.CEILING.MATH(F784*1.56)-1</f>
        <v>119</v>
      </c>
    </row>
    <row r="785" spans="1:15" s="22" customFormat="1">
      <c r="A785" s="22">
        <v>569</v>
      </c>
      <c r="B785" s="22" t="s">
        <v>2025</v>
      </c>
      <c r="C785" s="22" t="s">
        <v>2026</v>
      </c>
      <c r="E785" s="22">
        <v>1</v>
      </c>
      <c r="F785" s="22">
        <v>94.5</v>
      </c>
      <c r="G785" s="30">
        <f>IF(OR(M785="",O785="",M785=0),"",(M785-O785)/M785)</f>
        <v>0.22222222222222221</v>
      </c>
      <c r="H785" s="22">
        <v>94.5</v>
      </c>
      <c r="I785" s="22">
        <v>0</v>
      </c>
      <c r="J785" s="22">
        <v>5</v>
      </c>
      <c r="K785" s="22">
        <v>100</v>
      </c>
      <c r="L785" s="22">
        <v>18</v>
      </c>
      <c r="M785" s="22">
        <f>_xlfn.CEILING.MATH(F785*2)</f>
        <v>189</v>
      </c>
      <c r="N785" s="22">
        <f>H785*1.18</f>
        <v>111.50999999999999</v>
      </c>
      <c r="O785" s="22">
        <f>_xlfn.CEILING.MATH(F785*1.56)-1</f>
        <v>147</v>
      </c>
    </row>
    <row r="786" spans="1:15" s="22" customFormat="1">
      <c r="A786" s="22">
        <v>570</v>
      </c>
      <c r="B786" s="22" t="s">
        <v>2027</v>
      </c>
      <c r="C786" s="22" t="s">
        <v>2028</v>
      </c>
      <c r="E786" s="22">
        <v>1</v>
      </c>
      <c r="F786" s="22">
        <v>121.5</v>
      </c>
      <c r="G786" s="30">
        <f>IF(OR(M786="",O786="",M786=0),"",(M786-O786)/M786)</f>
        <v>0.22222222222222221</v>
      </c>
      <c r="H786" s="22">
        <v>121.5</v>
      </c>
      <c r="I786" s="22">
        <v>0</v>
      </c>
      <c r="J786" s="22">
        <v>5</v>
      </c>
      <c r="K786" s="22">
        <v>50</v>
      </c>
      <c r="L786" s="22">
        <v>18</v>
      </c>
      <c r="M786" s="22">
        <f>_xlfn.CEILING.MATH(F786*2)</f>
        <v>243</v>
      </c>
      <c r="N786" s="22">
        <f>H786*1.18</f>
        <v>143.37</v>
      </c>
      <c r="O786" s="22">
        <f>_xlfn.CEILING.MATH(F786*1.56)-1</f>
        <v>189</v>
      </c>
    </row>
    <row r="787" spans="1:15" s="22" customFormat="1">
      <c r="A787" s="22">
        <v>571</v>
      </c>
      <c r="B787" s="22" t="s">
        <v>2029</v>
      </c>
      <c r="C787" s="22" t="s">
        <v>2030</v>
      </c>
      <c r="E787" s="22">
        <v>1</v>
      </c>
      <c r="F787" s="22">
        <v>153</v>
      </c>
      <c r="G787" s="30">
        <f>IF(OR(M787="",O787="",M787=0),"",(M787-O787)/M787)</f>
        <v>0.22222222222222221</v>
      </c>
      <c r="H787" s="22">
        <v>153</v>
      </c>
      <c r="I787" s="22">
        <v>90</v>
      </c>
      <c r="J787" s="22">
        <v>5</v>
      </c>
      <c r="K787" s="22">
        <v>30</v>
      </c>
      <c r="L787" s="22">
        <v>18</v>
      </c>
      <c r="M787" s="22">
        <f>_xlfn.CEILING.MATH(F787*2)</f>
        <v>306</v>
      </c>
      <c r="N787" s="22">
        <f>H787*1.18</f>
        <v>180.54</v>
      </c>
      <c r="O787" s="22">
        <f>_xlfn.CEILING.MATH(F787*1.56)-1</f>
        <v>238</v>
      </c>
    </row>
    <row r="788" spans="1:15" s="22" customFormat="1">
      <c r="A788" s="22">
        <v>572</v>
      </c>
      <c r="B788" s="22" t="s">
        <v>2031</v>
      </c>
      <c r="C788" s="22" t="s">
        <v>2032</v>
      </c>
      <c r="E788" s="22">
        <v>1</v>
      </c>
      <c r="F788" s="22">
        <v>162</v>
      </c>
      <c r="G788" s="30">
        <f>IF(OR(M788="",O788="",M788=0),"",(M788-O788)/M788)</f>
        <v>0.22222222222222221</v>
      </c>
      <c r="H788" s="22">
        <v>162</v>
      </c>
      <c r="I788" s="22">
        <v>67</v>
      </c>
      <c r="J788" s="22">
        <v>5</v>
      </c>
      <c r="K788" s="22">
        <v>30</v>
      </c>
      <c r="L788" s="22">
        <v>18</v>
      </c>
      <c r="M788" s="22">
        <f>_xlfn.CEILING.MATH(F788*2)</f>
        <v>324</v>
      </c>
      <c r="N788" s="22">
        <f>H788*1.18</f>
        <v>191.16</v>
      </c>
      <c r="O788" s="22">
        <f>_xlfn.CEILING.MATH(F788*1.56)-1</f>
        <v>252</v>
      </c>
    </row>
    <row r="789" spans="1:15" s="22" customFormat="1">
      <c r="A789" s="22">
        <v>573</v>
      </c>
      <c r="B789" s="22" t="s">
        <v>2033</v>
      </c>
      <c r="C789" s="22" t="s">
        <v>2034</v>
      </c>
      <c r="E789" s="22">
        <v>1</v>
      </c>
      <c r="F789" s="22">
        <v>23</v>
      </c>
      <c r="G789" s="30">
        <f>IF(OR(M789="",O789="",M789=0),"",(M789-O789)/M789)</f>
        <v>0.2391304347826087</v>
      </c>
      <c r="H789" s="22">
        <v>23</v>
      </c>
      <c r="I789" s="22">
        <v>78</v>
      </c>
      <c r="J789" s="22">
        <v>10</v>
      </c>
      <c r="K789" s="22">
        <v>300</v>
      </c>
      <c r="L789" s="22">
        <v>18</v>
      </c>
      <c r="M789" s="22">
        <f>_xlfn.CEILING.MATH(F789*2)</f>
        <v>46</v>
      </c>
      <c r="N789" s="22">
        <f>H789*1.18</f>
        <v>27.139999999999997</v>
      </c>
      <c r="O789" s="22">
        <f>_xlfn.CEILING.MATH(F789*1.56)-1</f>
        <v>35</v>
      </c>
    </row>
    <row r="790" spans="1:15" s="22" customFormat="1">
      <c r="A790" s="22">
        <v>574</v>
      </c>
      <c r="B790" s="22" t="s">
        <v>2035</v>
      </c>
      <c r="C790" s="22" t="s">
        <v>2036</v>
      </c>
      <c r="E790" s="22">
        <v>1</v>
      </c>
      <c r="F790" s="22">
        <v>24</v>
      </c>
      <c r="G790" s="30">
        <f>IF(OR(M790="",O790="",M790=0),"",(M790-O790)/M790)</f>
        <v>0.22916666666666666</v>
      </c>
      <c r="H790" s="22">
        <v>24</v>
      </c>
      <c r="I790" s="22">
        <v>28</v>
      </c>
      <c r="J790" s="22">
        <v>10</v>
      </c>
      <c r="K790" s="22">
        <v>300</v>
      </c>
      <c r="L790" s="22">
        <v>18</v>
      </c>
      <c r="M790" s="22">
        <f>_xlfn.CEILING.MATH(F790*2)</f>
        <v>48</v>
      </c>
      <c r="N790" s="22">
        <f>H790*1.18</f>
        <v>28.32</v>
      </c>
      <c r="O790" s="22">
        <f>_xlfn.CEILING.MATH(F790*1.56)-1</f>
        <v>37</v>
      </c>
    </row>
    <row r="791" spans="1:15" s="22" customFormat="1">
      <c r="A791" s="22">
        <v>575</v>
      </c>
      <c r="B791" s="22" t="s">
        <v>2037</v>
      </c>
      <c r="C791" s="22" t="s">
        <v>2038</v>
      </c>
      <c r="E791" s="22">
        <v>1</v>
      </c>
      <c r="F791" s="22">
        <v>850.5</v>
      </c>
      <c r="G791" s="30">
        <f>IF(OR(M791="",O791="",M791=0),"",(M791-O791)/M791)</f>
        <v>0.22045855379188711</v>
      </c>
      <c r="H791" s="22">
        <v>850.5</v>
      </c>
      <c r="I791" s="22">
        <v>0</v>
      </c>
      <c r="J791" s="22">
        <v>3</v>
      </c>
      <c r="K791" s="22">
        <v>8</v>
      </c>
      <c r="L791" s="22">
        <v>18</v>
      </c>
      <c r="M791" s="22">
        <f>_xlfn.CEILING.MATH(F791*2)</f>
        <v>1701</v>
      </c>
      <c r="N791" s="22">
        <f>H791*1.18</f>
        <v>1003.5899999999999</v>
      </c>
      <c r="O791" s="22">
        <f>_xlfn.CEILING.MATH(F791*1.56)-1</f>
        <v>1326</v>
      </c>
    </row>
    <row r="792" spans="1:15" s="22" customFormat="1">
      <c r="A792" s="22">
        <v>576</v>
      </c>
      <c r="B792" s="22" t="s">
        <v>2039</v>
      </c>
      <c r="C792" s="22" t="s">
        <v>2040</v>
      </c>
      <c r="E792" s="22">
        <v>1</v>
      </c>
      <c r="F792" s="22">
        <v>310.5</v>
      </c>
      <c r="G792" s="30">
        <f>IF(OR(M792="",O792="",M792=0),"",(M792-O792)/M792)</f>
        <v>0.22061191626409019</v>
      </c>
      <c r="H792" s="22">
        <v>310.5</v>
      </c>
      <c r="I792" s="22">
        <v>1</v>
      </c>
      <c r="J792" s="22">
        <v>0</v>
      </c>
      <c r="K792" s="22">
        <v>0</v>
      </c>
      <c r="L792" s="22">
        <v>18</v>
      </c>
      <c r="M792" s="22">
        <f>_xlfn.CEILING.MATH(F792*2)</f>
        <v>621</v>
      </c>
      <c r="N792" s="22">
        <f>H792*1.18</f>
        <v>366.39</v>
      </c>
      <c r="O792" s="22">
        <f>_xlfn.CEILING.MATH(F792*1.56)-1</f>
        <v>484</v>
      </c>
    </row>
    <row r="793" spans="1:15" s="22" customFormat="1">
      <c r="A793" s="22">
        <v>577</v>
      </c>
      <c r="B793" s="22" t="s">
        <v>809</v>
      </c>
      <c r="C793" s="22" t="s">
        <v>810</v>
      </c>
      <c r="E793" s="22">
        <v>1</v>
      </c>
      <c r="F793" s="22">
        <v>300</v>
      </c>
      <c r="G793" s="30">
        <f>IF(OR(M793="",O793="",M793=0),"",(M793-O793)/M793)</f>
        <v>0.22166666666666668</v>
      </c>
      <c r="H793" s="22">
        <v>300</v>
      </c>
      <c r="I793" s="22">
        <v>2</v>
      </c>
      <c r="J793" s="22">
        <v>1</v>
      </c>
      <c r="K793" s="22">
        <v>15</v>
      </c>
      <c r="L793" s="22">
        <v>18</v>
      </c>
      <c r="M793" s="22">
        <f>_xlfn.CEILING.MATH(F793*2)</f>
        <v>600</v>
      </c>
      <c r="N793" s="22">
        <f>H793*1.18</f>
        <v>354</v>
      </c>
      <c r="O793" s="22">
        <f>_xlfn.CEILING.MATH(F793*1.56)-1</f>
        <v>467</v>
      </c>
    </row>
    <row r="794" spans="1:15" s="22" customFormat="1">
      <c r="A794" s="22">
        <v>578</v>
      </c>
      <c r="B794" s="22" t="s">
        <v>811</v>
      </c>
      <c r="C794" s="22" t="s">
        <v>812</v>
      </c>
      <c r="E794" s="22">
        <v>1</v>
      </c>
      <c r="F794" s="22">
        <v>112.5</v>
      </c>
      <c r="G794" s="30">
        <f>IF(OR(M794="",O794="",M794=0),"",(M794-O794)/M794)</f>
        <v>0.22222222222222221</v>
      </c>
      <c r="H794" s="22">
        <v>112.5</v>
      </c>
      <c r="I794" s="22">
        <v>1</v>
      </c>
      <c r="J794" s="22">
        <v>1</v>
      </c>
      <c r="K794" s="22">
        <v>60</v>
      </c>
      <c r="L794" s="22">
        <v>18</v>
      </c>
      <c r="M794" s="22">
        <f>_xlfn.CEILING.MATH(F794*2)</f>
        <v>225</v>
      </c>
      <c r="N794" s="22">
        <f>H794*1.18</f>
        <v>132.75</v>
      </c>
      <c r="O794" s="22">
        <f>_xlfn.CEILING.MATH(F794*1.56)-1</f>
        <v>175</v>
      </c>
    </row>
    <row r="795" spans="1:15" s="22" customFormat="1">
      <c r="A795" s="22">
        <v>579</v>
      </c>
      <c r="B795" s="22" t="s">
        <v>813</v>
      </c>
      <c r="C795" s="22" t="s">
        <v>814</v>
      </c>
      <c r="E795" s="22">
        <v>1</v>
      </c>
      <c r="F795" s="22">
        <v>187.5</v>
      </c>
      <c r="G795" s="30">
        <f>IF(OR(M795="",O795="",M795=0),"",(M795-O795)/M795)</f>
        <v>0.22133333333333333</v>
      </c>
      <c r="H795" s="22">
        <v>187.5</v>
      </c>
      <c r="I795" s="22">
        <v>0</v>
      </c>
      <c r="J795" s="22">
        <v>1</v>
      </c>
      <c r="K795" s="22">
        <v>40</v>
      </c>
      <c r="L795" s="22">
        <v>18</v>
      </c>
      <c r="M795" s="22">
        <f>_xlfn.CEILING.MATH(F795*2)</f>
        <v>375</v>
      </c>
      <c r="N795" s="22">
        <f>H795*1.18</f>
        <v>221.25</v>
      </c>
      <c r="O795" s="22">
        <f>_xlfn.CEILING.MATH(F795*1.56)-1</f>
        <v>292</v>
      </c>
    </row>
    <row r="796" spans="1:15" s="22" customFormat="1">
      <c r="A796" s="22">
        <v>580</v>
      </c>
      <c r="B796" s="22" t="s">
        <v>815</v>
      </c>
      <c r="C796" s="22" t="s">
        <v>816</v>
      </c>
      <c r="E796" s="22">
        <v>1</v>
      </c>
      <c r="F796" s="22">
        <v>467.5</v>
      </c>
      <c r="G796" s="30">
        <f>IF(OR(M796="",O796="",M796=0),"",(M796-O796)/M796)</f>
        <v>0.22032085561497325</v>
      </c>
      <c r="H796" s="22">
        <v>467.5</v>
      </c>
      <c r="I796" s="22">
        <v>23</v>
      </c>
      <c r="J796" s="22">
        <v>1</v>
      </c>
      <c r="K796" s="22">
        <v>12</v>
      </c>
      <c r="L796" s="22">
        <v>18</v>
      </c>
      <c r="M796" s="22">
        <f>_xlfn.CEILING.MATH(F796*2)</f>
        <v>935</v>
      </c>
      <c r="N796" s="22">
        <f>H796*1.18</f>
        <v>551.65</v>
      </c>
      <c r="O796" s="22">
        <f>_xlfn.CEILING.MATH(F796*1.56)-1</f>
        <v>729</v>
      </c>
    </row>
    <row r="797" spans="1:15" s="22" customFormat="1">
      <c r="A797" s="22">
        <v>581</v>
      </c>
      <c r="B797" s="22" t="s">
        <v>817</v>
      </c>
      <c r="C797" s="22" t="s">
        <v>818</v>
      </c>
      <c r="E797" s="22">
        <v>1</v>
      </c>
      <c r="F797" s="22">
        <v>342</v>
      </c>
      <c r="G797" s="30">
        <f>IF(OR(M797="",O797="",M797=0),"",(M797-O797)/M797)</f>
        <v>0.22076023391812866</v>
      </c>
      <c r="H797" s="22">
        <v>342</v>
      </c>
      <c r="I797" s="22">
        <v>1</v>
      </c>
      <c r="J797" s="22">
        <v>1</v>
      </c>
      <c r="K797" s="22">
        <v>10</v>
      </c>
      <c r="L797" s="22">
        <v>18</v>
      </c>
      <c r="M797" s="22">
        <f>_xlfn.CEILING.MATH(F797*2)</f>
        <v>684</v>
      </c>
      <c r="N797" s="22">
        <f>H797*1.18</f>
        <v>403.56</v>
      </c>
      <c r="O797" s="22">
        <f>_xlfn.CEILING.MATH(F797*1.56)-1</f>
        <v>533</v>
      </c>
    </row>
    <row r="798" spans="1:15" s="22" customFormat="1">
      <c r="A798" s="22">
        <v>582</v>
      </c>
      <c r="B798" s="22" t="s">
        <v>819</v>
      </c>
      <c r="C798" s="22" t="s">
        <v>820</v>
      </c>
      <c r="E798" s="22">
        <v>1</v>
      </c>
      <c r="F798" s="22">
        <v>517.5</v>
      </c>
      <c r="G798" s="30">
        <f>IF(OR(M798="",O798="",M798=0),"",(M798-O798)/M798)</f>
        <v>0.22028985507246376</v>
      </c>
      <c r="H798" s="22">
        <v>517.5</v>
      </c>
      <c r="I798" s="22">
        <v>0</v>
      </c>
      <c r="J798" s="22">
        <v>4</v>
      </c>
      <c r="K798" s="22">
        <v>8</v>
      </c>
      <c r="L798" s="22">
        <v>18</v>
      </c>
      <c r="M798" s="22">
        <f>_xlfn.CEILING.MATH(F798*2)</f>
        <v>1035</v>
      </c>
      <c r="N798" s="22">
        <f>H798*1.18</f>
        <v>610.65</v>
      </c>
      <c r="O798" s="22">
        <f>_xlfn.CEILING.MATH(F798*1.56)-1</f>
        <v>807</v>
      </c>
    </row>
    <row r="799" spans="1:15" s="22" customFormat="1">
      <c r="A799" s="22">
        <v>583</v>
      </c>
      <c r="B799" s="22" t="s">
        <v>821</v>
      </c>
      <c r="C799" s="22" t="s">
        <v>822</v>
      </c>
      <c r="E799" s="22">
        <v>1</v>
      </c>
      <c r="F799" s="22">
        <v>126</v>
      </c>
      <c r="G799" s="30">
        <f>IF(OR(M799="",O799="",M799=0),"",(M799-O799)/M799)</f>
        <v>0.22222222222222221</v>
      </c>
      <c r="H799" s="22">
        <v>126</v>
      </c>
      <c r="I799" s="22">
        <v>0</v>
      </c>
      <c r="J799" s="22">
        <v>5</v>
      </c>
      <c r="K799" s="22">
        <v>20</v>
      </c>
      <c r="L799" s="22">
        <v>18</v>
      </c>
      <c r="M799" s="22">
        <f>_xlfn.CEILING.MATH(F799*2)</f>
        <v>252</v>
      </c>
      <c r="N799" s="22">
        <f>H799*1.18</f>
        <v>148.67999999999998</v>
      </c>
      <c r="O799" s="22">
        <f>_xlfn.CEILING.MATH(F799*1.56)-1</f>
        <v>196</v>
      </c>
    </row>
    <row r="800" spans="1:15" s="22" customFormat="1">
      <c r="A800" s="22">
        <v>584</v>
      </c>
      <c r="B800" s="22" t="s">
        <v>823</v>
      </c>
      <c r="C800" s="22" t="s">
        <v>824</v>
      </c>
      <c r="E800" s="22">
        <v>1</v>
      </c>
      <c r="F800" s="22">
        <v>207</v>
      </c>
      <c r="G800" s="30">
        <f>IF(OR(M800="",O800="",M800=0),"",(M800-O800)/M800)</f>
        <v>0.22222222222222221</v>
      </c>
      <c r="H800" s="22">
        <v>207</v>
      </c>
      <c r="I800" s="22">
        <v>4</v>
      </c>
      <c r="J800" s="22">
        <v>3</v>
      </c>
      <c r="K800" s="22">
        <v>12</v>
      </c>
      <c r="L800" s="22">
        <v>18</v>
      </c>
      <c r="M800" s="22">
        <f>_xlfn.CEILING.MATH(F800*2)</f>
        <v>414</v>
      </c>
      <c r="N800" s="22">
        <f>H800*1.18</f>
        <v>244.26</v>
      </c>
      <c r="O800" s="22">
        <f>_xlfn.CEILING.MATH(F800*1.56)-1</f>
        <v>322</v>
      </c>
    </row>
    <row r="801" spans="1:15" s="22" customFormat="1">
      <c r="A801" s="22">
        <v>585</v>
      </c>
      <c r="B801" s="22" t="s">
        <v>825</v>
      </c>
      <c r="C801" s="22" t="s">
        <v>826</v>
      </c>
      <c r="E801" s="22">
        <v>1</v>
      </c>
      <c r="F801" s="22">
        <v>166.5</v>
      </c>
      <c r="G801" s="30">
        <f>IF(OR(M801="",O801="",M801=0),"",(M801-O801)/M801)</f>
        <v>0.22222222222222221</v>
      </c>
      <c r="H801" s="22">
        <v>166.5</v>
      </c>
      <c r="I801" s="22">
        <v>0</v>
      </c>
      <c r="J801" s="22">
        <v>1</v>
      </c>
      <c r="K801" s="22">
        <v>30</v>
      </c>
      <c r="L801" s="22">
        <v>18</v>
      </c>
      <c r="M801" s="22">
        <f>_xlfn.CEILING.MATH(F801*2)</f>
        <v>333</v>
      </c>
      <c r="N801" s="22">
        <f>H801*1.18</f>
        <v>196.47</v>
      </c>
      <c r="O801" s="22">
        <f>_xlfn.CEILING.MATH(F801*1.56)-1</f>
        <v>259</v>
      </c>
    </row>
    <row r="802" spans="1:15" s="22" customFormat="1">
      <c r="A802" s="22">
        <v>586</v>
      </c>
      <c r="B802" s="22" t="s">
        <v>827</v>
      </c>
      <c r="C802" s="22" t="s">
        <v>828</v>
      </c>
      <c r="E802" s="22">
        <v>1</v>
      </c>
      <c r="F802" s="22">
        <v>405</v>
      </c>
      <c r="G802" s="30">
        <f>IF(OR(M802="",O802="",M802=0),"",(M802-O802)/M802)</f>
        <v>0.22098765432098766</v>
      </c>
      <c r="H802" s="22">
        <v>405</v>
      </c>
      <c r="I802" s="22">
        <v>5</v>
      </c>
      <c r="J802" s="22">
        <v>1</v>
      </c>
      <c r="K802" s="22">
        <v>12</v>
      </c>
      <c r="L802" s="22">
        <v>18</v>
      </c>
      <c r="M802" s="22">
        <f>_xlfn.CEILING.MATH(F802*2)</f>
        <v>810</v>
      </c>
      <c r="N802" s="22">
        <f>H802*1.18</f>
        <v>477.9</v>
      </c>
      <c r="O802" s="22">
        <f>_xlfn.CEILING.MATH(F802*1.56)-1</f>
        <v>631</v>
      </c>
    </row>
    <row r="803" spans="1:15" s="22" customFormat="1">
      <c r="A803" s="22">
        <v>587</v>
      </c>
      <c r="B803" s="22" t="s">
        <v>829</v>
      </c>
      <c r="C803" s="22" t="s">
        <v>2041</v>
      </c>
      <c r="E803" s="22">
        <v>1</v>
      </c>
      <c r="F803" s="22">
        <v>207</v>
      </c>
      <c r="G803" s="30">
        <f>IF(OR(M803="",O803="",M803=0),"",(M803-O803)/M803)</f>
        <v>0.22222222222222221</v>
      </c>
      <c r="H803" s="22">
        <v>207</v>
      </c>
      <c r="I803" s="22">
        <v>0</v>
      </c>
      <c r="J803" s="22">
        <v>5</v>
      </c>
      <c r="K803" s="22">
        <v>20</v>
      </c>
      <c r="L803" s="22">
        <v>18</v>
      </c>
      <c r="M803" s="22">
        <f>_xlfn.CEILING.MATH(F803*2)</f>
        <v>414</v>
      </c>
      <c r="N803" s="22">
        <f>H803*1.18</f>
        <v>244.26</v>
      </c>
      <c r="O803" s="22">
        <f>_xlfn.CEILING.MATH(F803*1.56)-1</f>
        <v>322</v>
      </c>
    </row>
    <row r="804" spans="1:15" s="22" customFormat="1">
      <c r="A804" s="22">
        <v>588</v>
      </c>
      <c r="B804" s="22" t="s">
        <v>2042</v>
      </c>
      <c r="C804" s="22" t="s">
        <v>2043</v>
      </c>
      <c r="E804" s="22">
        <v>1</v>
      </c>
      <c r="F804" s="22">
        <v>342</v>
      </c>
      <c r="G804" s="30">
        <f>IF(OR(M804="",O804="",M804=0),"",(M804-O804)/M804)</f>
        <v>0.22076023391812866</v>
      </c>
      <c r="H804" s="22">
        <v>342</v>
      </c>
      <c r="I804" s="22">
        <v>0</v>
      </c>
      <c r="J804" s="22">
        <v>3</v>
      </c>
      <c r="K804" s="22">
        <v>12</v>
      </c>
      <c r="L804" s="22">
        <v>18</v>
      </c>
      <c r="M804" s="22">
        <f>_xlfn.CEILING.MATH(F804*2)</f>
        <v>684</v>
      </c>
      <c r="N804" s="22">
        <f>H804*1.18</f>
        <v>403.56</v>
      </c>
      <c r="O804" s="22">
        <f>_xlfn.CEILING.MATH(F804*1.56)-1</f>
        <v>533</v>
      </c>
    </row>
    <row r="805" spans="1:15" s="22" customFormat="1">
      <c r="A805" s="22">
        <v>589</v>
      </c>
      <c r="B805" s="22" t="s">
        <v>830</v>
      </c>
      <c r="C805" s="22" t="s">
        <v>2044</v>
      </c>
      <c r="E805" s="22">
        <v>1</v>
      </c>
      <c r="F805" s="22">
        <v>121.5</v>
      </c>
      <c r="G805" s="30">
        <f>IF(OR(M805="",O805="",M805=0),"",(M805-O805)/M805)</f>
        <v>0.22222222222222221</v>
      </c>
      <c r="H805" s="22">
        <v>121.5</v>
      </c>
      <c r="I805" s="22">
        <v>0</v>
      </c>
      <c r="J805" s="22">
        <v>5</v>
      </c>
      <c r="K805" s="22">
        <v>100</v>
      </c>
      <c r="L805" s="22">
        <v>18</v>
      </c>
      <c r="M805" s="22">
        <f>_xlfn.CEILING.MATH(F805*2)</f>
        <v>243</v>
      </c>
      <c r="N805" s="22">
        <f>H805*1.18</f>
        <v>143.37</v>
      </c>
      <c r="O805" s="22">
        <f>_xlfn.CEILING.MATH(F805*1.56)-1</f>
        <v>189</v>
      </c>
    </row>
    <row r="806" spans="1:15" s="22" customFormat="1">
      <c r="A806" s="22">
        <v>590</v>
      </c>
      <c r="B806" s="22" t="s">
        <v>831</v>
      </c>
      <c r="C806" s="22" t="s">
        <v>2045</v>
      </c>
      <c r="E806" s="22">
        <v>1</v>
      </c>
      <c r="F806" s="22">
        <v>120</v>
      </c>
      <c r="G806" s="30">
        <f>IF(OR(M806="",O806="",M806=0),"",(M806-O806)/M806)</f>
        <v>0.22083333333333333</v>
      </c>
      <c r="H806" s="22">
        <v>120</v>
      </c>
      <c r="I806" s="22">
        <v>38</v>
      </c>
      <c r="J806" s="22">
        <v>5</v>
      </c>
      <c r="K806" s="22">
        <v>50</v>
      </c>
      <c r="L806" s="22">
        <v>18</v>
      </c>
      <c r="M806" s="22">
        <f>_xlfn.CEILING.MATH(F806*2)</f>
        <v>240</v>
      </c>
      <c r="N806" s="22">
        <f>H806*1.18</f>
        <v>141.6</v>
      </c>
      <c r="O806" s="22">
        <f>_xlfn.CEILING.MATH(F806*1.56)-1</f>
        <v>187</v>
      </c>
    </row>
    <row r="807" spans="1:15" s="22" customFormat="1">
      <c r="A807" s="22">
        <v>591</v>
      </c>
      <c r="B807" s="22" t="s">
        <v>832</v>
      </c>
      <c r="C807" s="22" t="s">
        <v>2046</v>
      </c>
      <c r="E807" s="22">
        <v>1</v>
      </c>
      <c r="F807" s="22">
        <v>153</v>
      </c>
      <c r="G807" s="30">
        <f>IF(OR(M807="",O807="",M807=0),"",(M807-O807)/M807)</f>
        <v>0.22222222222222221</v>
      </c>
      <c r="H807" s="22">
        <v>153</v>
      </c>
      <c r="I807" s="22">
        <v>75</v>
      </c>
      <c r="J807" s="22">
        <v>5</v>
      </c>
      <c r="K807" s="22">
        <v>30</v>
      </c>
      <c r="L807" s="22">
        <v>18</v>
      </c>
      <c r="M807" s="22">
        <f>_xlfn.CEILING.MATH(F807*2)</f>
        <v>306</v>
      </c>
      <c r="N807" s="22">
        <f>H807*1.18</f>
        <v>180.54</v>
      </c>
      <c r="O807" s="22">
        <f>_xlfn.CEILING.MATH(F807*1.56)-1</f>
        <v>238</v>
      </c>
    </row>
    <row r="808" spans="1:15" s="22" customFormat="1">
      <c r="A808" s="22">
        <v>592</v>
      </c>
      <c r="B808" s="22" t="s">
        <v>833</v>
      </c>
      <c r="C808" s="22" t="s">
        <v>2047</v>
      </c>
      <c r="E808" s="22">
        <v>1</v>
      </c>
      <c r="F808" s="22">
        <v>162</v>
      </c>
      <c r="G808" s="30">
        <f>IF(OR(M808="",O808="",M808=0),"",(M808-O808)/M808)</f>
        <v>0.22222222222222221</v>
      </c>
      <c r="H808" s="22">
        <v>162</v>
      </c>
      <c r="I808" s="22">
        <v>69</v>
      </c>
      <c r="J808" s="22">
        <v>5</v>
      </c>
      <c r="K808" s="22">
        <v>30</v>
      </c>
      <c r="L808" s="22">
        <v>18</v>
      </c>
      <c r="M808" s="22">
        <f>_xlfn.CEILING.MATH(F808*2)</f>
        <v>324</v>
      </c>
      <c r="N808" s="22">
        <f>H808*1.18</f>
        <v>191.16</v>
      </c>
      <c r="O808" s="22">
        <f>_xlfn.CEILING.MATH(F808*1.56)-1</f>
        <v>252</v>
      </c>
    </row>
    <row r="809" spans="1:15" s="22" customFormat="1">
      <c r="A809" s="22">
        <v>593</v>
      </c>
      <c r="B809" s="22" t="s">
        <v>834</v>
      </c>
      <c r="C809" s="22" t="s">
        <v>2048</v>
      </c>
      <c r="E809" s="22">
        <v>1</v>
      </c>
      <c r="F809" s="22">
        <v>57</v>
      </c>
      <c r="G809" s="30">
        <f>IF(OR(M809="",O809="",M809=0),"",(M809-O809)/M809)</f>
        <v>0.22807017543859648</v>
      </c>
      <c r="H809" s="22">
        <v>57</v>
      </c>
      <c r="I809" s="22">
        <v>5450</v>
      </c>
      <c r="J809" s="22">
        <v>5</v>
      </c>
      <c r="K809" s="22">
        <v>75</v>
      </c>
      <c r="L809" s="22">
        <v>18</v>
      </c>
      <c r="M809" s="22">
        <f>_xlfn.CEILING.MATH(F809*2)</f>
        <v>114</v>
      </c>
      <c r="N809" s="22">
        <f>H809*1.18</f>
        <v>67.259999999999991</v>
      </c>
      <c r="O809" s="22">
        <f>_xlfn.CEILING.MATH(F809*1.56)-1</f>
        <v>88</v>
      </c>
    </row>
    <row r="810" spans="1:15" s="22" customFormat="1">
      <c r="A810" s="22">
        <v>594</v>
      </c>
      <c r="B810" s="22" t="s">
        <v>2049</v>
      </c>
      <c r="C810" s="22">
        <v>1</v>
      </c>
      <c r="E810" s="22">
        <v>1</v>
      </c>
      <c r="F810" s="22">
        <v>383.68</v>
      </c>
      <c r="G810" s="30">
        <f>IF(OR(M810="",O810="",M810=0),"",(M810-O810)/M810)</f>
        <v>0.22135416666666666</v>
      </c>
      <c r="H810" s="22">
        <v>383.68</v>
      </c>
      <c r="I810" s="22">
        <v>0</v>
      </c>
      <c r="L810" s="22">
        <v>18</v>
      </c>
      <c r="M810" s="22">
        <f>_xlfn.CEILING.MATH(F810*2)</f>
        <v>768</v>
      </c>
      <c r="N810" s="22">
        <f>H810*1.18</f>
        <v>452.74239999999998</v>
      </c>
      <c r="O810" s="22">
        <f>_xlfn.CEILING.MATH(F810*1.56)-1</f>
        <v>598</v>
      </c>
    </row>
    <row r="811" spans="1:15" s="22" customFormat="1">
      <c r="A811" s="22">
        <v>595</v>
      </c>
      <c r="B811" s="22" t="s">
        <v>853</v>
      </c>
      <c r="C811" s="22" t="s">
        <v>2050</v>
      </c>
      <c r="E811" s="22">
        <v>1</v>
      </c>
      <c r="F811" s="22">
        <v>130.5</v>
      </c>
      <c r="G811" s="30">
        <f>IF(OR(M811="",O811="",M811=0),"",(M811-O811)/M811)</f>
        <v>0.22222222222222221</v>
      </c>
      <c r="H811" s="22">
        <v>130.5</v>
      </c>
      <c r="I811" s="22">
        <v>215</v>
      </c>
      <c r="J811" s="22">
        <v>10</v>
      </c>
      <c r="K811" s="22">
        <v>320</v>
      </c>
      <c r="L811" s="22">
        <v>18</v>
      </c>
      <c r="M811" s="22">
        <f>_xlfn.CEILING.MATH(F811*2)</f>
        <v>261</v>
      </c>
      <c r="N811" s="22">
        <f>H811*1.18</f>
        <v>153.98999999999998</v>
      </c>
      <c r="O811" s="22">
        <f>_xlfn.CEILING.MATH(F811*1.56)-1</f>
        <v>203</v>
      </c>
    </row>
    <row r="812" spans="1:15" s="22" customFormat="1">
      <c r="A812" s="22">
        <v>596</v>
      </c>
      <c r="B812" s="22" t="s">
        <v>2051</v>
      </c>
      <c r="C812" s="22" t="s">
        <v>2052</v>
      </c>
      <c r="E812" s="22">
        <v>1</v>
      </c>
      <c r="F812" s="22">
        <v>130.5</v>
      </c>
      <c r="G812" s="30">
        <f>IF(OR(M812="",O812="",M812=0),"",(M812-O812)/M812)</f>
        <v>0.22222222222222221</v>
      </c>
      <c r="H812" s="22">
        <v>130.5</v>
      </c>
      <c r="I812" s="22">
        <v>13</v>
      </c>
      <c r="L812" s="22">
        <v>18</v>
      </c>
      <c r="M812" s="22">
        <f>_xlfn.CEILING.MATH(F812*2)</f>
        <v>261</v>
      </c>
      <c r="N812" s="22">
        <f>H812*1.18</f>
        <v>153.98999999999998</v>
      </c>
      <c r="O812" s="22">
        <f>_xlfn.CEILING.MATH(F812*1.56)-1</f>
        <v>203</v>
      </c>
    </row>
    <row r="813" spans="1:15" s="22" customFormat="1">
      <c r="A813" s="22">
        <v>597</v>
      </c>
      <c r="B813" s="22" t="s">
        <v>835</v>
      </c>
      <c r="C813" s="22" t="s">
        <v>836</v>
      </c>
      <c r="E813" s="22">
        <v>1</v>
      </c>
      <c r="F813" s="22">
        <v>130.5</v>
      </c>
      <c r="G813" s="30">
        <f>IF(OR(M813="",O813="",M813=0),"",(M813-O813)/M813)</f>
        <v>0.22222222222222221</v>
      </c>
      <c r="H813" s="22">
        <v>130.5</v>
      </c>
      <c r="I813" s="22">
        <v>0</v>
      </c>
      <c r="J813" s="22">
        <v>10</v>
      </c>
      <c r="K813" s="22">
        <v>320</v>
      </c>
      <c r="L813" s="22">
        <v>18</v>
      </c>
      <c r="M813" s="22">
        <f>_xlfn.CEILING.MATH(F813*2)</f>
        <v>261</v>
      </c>
      <c r="N813" s="22">
        <f>H813*1.18</f>
        <v>153.98999999999998</v>
      </c>
      <c r="O813" s="22">
        <f>_xlfn.CEILING.MATH(F813*1.56)-1</f>
        <v>203</v>
      </c>
    </row>
    <row r="814" spans="1:15" s="22" customFormat="1">
      <c r="A814" s="22">
        <v>598</v>
      </c>
      <c r="B814" s="22" t="s">
        <v>837</v>
      </c>
      <c r="C814" s="22" t="s">
        <v>2053</v>
      </c>
      <c r="E814" s="22">
        <v>1</v>
      </c>
      <c r="F814" s="22">
        <v>130.5</v>
      </c>
      <c r="G814" s="30">
        <f>IF(OR(M814="",O814="",M814=0),"",(M814-O814)/M814)</f>
        <v>0.22222222222222221</v>
      </c>
      <c r="H814" s="22">
        <v>130.5</v>
      </c>
      <c r="I814" s="22">
        <v>220</v>
      </c>
      <c r="J814" s="22">
        <v>10</v>
      </c>
      <c r="K814" s="22">
        <v>320</v>
      </c>
      <c r="L814" s="22">
        <v>18</v>
      </c>
      <c r="M814" s="22">
        <f>_xlfn.CEILING.MATH(F814*2)</f>
        <v>261</v>
      </c>
      <c r="N814" s="22">
        <f>H814*1.18</f>
        <v>153.98999999999998</v>
      </c>
      <c r="O814" s="22">
        <f>_xlfn.CEILING.MATH(F814*1.56)-1</f>
        <v>203</v>
      </c>
    </row>
    <row r="815" spans="1:15" s="22" customFormat="1">
      <c r="A815" s="22">
        <v>599</v>
      </c>
      <c r="B815" s="22" t="s">
        <v>838</v>
      </c>
      <c r="C815" s="22" t="s">
        <v>2054</v>
      </c>
      <c r="E815" s="22">
        <v>1</v>
      </c>
      <c r="F815" s="22">
        <v>130.5</v>
      </c>
      <c r="G815" s="30">
        <f>IF(OR(M815="",O815="",M815=0),"",(M815-O815)/M815)</f>
        <v>0.22222222222222221</v>
      </c>
      <c r="H815" s="22">
        <v>130.5</v>
      </c>
      <c r="I815" s="22">
        <v>1531</v>
      </c>
      <c r="J815" s="22">
        <v>10</v>
      </c>
      <c r="K815" s="22">
        <v>320</v>
      </c>
      <c r="L815" s="22">
        <v>18</v>
      </c>
      <c r="M815" s="22">
        <f>_xlfn.CEILING.MATH(F815*2)</f>
        <v>261</v>
      </c>
      <c r="N815" s="22">
        <f>H815*1.18</f>
        <v>153.98999999999998</v>
      </c>
      <c r="O815" s="22">
        <f>_xlfn.CEILING.MATH(F815*1.56)-1</f>
        <v>203</v>
      </c>
    </row>
    <row r="816" spans="1:15" s="22" customFormat="1">
      <c r="A816" s="22">
        <v>600</v>
      </c>
      <c r="B816" s="22" t="s">
        <v>839</v>
      </c>
      <c r="C816" s="22" t="s">
        <v>2055</v>
      </c>
      <c r="E816" s="22">
        <v>1</v>
      </c>
      <c r="F816" s="22">
        <v>130.5</v>
      </c>
      <c r="G816" s="30">
        <f>IF(OR(M816="",O816="",M816=0),"",(M816-O816)/M816)</f>
        <v>0.22222222222222221</v>
      </c>
      <c r="H816" s="22">
        <v>130.5</v>
      </c>
      <c r="I816" s="22">
        <v>247</v>
      </c>
      <c r="J816" s="22">
        <v>10</v>
      </c>
      <c r="K816" s="22">
        <v>240</v>
      </c>
      <c r="L816" s="22">
        <v>18</v>
      </c>
      <c r="M816" s="22">
        <f>_xlfn.CEILING.MATH(F816*2)</f>
        <v>261</v>
      </c>
      <c r="N816" s="22">
        <f>H816*1.18</f>
        <v>153.98999999999998</v>
      </c>
      <c r="O816" s="22">
        <f>_xlfn.CEILING.MATH(F816*1.56)-1</f>
        <v>203</v>
      </c>
    </row>
    <row r="817" spans="1:15" s="22" customFormat="1">
      <c r="A817" s="22">
        <v>601</v>
      </c>
      <c r="B817" s="22" t="s">
        <v>840</v>
      </c>
      <c r="C817" s="22" t="s">
        <v>2056</v>
      </c>
      <c r="E817" s="22">
        <v>1</v>
      </c>
      <c r="F817" s="22">
        <v>136.5</v>
      </c>
      <c r="G817" s="30">
        <f>IF(OR(M817="",O817="",M817=0),"",(M817-O817)/M817)</f>
        <v>0.22344322344322345</v>
      </c>
      <c r="H817" s="22">
        <v>136.5</v>
      </c>
      <c r="I817" s="22">
        <v>263</v>
      </c>
      <c r="J817" s="22">
        <v>10</v>
      </c>
      <c r="K817" s="22">
        <v>240</v>
      </c>
      <c r="L817" s="22">
        <v>18</v>
      </c>
      <c r="M817" s="22">
        <f>_xlfn.CEILING.MATH(F817*2)</f>
        <v>273</v>
      </c>
      <c r="N817" s="22">
        <f>H817*1.18</f>
        <v>161.07</v>
      </c>
      <c r="O817" s="22">
        <f>_xlfn.CEILING.MATH(F817*1.56)-1</f>
        <v>212</v>
      </c>
    </row>
    <row r="818" spans="1:15" s="22" customFormat="1">
      <c r="A818" s="22">
        <v>602</v>
      </c>
      <c r="B818" s="22" t="s">
        <v>841</v>
      </c>
      <c r="C818" s="22" t="s">
        <v>2057</v>
      </c>
      <c r="E818" s="22">
        <v>1</v>
      </c>
      <c r="F818" s="22">
        <v>136.5</v>
      </c>
      <c r="G818" s="30">
        <f>IF(OR(M818="",O818="",M818=0),"",(M818-O818)/M818)</f>
        <v>0.22344322344322345</v>
      </c>
      <c r="H818" s="22">
        <v>136.5</v>
      </c>
      <c r="I818" s="22">
        <v>131</v>
      </c>
      <c r="J818" s="22">
        <v>10</v>
      </c>
      <c r="K818" s="22">
        <v>160</v>
      </c>
      <c r="L818" s="22">
        <v>18</v>
      </c>
      <c r="M818" s="22">
        <f>_xlfn.CEILING.MATH(F818*2)</f>
        <v>273</v>
      </c>
      <c r="N818" s="22">
        <f>H818*1.18</f>
        <v>161.07</v>
      </c>
      <c r="O818" s="22">
        <f>_xlfn.CEILING.MATH(F818*1.56)-1</f>
        <v>212</v>
      </c>
    </row>
    <row r="819" spans="1:15" s="22" customFormat="1">
      <c r="A819" s="22">
        <v>603</v>
      </c>
      <c r="B819" s="22" t="s">
        <v>842</v>
      </c>
      <c r="C819" s="22" t="s">
        <v>2058</v>
      </c>
      <c r="E819" s="22">
        <v>1</v>
      </c>
      <c r="F819" s="22">
        <v>141</v>
      </c>
      <c r="G819" s="30">
        <f>IF(OR(M819="",O819="",M819=0),"",(M819-O819)/M819)</f>
        <v>0.22340425531914893</v>
      </c>
      <c r="H819" s="22">
        <v>141</v>
      </c>
      <c r="I819" s="22">
        <v>266</v>
      </c>
      <c r="J819" s="22">
        <v>10</v>
      </c>
      <c r="K819" s="22">
        <v>160</v>
      </c>
      <c r="L819" s="22">
        <v>18</v>
      </c>
      <c r="M819" s="22">
        <f>_xlfn.CEILING.MATH(F819*2)</f>
        <v>282</v>
      </c>
      <c r="N819" s="22">
        <f>H819*1.18</f>
        <v>166.38</v>
      </c>
      <c r="O819" s="22">
        <f>_xlfn.CEILING.MATH(F819*1.56)-1</f>
        <v>219</v>
      </c>
    </row>
    <row r="820" spans="1:15" s="22" customFormat="1">
      <c r="A820" s="22">
        <v>604</v>
      </c>
      <c r="B820" s="22" t="s">
        <v>843</v>
      </c>
      <c r="C820" s="22" t="s">
        <v>2059</v>
      </c>
      <c r="E820" s="22">
        <v>1</v>
      </c>
      <c r="F820" s="22">
        <v>157.5</v>
      </c>
      <c r="G820" s="30">
        <f>IF(OR(M820="",O820="",M820=0),"",(M820-O820)/M820)</f>
        <v>0.22222222222222221</v>
      </c>
      <c r="H820" s="22">
        <v>157.5</v>
      </c>
      <c r="I820" s="22">
        <v>210</v>
      </c>
      <c r="J820" s="22">
        <v>5</v>
      </c>
      <c r="K820" s="22">
        <v>125</v>
      </c>
      <c r="L820" s="22">
        <v>18</v>
      </c>
      <c r="M820" s="22">
        <f>_xlfn.CEILING.MATH(F820*2)</f>
        <v>315</v>
      </c>
      <c r="N820" s="22">
        <f>H820*1.18</f>
        <v>185.85</v>
      </c>
      <c r="O820" s="22">
        <f>_xlfn.CEILING.MATH(F820*1.56)-1</f>
        <v>245</v>
      </c>
    </row>
    <row r="821" spans="1:15" s="22" customFormat="1">
      <c r="A821" s="22">
        <v>605</v>
      </c>
      <c r="B821" s="22" t="s">
        <v>844</v>
      </c>
      <c r="C821" s="22" t="s">
        <v>2060</v>
      </c>
      <c r="E821" s="22">
        <v>1</v>
      </c>
      <c r="F821" s="22">
        <v>177</v>
      </c>
      <c r="G821" s="30">
        <f>IF(OR(M821="",O821="",M821=0),"",(M821-O821)/M821)</f>
        <v>0.22033898305084745</v>
      </c>
      <c r="H821" s="22">
        <v>177</v>
      </c>
      <c r="I821" s="22">
        <v>485</v>
      </c>
      <c r="J821" s="22">
        <v>5</v>
      </c>
      <c r="K821" s="22">
        <v>125</v>
      </c>
      <c r="L821" s="22">
        <v>18</v>
      </c>
      <c r="M821" s="22">
        <f>_xlfn.CEILING.MATH(F821*2)</f>
        <v>354</v>
      </c>
      <c r="N821" s="22">
        <f>H821*1.18</f>
        <v>208.85999999999999</v>
      </c>
      <c r="O821" s="22">
        <f>_xlfn.CEILING.MATH(F821*1.56)-1</f>
        <v>276</v>
      </c>
    </row>
    <row r="822" spans="1:15" s="22" customFormat="1">
      <c r="A822" s="22">
        <v>606</v>
      </c>
      <c r="B822" s="22" t="s">
        <v>845</v>
      </c>
      <c r="C822" s="22" t="s">
        <v>2061</v>
      </c>
      <c r="E822" s="22">
        <v>1</v>
      </c>
      <c r="F822" s="22">
        <v>193.5</v>
      </c>
      <c r="G822" s="30">
        <f>IF(OR(M822="",O822="",M822=0),"",(M822-O822)/M822)</f>
        <v>0.22222222222222221</v>
      </c>
      <c r="H822" s="22">
        <v>193.5</v>
      </c>
      <c r="I822" s="22">
        <v>378</v>
      </c>
      <c r="J822" s="22">
        <v>5</v>
      </c>
      <c r="K822" s="22">
        <v>125</v>
      </c>
      <c r="L822" s="22">
        <v>18</v>
      </c>
      <c r="M822" s="22">
        <f>_xlfn.CEILING.MATH(F822*2)</f>
        <v>387</v>
      </c>
      <c r="N822" s="22">
        <f>H822*1.18</f>
        <v>228.32999999999998</v>
      </c>
      <c r="O822" s="22">
        <f>_xlfn.CEILING.MATH(F822*1.56)-1</f>
        <v>301</v>
      </c>
    </row>
    <row r="823" spans="1:15" s="22" customFormat="1">
      <c r="A823" s="22">
        <v>607</v>
      </c>
      <c r="B823" s="22" t="s">
        <v>846</v>
      </c>
      <c r="C823" s="22" t="s">
        <v>2062</v>
      </c>
      <c r="E823" s="22">
        <v>1</v>
      </c>
      <c r="F823" s="22">
        <v>271.5</v>
      </c>
      <c r="G823" s="30">
        <f>IF(OR(M823="",O823="",M823=0),"",(M823-O823)/M823)</f>
        <v>0.22099447513812154</v>
      </c>
      <c r="H823" s="22">
        <v>271.5</v>
      </c>
      <c r="I823" s="22">
        <v>230</v>
      </c>
      <c r="J823" s="22">
        <v>5</v>
      </c>
      <c r="K823" s="22">
        <v>100</v>
      </c>
      <c r="L823" s="22">
        <v>18</v>
      </c>
      <c r="M823" s="22">
        <f>_xlfn.CEILING.MATH(F823*2)</f>
        <v>543</v>
      </c>
      <c r="N823" s="22">
        <f>H823*1.18</f>
        <v>320.37</v>
      </c>
      <c r="O823" s="22">
        <f>_xlfn.CEILING.MATH(F823*1.56)-1</f>
        <v>423</v>
      </c>
    </row>
    <row r="824" spans="1:15" s="22" customFormat="1">
      <c r="A824" s="22">
        <v>608</v>
      </c>
      <c r="B824" s="22" t="s">
        <v>847</v>
      </c>
      <c r="C824" s="22" t="s">
        <v>2063</v>
      </c>
      <c r="E824" s="22">
        <v>1</v>
      </c>
      <c r="F824" s="22">
        <v>282</v>
      </c>
      <c r="G824" s="30">
        <f>IF(OR(M824="",O824="",M824=0),"",(M824-O824)/M824)</f>
        <v>0.22163120567375885</v>
      </c>
      <c r="H824" s="22">
        <v>282</v>
      </c>
      <c r="I824" s="22">
        <v>185</v>
      </c>
      <c r="J824" s="22">
        <v>5</v>
      </c>
      <c r="K824" s="22">
        <v>100</v>
      </c>
      <c r="L824" s="22">
        <v>18</v>
      </c>
      <c r="M824" s="22">
        <f>_xlfn.CEILING.MATH(F824*2)</f>
        <v>564</v>
      </c>
      <c r="N824" s="22">
        <f>H824*1.18</f>
        <v>332.76</v>
      </c>
      <c r="O824" s="22">
        <f>_xlfn.CEILING.MATH(F824*1.56)-1</f>
        <v>439</v>
      </c>
    </row>
    <row r="825" spans="1:15" s="22" customFormat="1">
      <c r="A825" s="22">
        <v>609</v>
      </c>
      <c r="B825" s="22" t="s">
        <v>848</v>
      </c>
      <c r="C825" s="22" t="s">
        <v>2064</v>
      </c>
      <c r="E825" s="22">
        <v>1</v>
      </c>
      <c r="F825" s="22">
        <v>319.5</v>
      </c>
      <c r="G825" s="30">
        <f>IF(OR(M825="",O825="",M825=0),"",(M825-O825)/M825)</f>
        <v>0.22065727699530516</v>
      </c>
      <c r="H825" s="22">
        <v>319.5</v>
      </c>
      <c r="I825" s="22">
        <v>75</v>
      </c>
      <c r="J825" s="22">
        <v>5</v>
      </c>
      <c r="K825" s="22">
        <v>60</v>
      </c>
      <c r="L825" s="22">
        <v>18</v>
      </c>
      <c r="M825" s="22">
        <f>_xlfn.CEILING.MATH(F825*2)</f>
        <v>639</v>
      </c>
      <c r="N825" s="22">
        <f>H825*1.18</f>
        <v>377.01</v>
      </c>
      <c r="O825" s="22">
        <f>_xlfn.CEILING.MATH(F825*1.56)-1</f>
        <v>498</v>
      </c>
    </row>
    <row r="826" spans="1:15" s="22" customFormat="1">
      <c r="A826" s="22">
        <v>610</v>
      </c>
      <c r="B826" s="22" t="s">
        <v>849</v>
      </c>
      <c r="C826" s="22" t="s">
        <v>2065</v>
      </c>
      <c r="E826" s="22">
        <v>1</v>
      </c>
      <c r="F826" s="22">
        <v>348</v>
      </c>
      <c r="G826" s="30">
        <f>IF(OR(M826="",O826="",M826=0),"",(M826-O826)/M826)</f>
        <v>0.22126436781609196</v>
      </c>
      <c r="H826" s="22">
        <v>348</v>
      </c>
      <c r="I826" s="22">
        <v>76</v>
      </c>
      <c r="J826" s="22">
        <v>5</v>
      </c>
      <c r="K826" s="22">
        <v>60</v>
      </c>
      <c r="L826" s="22">
        <v>18</v>
      </c>
      <c r="M826" s="22">
        <f>_xlfn.CEILING.MATH(F826*2)</f>
        <v>696</v>
      </c>
      <c r="N826" s="22">
        <f>H826*1.18</f>
        <v>410.64</v>
      </c>
      <c r="O826" s="22">
        <f>_xlfn.CEILING.MATH(F826*1.56)-1</f>
        <v>542</v>
      </c>
    </row>
    <row r="827" spans="1:15" s="22" customFormat="1">
      <c r="A827" s="22">
        <v>611</v>
      </c>
      <c r="B827" s="22" t="s">
        <v>850</v>
      </c>
      <c r="C827" s="22" t="s">
        <v>2066</v>
      </c>
      <c r="E827" s="22">
        <v>1</v>
      </c>
      <c r="F827" s="22">
        <v>375</v>
      </c>
      <c r="G827" s="30">
        <f>IF(OR(M827="",O827="",M827=0),"",(M827-O827)/M827)</f>
        <v>0.22133333333333333</v>
      </c>
      <c r="H827" s="22">
        <v>375</v>
      </c>
      <c r="I827" s="22">
        <v>49</v>
      </c>
      <c r="J827" s="22">
        <v>5</v>
      </c>
      <c r="K827" s="22">
        <v>50</v>
      </c>
      <c r="L827" s="22">
        <v>18</v>
      </c>
      <c r="M827" s="22">
        <f>_xlfn.CEILING.MATH(F827*2)</f>
        <v>750</v>
      </c>
      <c r="N827" s="22">
        <f>H827*1.18</f>
        <v>442.5</v>
      </c>
      <c r="O827" s="22">
        <f>_xlfn.CEILING.MATH(F827*1.56)-1</f>
        <v>584</v>
      </c>
    </row>
    <row r="828" spans="1:15" s="22" customFormat="1">
      <c r="A828" s="22">
        <v>612</v>
      </c>
      <c r="B828" s="22" t="s">
        <v>851</v>
      </c>
      <c r="C828" s="22" t="s">
        <v>2067</v>
      </c>
      <c r="E828" s="22">
        <v>1</v>
      </c>
      <c r="F828" s="22">
        <v>450</v>
      </c>
      <c r="G828" s="30">
        <f>IF(OR(M828="",O828="",M828=0),"",(M828-O828)/M828)</f>
        <v>0.22111111111111112</v>
      </c>
      <c r="H828" s="22">
        <v>450</v>
      </c>
      <c r="I828" s="22">
        <v>0</v>
      </c>
      <c r="J828" s="22">
        <v>5</v>
      </c>
      <c r="K828" s="22">
        <v>50</v>
      </c>
      <c r="L828" s="22">
        <v>18</v>
      </c>
      <c r="M828" s="22">
        <f>_xlfn.CEILING.MATH(F828*2)</f>
        <v>900</v>
      </c>
      <c r="N828" s="22">
        <f>H828*1.18</f>
        <v>531</v>
      </c>
      <c r="O828" s="22">
        <f>_xlfn.CEILING.MATH(F828*1.56)-1</f>
        <v>701</v>
      </c>
    </row>
    <row r="829" spans="1:15" s="22" customFormat="1">
      <c r="A829" s="22">
        <v>613</v>
      </c>
      <c r="B829" s="22" t="s">
        <v>852</v>
      </c>
      <c r="C829" s="22" t="s">
        <v>2068</v>
      </c>
      <c r="E829" s="22">
        <v>1</v>
      </c>
      <c r="F829" s="22">
        <v>465</v>
      </c>
      <c r="G829" s="30">
        <f>IF(OR(M829="",O829="",M829=0),"",(M829-O829)/M829)</f>
        <v>0.22043010752688172</v>
      </c>
      <c r="H829" s="22">
        <v>465</v>
      </c>
      <c r="I829" s="22">
        <v>6</v>
      </c>
      <c r="J829" s="22">
        <v>5</v>
      </c>
      <c r="K829" s="22">
        <v>50</v>
      </c>
      <c r="L829" s="22">
        <v>18</v>
      </c>
      <c r="M829" s="22">
        <f>_xlfn.CEILING.MATH(F829*2)</f>
        <v>930</v>
      </c>
      <c r="N829" s="22">
        <f>H829*1.18</f>
        <v>548.69999999999993</v>
      </c>
      <c r="O829" s="22">
        <f>_xlfn.CEILING.MATH(F829*1.56)-1</f>
        <v>725</v>
      </c>
    </row>
    <row r="830" spans="1:15" s="22" customFormat="1">
      <c r="A830" s="22">
        <v>614</v>
      </c>
      <c r="B830" s="22" t="s">
        <v>854</v>
      </c>
      <c r="C830" s="22" t="s">
        <v>2069</v>
      </c>
      <c r="E830" s="22">
        <v>1</v>
      </c>
      <c r="F830" s="22">
        <v>204</v>
      </c>
      <c r="G830" s="30">
        <f>IF(OR(M830="",O830="",M830=0),"",(M830-O830)/M830)</f>
        <v>0.22058823529411764</v>
      </c>
      <c r="H830" s="22">
        <v>204</v>
      </c>
      <c r="I830" s="22">
        <v>592</v>
      </c>
      <c r="J830" s="22">
        <v>1</v>
      </c>
      <c r="K830" s="22">
        <v>20</v>
      </c>
      <c r="L830" s="22">
        <v>18</v>
      </c>
      <c r="M830" s="22">
        <f>_xlfn.CEILING.MATH(F830*2)</f>
        <v>408</v>
      </c>
      <c r="N830" s="22">
        <f>H830*1.18</f>
        <v>240.72</v>
      </c>
      <c r="O830" s="22">
        <f>_xlfn.CEILING.MATH(F830*1.56)-1</f>
        <v>318</v>
      </c>
    </row>
    <row r="831" spans="1:15" s="22" customFormat="1">
      <c r="A831" s="22">
        <v>615</v>
      </c>
      <c r="B831" s="22" t="s">
        <v>855</v>
      </c>
      <c r="C831" s="22" t="s">
        <v>2070</v>
      </c>
      <c r="E831" s="22">
        <v>1</v>
      </c>
      <c r="F831" s="22">
        <v>249</v>
      </c>
      <c r="G831" s="30">
        <f>IF(OR(M831="",O831="",M831=0),"",(M831-O831)/M831)</f>
        <v>0.22088353413654618</v>
      </c>
      <c r="H831" s="22">
        <v>249</v>
      </c>
      <c r="I831" s="22">
        <v>820</v>
      </c>
      <c r="J831" s="22">
        <v>1</v>
      </c>
      <c r="K831" s="22">
        <v>20</v>
      </c>
      <c r="L831" s="22">
        <v>18</v>
      </c>
      <c r="M831" s="22">
        <f>_xlfn.CEILING.MATH(F831*2)</f>
        <v>498</v>
      </c>
      <c r="N831" s="22">
        <f>H831*1.18</f>
        <v>293.82</v>
      </c>
      <c r="O831" s="22">
        <f>_xlfn.CEILING.MATH(F831*1.56)-1</f>
        <v>388</v>
      </c>
    </row>
    <row r="832" spans="1:15" s="22" customFormat="1">
      <c r="A832" s="22">
        <v>616</v>
      </c>
      <c r="B832" s="22" t="s">
        <v>2071</v>
      </c>
      <c r="C832" s="22" t="s">
        <v>2072</v>
      </c>
      <c r="E832" s="22">
        <v>1</v>
      </c>
      <c r="F832" s="22">
        <v>630</v>
      </c>
      <c r="G832" s="30">
        <f>IF(OR(M832="",O832="",M832=0),"",(M832-O832)/M832)</f>
        <v>0.22063492063492063</v>
      </c>
      <c r="H832" s="22">
        <v>630</v>
      </c>
      <c r="I832" s="22">
        <v>0</v>
      </c>
      <c r="J832" s="22">
        <v>1</v>
      </c>
      <c r="K832" s="22">
        <v>15</v>
      </c>
      <c r="L832" s="22">
        <v>18</v>
      </c>
      <c r="M832" s="22">
        <f>_xlfn.CEILING.MATH(F832*2)</f>
        <v>1260</v>
      </c>
      <c r="N832" s="22">
        <f>H832*1.18</f>
        <v>743.4</v>
      </c>
      <c r="O832" s="22">
        <f>_xlfn.CEILING.MATH(F832*1.56)-1</f>
        <v>982</v>
      </c>
    </row>
    <row r="833" spans="1:15" s="22" customFormat="1">
      <c r="A833" s="22">
        <v>617</v>
      </c>
      <c r="B833" s="22" t="s">
        <v>2073</v>
      </c>
      <c r="C833" s="22" t="s">
        <v>2074</v>
      </c>
      <c r="E833" s="22">
        <v>1</v>
      </c>
      <c r="F833" s="22">
        <v>72</v>
      </c>
      <c r="G833" s="30">
        <f>IF(OR(M833="",O833="",M833=0),"",(M833-O833)/M833)</f>
        <v>0.22222222222222221</v>
      </c>
      <c r="H833" s="22">
        <v>72</v>
      </c>
      <c r="I833" s="22">
        <v>236</v>
      </c>
      <c r="J833" s="22">
        <v>10</v>
      </c>
      <c r="K833" s="22">
        <v>300</v>
      </c>
      <c r="L833" s="22">
        <v>18</v>
      </c>
      <c r="M833" s="22">
        <f>_xlfn.CEILING.MATH(F833*2)</f>
        <v>144</v>
      </c>
      <c r="N833" s="22">
        <f>H833*1.18</f>
        <v>84.96</v>
      </c>
      <c r="O833" s="22">
        <f>_xlfn.CEILING.MATH(F833*1.56)-1</f>
        <v>112</v>
      </c>
    </row>
    <row r="834" spans="1:15" s="22" customFormat="1">
      <c r="A834" s="22">
        <v>618</v>
      </c>
      <c r="B834" s="22" t="s">
        <v>2075</v>
      </c>
      <c r="C834" s="22" t="s">
        <v>2076</v>
      </c>
      <c r="E834" s="22">
        <v>1</v>
      </c>
      <c r="F834" s="22">
        <v>75</v>
      </c>
      <c r="G834" s="30">
        <f>IF(OR(M834="",O834="",M834=0),"",(M834-O834)/M834)</f>
        <v>0.22666666666666666</v>
      </c>
      <c r="H834" s="22">
        <v>75</v>
      </c>
      <c r="I834" s="22">
        <v>274</v>
      </c>
      <c r="J834" s="22">
        <v>10</v>
      </c>
      <c r="K834" s="22">
        <v>300</v>
      </c>
      <c r="L834" s="22">
        <v>18</v>
      </c>
      <c r="M834" s="22">
        <f>_xlfn.CEILING.MATH(F834*2)</f>
        <v>150</v>
      </c>
      <c r="N834" s="22">
        <f>H834*1.18</f>
        <v>88.5</v>
      </c>
      <c r="O834" s="22">
        <f>_xlfn.CEILING.MATH(F834*1.56)-1</f>
        <v>116</v>
      </c>
    </row>
    <row r="835" spans="1:15" s="22" customFormat="1">
      <c r="A835" s="22">
        <v>619</v>
      </c>
      <c r="B835" s="22" t="s">
        <v>856</v>
      </c>
      <c r="C835" s="22" t="s">
        <v>2077</v>
      </c>
      <c r="E835" s="22">
        <v>1</v>
      </c>
      <c r="F835" s="22">
        <v>81</v>
      </c>
      <c r="G835" s="30">
        <f>IF(OR(M835="",O835="",M835=0),"",(M835-O835)/M835)</f>
        <v>0.22222222222222221</v>
      </c>
      <c r="H835" s="22">
        <v>81</v>
      </c>
      <c r="I835" s="22">
        <v>0</v>
      </c>
      <c r="J835" s="22">
        <v>10</v>
      </c>
      <c r="K835" s="22">
        <v>300</v>
      </c>
      <c r="L835" s="22">
        <v>18</v>
      </c>
      <c r="M835" s="22">
        <f>_xlfn.CEILING.MATH(F835*2)</f>
        <v>162</v>
      </c>
      <c r="N835" s="22">
        <f>H835*1.18</f>
        <v>95.58</v>
      </c>
      <c r="O835" s="22">
        <f>_xlfn.CEILING.MATH(F835*1.56)-1</f>
        <v>126</v>
      </c>
    </row>
    <row r="836" spans="1:15" s="22" customFormat="1">
      <c r="A836" s="22">
        <v>620</v>
      </c>
      <c r="B836" s="22" t="s">
        <v>857</v>
      </c>
      <c r="C836" s="22" t="s">
        <v>2078</v>
      </c>
      <c r="E836" s="22">
        <v>1</v>
      </c>
      <c r="F836" s="22">
        <v>102.5</v>
      </c>
      <c r="G836" s="30">
        <f>IF(OR(M836="",O836="",M836=0),"",(M836-O836)/M836)</f>
        <v>0.22439024390243903</v>
      </c>
      <c r="H836" s="22">
        <v>102.5</v>
      </c>
      <c r="I836" s="22">
        <v>306</v>
      </c>
      <c r="J836" s="22">
        <v>10</v>
      </c>
      <c r="K836" s="22">
        <v>125</v>
      </c>
      <c r="L836" s="22">
        <v>18</v>
      </c>
      <c r="M836" s="22">
        <f>_xlfn.CEILING.MATH(F836*2)</f>
        <v>205</v>
      </c>
      <c r="N836" s="22">
        <f>H836*1.18</f>
        <v>120.94999999999999</v>
      </c>
      <c r="O836" s="22">
        <f>_xlfn.CEILING.MATH(F836*1.56)-1</f>
        <v>159</v>
      </c>
    </row>
    <row r="837" spans="1:15" s="22" customFormat="1">
      <c r="A837" s="22">
        <v>621</v>
      </c>
      <c r="B837" s="22" t="s">
        <v>2079</v>
      </c>
      <c r="C837" s="22" t="s">
        <v>2080</v>
      </c>
      <c r="E837" s="22">
        <v>1</v>
      </c>
      <c r="F837" s="22">
        <v>138</v>
      </c>
      <c r="G837" s="30">
        <f>IF(OR(M837="",O837="",M837=0),"",(M837-O837)/M837)</f>
        <v>0.2210144927536232</v>
      </c>
      <c r="H837" s="22">
        <v>138</v>
      </c>
      <c r="I837" s="22">
        <v>50</v>
      </c>
      <c r="J837" s="22">
        <v>5</v>
      </c>
      <c r="K837" s="22">
        <v>125</v>
      </c>
      <c r="L837" s="22">
        <v>18</v>
      </c>
      <c r="M837" s="22">
        <f>_xlfn.CEILING.MATH(F837*2)</f>
        <v>276</v>
      </c>
      <c r="N837" s="22">
        <f>H837*1.18</f>
        <v>162.84</v>
      </c>
      <c r="O837" s="22">
        <f>_xlfn.CEILING.MATH(F837*1.56)-1</f>
        <v>215</v>
      </c>
    </row>
    <row r="838" spans="1:15" s="22" customFormat="1">
      <c r="A838" s="22">
        <v>622</v>
      </c>
      <c r="B838" s="22" t="s">
        <v>858</v>
      </c>
      <c r="C838" s="22" t="s">
        <v>2081</v>
      </c>
      <c r="E838" s="22">
        <v>1</v>
      </c>
      <c r="F838" s="22">
        <v>145</v>
      </c>
      <c r="G838" s="30">
        <f>IF(OR(M838="",O838="",M838=0),"",(M838-O838)/M838)</f>
        <v>0.22068965517241379</v>
      </c>
      <c r="H838" s="22">
        <v>145</v>
      </c>
      <c r="I838" s="22">
        <v>549</v>
      </c>
      <c r="J838" s="22">
        <v>5</v>
      </c>
      <c r="K838" s="22">
        <v>100</v>
      </c>
      <c r="L838" s="22">
        <v>18</v>
      </c>
      <c r="M838" s="22">
        <f>_xlfn.CEILING.MATH(F838*2)</f>
        <v>290</v>
      </c>
      <c r="N838" s="22">
        <f>H838*1.18</f>
        <v>171.1</v>
      </c>
      <c r="O838" s="22">
        <f>_xlfn.CEILING.MATH(F838*1.56)-1</f>
        <v>226</v>
      </c>
    </row>
    <row r="839" spans="1:15" s="22" customFormat="1">
      <c r="A839" s="22">
        <v>623</v>
      </c>
      <c r="B839" s="22" t="s">
        <v>859</v>
      </c>
      <c r="C839" s="22" t="s">
        <v>2082</v>
      </c>
      <c r="E839" s="22">
        <v>1</v>
      </c>
      <c r="F839" s="22">
        <v>240</v>
      </c>
      <c r="G839" s="30">
        <f>IF(OR(M839="",O839="",M839=0),"",(M839-O839)/M839)</f>
        <v>0.22083333333333333</v>
      </c>
      <c r="H839" s="22">
        <v>240</v>
      </c>
      <c r="I839" s="22">
        <v>202</v>
      </c>
      <c r="J839" s="22">
        <v>5</v>
      </c>
      <c r="K839" s="22">
        <v>60</v>
      </c>
      <c r="L839" s="22">
        <v>18</v>
      </c>
      <c r="M839" s="22">
        <f>_xlfn.CEILING.MATH(F839*2)</f>
        <v>480</v>
      </c>
      <c r="N839" s="22">
        <f>H839*1.18</f>
        <v>283.2</v>
      </c>
      <c r="O839" s="22">
        <f>_xlfn.CEILING.MATH(F839*1.56)-1</f>
        <v>374</v>
      </c>
    </row>
    <row r="840" spans="1:15" s="22" customFormat="1">
      <c r="A840" s="22">
        <v>624</v>
      </c>
      <c r="B840" s="22" t="s">
        <v>860</v>
      </c>
      <c r="C840" s="22" t="s">
        <v>2083</v>
      </c>
      <c r="E840" s="22">
        <v>1</v>
      </c>
      <c r="F840" s="22">
        <v>240</v>
      </c>
      <c r="G840" s="30">
        <f>IF(OR(M840="",O840="",M840=0),"",(M840-O840)/M840)</f>
        <v>0.22083333333333333</v>
      </c>
      <c r="H840" s="22">
        <v>240</v>
      </c>
      <c r="I840" s="22">
        <v>3</v>
      </c>
      <c r="J840" s="22">
        <v>5</v>
      </c>
      <c r="K840" s="22">
        <v>60</v>
      </c>
      <c r="L840" s="22">
        <v>18</v>
      </c>
      <c r="M840" s="22">
        <f>_xlfn.CEILING.MATH(F840*2)</f>
        <v>480</v>
      </c>
      <c r="N840" s="22">
        <f>H840*1.18</f>
        <v>283.2</v>
      </c>
      <c r="O840" s="22">
        <f>_xlfn.CEILING.MATH(F840*1.56)-1</f>
        <v>374</v>
      </c>
    </row>
    <row r="841" spans="1:15" s="22" customFormat="1">
      <c r="A841" s="22">
        <v>625</v>
      </c>
      <c r="B841" s="22" t="s">
        <v>2084</v>
      </c>
      <c r="C841" s="22" t="s">
        <v>2085</v>
      </c>
      <c r="E841" s="22">
        <v>1</v>
      </c>
      <c r="F841" s="22">
        <v>67.5</v>
      </c>
      <c r="G841" s="30">
        <f>IF(OR(M841="",O841="",M841=0),"",(M841-O841)/M841)</f>
        <v>0.22222222222222221</v>
      </c>
      <c r="H841" s="22">
        <v>67.5</v>
      </c>
      <c r="I841" s="22">
        <v>388</v>
      </c>
      <c r="J841" s="22">
        <v>10</v>
      </c>
      <c r="K841" s="22">
        <v>300</v>
      </c>
      <c r="L841" s="22">
        <v>18</v>
      </c>
      <c r="M841" s="22">
        <f>_xlfn.CEILING.MATH(F841*2)</f>
        <v>135</v>
      </c>
      <c r="N841" s="22">
        <f>H841*1.18</f>
        <v>79.649999999999991</v>
      </c>
      <c r="O841" s="22">
        <f>_xlfn.CEILING.MATH(F841*1.56)-1</f>
        <v>105</v>
      </c>
    </row>
    <row r="842" spans="1:15" s="22" customFormat="1">
      <c r="A842" s="22">
        <v>626</v>
      </c>
      <c r="B842" s="22" t="s">
        <v>861</v>
      </c>
      <c r="C842" s="22" t="s">
        <v>2086</v>
      </c>
      <c r="E842" s="22">
        <v>1</v>
      </c>
      <c r="F842" s="22">
        <v>270</v>
      </c>
      <c r="G842" s="30">
        <f>IF(OR(M842="",O842="",M842=0),"",(M842-O842)/M842)</f>
        <v>0.22037037037037038</v>
      </c>
      <c r="H842" s="22">
        <v>270</v>
      </c>
      <c r="I842" s="22">
        <v>43</v>
      </c>
      <c r="J842" s="22">
        <v>1</v>
      </c>
      <c r="K842" s="22">
        <v>20</v>
      </c>
      <c r="L842" s="22">
        <v>18</v>
      </c>
      <c r="M842" s="22">
        <f>_xlfn.CEILING.MATH(F842*2)</f>
        <v>540</v>
      </c>
      <c r="N842" s="22">
        <f>H842*1.18</f>
        <v>318.59999999999997</v>
      </c>
      <c r="O842" s="22">
        <f>_xlfn.CEILING.MATH(F842*1.56)-1</f>
        <v>421</v>
      </c>
    </row>
    <row r="843" spans="1:15" s="22" customFormat="1">
      <c r="A843" s="22">
        <v>627</v>
      </c>
      <c r="B843" s="22" t="s">
        <v>2087</v>
      </c>
      <c r="C843" s="22" t="s">
        <v>2088</v>
      </c>
      <c r="E843" s="22">
        <v>1</v>
      </c>
      <c r="F843" s="22">
        <v>2340</v>
      </c>
      <c r="G843" s="30">
        <f>IF(OR(M843="",O843="",M843=0),"",(M843-O843)/M843)</f>
        <v>0.22008547008547008</v>
      </c>
      <c r="H843" s="22">
        <v>2340</v>
      </c>
      <c r="I843" s="22">
        <v>3</v>
      </c>
      <c r="J843" s="22">
        <v>1</v>
      </c>
      <c r="K843" s="22">
        <v>1</v>
      </c>
      <c r="L843" s="22">
        <v>18</v>
      </c>
      <c r="M843" s="22">
        <f>_xlfn.CEILING.MATH(F843*2)</f>
        <v>4680</v>
      </c>
      <c r="N843" s="22">
        <f>H843*1.18</f>
        <v>2761.2</v>
      </c>
      <c r="O843" s="22">
        <f>_xlfn.CEILING.MATH(F843*1.56)-1</f>
        <v>3650</v>
      </c>
    </row>
    <row r="844" spans="1:15" s="22" customFormat="1">
      <c r="A844" s="22">
        <v>628</v>
      </c>
      <c r="B844" s="22" t="s">
        <v>862</v>
      </c>
      <c r="C844" s="22" t="s">
        <v>2089</v>
      </c>
      <c r="E844" s="22">
        <v>1</v>
      </c>
      <c r="F844" s="22">
        <v>2670</v>
      </c>
      <c r="G844" s="30">
        <f>IF(OR(M844="",O844="",M844=0),"",(M844-O844)/M844)</f>
        <v>0.22003745318352061</v>
      </c>
      <c r="H844" s="22">
        <v>2670</v>
      </c>
      <c r="I844" s="22">
        <v>48</v>
      </c>
      <c r="J844" s="22">
        <v>1</v>
      </c>
      <c r="K844" s="22">
        <v>2</v>
      </c>
      <c r="L844" s="22">
        <v>18</v>
      </c>
      <c r="M844" s="22">
        <f>_xlfn.CEILING.MATH(F844*2)</f>
        <v>5340</v>
      </c>
      <c r="N844" s="22">
        <f>H844*1.18</f>
        <v>3150.6</v>
      </c>
      <c r="O844" s="22">
        <f>_xlfn.CEILING.MATH(F844*1.56)-1</f>
        <v>4165</v>
      </c>
    </row>
    <row r="845" spans="1:15" s="22" customFormat="1">
      <c r="A845" s="22">
        <v>629</v>
      </c>
      <c r="B845" s="22" t="s">
        <v>863</v>
      </c>
      <c r="C845" s="22" t="s">
        <v>2090</v>
      </c>
      <c r="E845" s="22">
        <v>1</v>
      </c>
      <c r="F845" s="22">
        <v>2940</v>
      </c>
      <c r="G845" s="30">
        <f>IF(OR(M845="",O845="",M845=0),"",(M845-O845)/M845)</f>
        <v>0.22006802721088436</v>
      </c>
      <c r="H845" s="22">
        <v>2940</v>
      </c>
      <c r="I845" s="22">
        <v>28</v>
      </c>
      <c r="J845" s="22">
        <v>1</v>
      </c>
      <c r="K845" s="22">
        <v>1</v>
      </c>
      <c r="L845" s="22">
        <v>18</v>
      </c>
      <c r="M845" s="22">
        <f>_xlfn.CEILING.MATH(F845*2)</f>
        <v>5880</v>
      </c>
      <c r="N845" s="22">
        <f>H845*1.18</f>
        <v>3469.2</v>
      </c>
      <c r="O845" s="22">
        <f>_xlfn.CEILING.MATH(F845*1.56)-1</f>
        <v>4586</v>
      </c>
    </row>
    <row r="846" spans="1:15" s="22" customFormat="1">
      <c r="A846" s="22">
        <v>630</v>
      </c>
      <c r="B846" s="22" t="s">
        <v>864</v>
      </c>
      <c r="C846" s="22" t="s">
        <v>2091</v>
      </c>
      <c r="E846" s="22">
        <v>1</v>
      </c>
      <c r="F846" s="22">
        <v>4050</v>
      </c>
      <c r="G846" s="30">
        <f>IF(OR(M846="",O846="",M846=0),"",(M846-O846)/M846)</f>
        <v>0.22012345679012346</v>
      </c>
      <c r="H846" s="22">
        <v>4050</v>
      </c>
      <c r="I846" s="22">
        <v>0</v>
      </c>
      <c r="J846" s="22">
        <v>1</v>
      </c>
      <c r="K846" s="22">
        <v>2</v>
      </c>
      <c r="L846" s="22">
        <v>18</v>
      </c>
      <c r="M846" s="22">
        <f>_xlfn.CEILING.MATH(F846*2)</f>
        <v>8100</v>
      </c>
      <c r="N846" s="22">
        <f>H846*1.18</f>
        <v>4779</v>
      </c>
      <c r="O846" s="22">
        <f>_xlfn.CEILING.MATH(F846*1.56)-1</f>
        <v>6317</v>
      </c>
    </row>
    <row r="847" spans="1:15" s="22" customFormat="1">
      <c r="A847" s="22">
        <v>631</v>
      </c>
      <c r="B847" s="22" t="s">
        <v>865</v>
      </c>
      <c r="C847" s="22" t="s">
        <v>2092</v>
      </c>
      <c r="E847" s="22">
        <v>1</v>
      </c>
      <c r="F847" s="22">
        <v>4350</v>
      </c>
      <c r="G847" s="30">
        <f>IF(OR(M847="",O847="",M847=0),"",(M847-O847)/M847)</f>
        <v>0.22011494252873562</v>
      </c>
      <c r="H847" s="22">
        <v>4350</v>
      </c>
      <c r="I847" s="22">
        <v>0</v>
      </c>
      <c r="J847" s="22">
        <v>1</v>
      </c>
      <c r="K847" s="22">
        <v>1</v>
      </c>
      <c r="L847" s="22">
        <v>18</v>
      </c>
      <c r="M847" s="22">
        <f>_xlfn.CEILING.MATH(F847*2)</f>
        <v>8700</v>
      </c>
      <c r="N847" s="22">
        <f>H847*1.18</f>
        <v>5133</v>
      </c>
      <c r="O847" s="22">
        <f>_xlfn.CEILING.MATH(F847*1.56)-1</f>
        <v>6785</v>
      </c>
    </row>
    <row r="848" spans="1:15" s="22" customFormat="1">
      <c r="A848" s="22">
        <v>632</v>
      </c>
      <c r="B848" s="22" t="s">
        <v>866</v>
      </c>
      <c r="C848" s="22" t="s">
        <v>2093</v>
      </c>
      <c r="E848" s="22">
        <v>1</v>
      </c>
      <c r="F848" s="22">
        <v>2430</v>
      </c>
      <c r="G848" s="30">
        <f>IF(OR(M848="",O848="",M848=0),"",(M848-O848)/M848)</f>
        <v>0.22016460905349794</v>
      </c>
      <c r="H848" s="22">
        <v>2430</v>
      </c>
      <c r="I848" s="22">
        <v>47</v>
      </c>
      <c r="J848" s="22">
        <v>1</v>
      </c>
      <c r="K848" s="22">
        <v>2</v>
      </c>
      <c r="L848" s="22">
        <v>18</v>
      </c>
      <c r="M848" s="22">
        <f>_xlfn.CEILING.MATH(F848*2)</f>
        <v>4860</v>
      </c>
      <c r="N848" s="22">
        <f>H848*1.18</f>
        <v>2867.3999999999996</v>
      </c>
      <c r="O848" s="22">
        <f>_xlfn.CEILING.MATH(F848*1.56)-1</f>
        <v>3790</v>
      </c>
    </row>
    <row r="849" spans="1:15" s="22" customFormat="1">
      <c r="A849" s="22">
        <v>633</v>
      </c>
      <c r="B849" s="22" t="s">
        <v>867</v>
      </c>
      <c r="C849" s="22" t="s">
        <v>2094</v>
      </c>
      <c r="E849" s="22">
        <v>1</v>
      </c>
      <c r="F849" s="22">
        <v>2625</v>
      </c>
      <c r="G849" s="30">
        <f>IF(OR(M849="",O849="",M849=0),"",(M849-O849)/M849)</f>
        <v>0.22019047619047619</v>
      </c>
      <c r="H849" s="22">
        <v>2625</v>
      </c>
      <c r="I849" s="22">
        <v>66</v>
      </c>
      <c r="J849" s="22">
        <v>1</v>
      </c>
      <c r="K849" s="22">
        <v>1</v>
      </c>
      <c r="L849" s="22">
        <v>18</v>
      </c>
      <c r="M849" s="22">
        <f>_xlfn.CEILING.MATH(F849*2)</f>
        <v>5250</v>
      </c>
      <c r="N849" s="22">
        <f>H849*1.18</f>
        <v>3097.5</v>
      </c>
      <c r="O849" s="22">
        <f>_xlfn.CEILING.MATH(F849*1.56)-1</f>
        <v>4094</v>
      </c>
    </row>
    <row r="850" spans="1:15" s="22" customFormat="1">
      <c r="A850" s="22">
        <v>634</v>
      </c>
      <c r="B850" s="22" t="s">
        <v>868</v>
      </c>
      <c r="C850" s="22" t="s">
        <v>869</v>
      </c>
      <c r="E850" s="22">
        <v>1</v>
      </c>
      <c r="F850" s="22">
        <v>50.6</v>
      </c>
      <c r="G850" s="30">
        <f>IF(OR(M850="",O850="",M850=0),"",(M850-O850)/M850)</f>
        <v>0.23529411764705882</v>
      </c>
      <c r="H850" s="22">
        <v>50.6</v>
      </c>
      <c r="I850" s="22">
        <v>0</v>
      </c>
      <c r="J850" s="22">
        <v>1</v>
      </c>
      <c r="K850" s="22">
        <v>1</v>
      </c>
      <c r="L850" s="22">
        <v>18</v>
      </c>
      <c r="M850" s="22">
        <f>_xlfn.CEILING.MATH(F850*2)</f>
        <v>102</v>
      </c>
      <c r="N850" s="22">
        <f>H850*1.18</f>
        <v>59.707999999999998</v>
      </c>
      <c r="O850" s="22">
        <f>_xlfn.CEILING.MATH(F850*1.56)-1</f>
        <v>78</v>
      </c>
    </row>
    <row r="851" spans="1:15" s="22" customFormat="1">
      <c r="A851" s="22">
        <v>635</v>
      </c>
      <c r="B851" s="22" t="s">
        <v>870</v>
      </c>
      <c r="C851" s="22" t="s">
        <v>2095</v>
      </c>
      <c r="E851" s="22">
        <v>1</v>
      </c>
      <c r="F851" s="22">
        <v>292.5</v>
      </c>
      <c r="G851" s="30">
        <f>IF(OR(M851="",O851="",M851=0),"",(M851-O851)/M851)</f>
        <v>0.22051282051282051</v>
      </c>
      <c r="H851" s="22">
        <v>292.5</v>
      </c>
      <c r="I851" s="22">
        <v>0</v>
      </c>
      <c r="J851" s="22">
        <v>1</v>
      </c>
      <c r="K851" s="22">
        <v>15</v>
      </c>
      <c r="L851" s="22">
        <v>18</v>
      </c>
      <c r="M851" s="22">
        <f>_xlfn.CEILING.MATH(F851*2)</f>
        <v>585</v>
      </c>
      <c r="N851" s="22">
        <f>H851*1.18</f>
        <v>345.15</v>
      </c>
      <c r="O851" s="22">
        <f>_xlfn.CEILING.MATH(F851*1.56)-1</f>
        <v>456</v>
      </c>
    </row>
    <row r="852" spans="1:15" s="22" customFormat="1">
      <c r="A852" s="22">
        <v>636</v>
      </c>
      <c r="B852" s="22" t="s">
        <v>871</v>
      </c>
      <c r="C852" s="22" t="s">
        <v>2096</v>
      </c>
      <c r="E852" s="22">
        <v>1</v>
      </c>
      <c r="F852" s="22">
        <v>441</v>
      </c>
      <c r="G852" s="30">
        <f>IF(OR(M852="",O852="",M852=0),"",(M852-O852)/M852)</f>
        <v>0.22108843537414966</v>
      </c>
      <c r="H852" s="22">
        <v>441</v>
      </c>
      <c r="I852" s="22">
        <v>212</v>
      </c>
      <c r="J852" s="22">
        <v>1</v>
      </c>
      <c r="K852" s="22">
        <v>12</v>
      </c>
      <c r="L852" s="22">
        <v>18</v>
      </c>
      <c r="M852" s="22">
        <f>_xlfn.CEILING.MATH(F852*2)</f>
        <v>882</v>
      </c>
      <c r="N852" s="22">
        <f>H852*1.18</f>
        <v>520.38</v>
      </c>
      <c r="O852" s="22">
        <f>_xlfn.CEILING.MATH(F852*1.56)-1</f>
        <v>687</v>
      </c>
    </row>
    <row r="853" spans="1:15" s="22" customFormat="1">
      <c r="A853" s="22">
        <v>637</v>
      </c>
      <c r="B853" s="22" t="s">
        <v>872</v>
      </c>
      <c r="C853" s="22" t="s">
        <v>2097</v>
      </c>
      <c r="E853" s="22">
        <v>1</v>
      </c>
      <c r="F853" s="22">
        <v>381</v>
      </c>
      <c r="G853" s="30">
        <f>IF(OR(M853="",O853="",M853=0),"",(M853-O853)/M853)</f>
        <v>0.22047244094488189</v>
      </c>
      <c r="H853" s="22">
        <v>381</v>
      </c>
      <c r="I853" s="22">
        <v>10</v>
      </c>
      <c r="J853" s="22">
        <v>1</v>
      </c>
      <c r="K853" s="22">
        <v>12</v>
      </c>
      <c r="L853" s="22">
        <v>18</v>
      </c>
      <c r="M853" s="22">
        <f>_xlfn.CEILING.MATH(F853*2)</f>
        <v>762</v>
      </c>
      <c r="N853" s="22">
        <f>H853*1.18</f>
        <v>449.58</v>
      </c>
      <c r="O853" s="22">
        <f>_xlfn.CEILING.MATH(F853*1.56)-1</f>
        <v>594</v>
      </c>
    </row>
    <row r="854" spans="1:15" s="22" customFormat="1">
      <c r="A854" s="22">
        <v>638</v>
      </c>
      <c r="B854" s="22" t="s">
        <v>873</v>
      </c>
      <c r="C854" s="22" t="s">
        <v>2098</v>
      </c>
      <c r="E854" s="22">
        <v>1</v>
      </c>
      <c r="F854" s="22">
        <v>391.5</v>
      </c>
      <c r="G854" s="30">
        <f>IF(OR(M854="",O854="",M854=0),"",(M854-O854)/M854)</f>
        <v>0.22094508301404853</v>
      </c>
      <c r="H854" s="22">
        <v>391.5</v>
      </c>
      <c r="I854" s="22">
        <v>143</v>
      </c>
      <c r="J854" s="22">
        <v>1</v>
      </c>
      <c r="K854" s="22">
        <v>12</v>
      </c>
      <c r="L854" s="22">
        <v>18</v>
      </c>
      <c r="M854" s="22">
        <f>_xlfn.CEILING.MATH(F854*2)</f>
        <v>783</v>
      </c>
      <c r="N854" s="22">
        <f>H854*1.18</f>
        <v>461.96999999999997</v>
      </c>
      <c r="O854" s="22">
        <f>_xlfn.CEILING.MATH(F854*1.56)-1</f>
        <v>610</v>
      </c>
    </row>
    <row r="855" spans="1:15" s="22" customFormat="1">
      <c r="A855" s="22">
        <v>639</v>
      </c>
      <c r="B855" s="22" t="s">
        <v>874</v>
      </c>
      <c r="C855" s="22" t="s">
        <v>2099</v>
      </c>
      <c r="E855" s="22">
        <v>1</v>
      </c>
      <c r="F855" s="22">
        <v>10</v>
      </c>
      <c r="G855" s="30">
        <f>IF(OR(M855="",O855="",M855=0),"",(M855-O855)/M855)</f>
        <v>0.25</v>
      </c>
      <c r="H855" s="22">
        <v>10</v>
      </c>
      <c r="I855" s="22">
        <v>29099</v>
      </c>
      <c r="J855" s="22">
        <v>50</v>
      </c>
      <c r="K855" s="22">
        <v>500</v>
      </c>
      <c r="L855" s="22">
        <v>18</v>
      </c>
      <c r="M855" s="22">
        <f>_xlfn.CEILING.MATH(F855*2)</f>
        <v>20</v>
      </c>
      <c r="N855" s="22">
        <f>H855*1.18</f>
        <v>11.799999999999999</v>
      </c>
      <c r="O855" s="22">
        <f>_xlfn.CEILING.MATH(F855*1.56)-1</f>
        <v>15</v>
      </c>
    </row>
    <row r="856" spans="1:15" s="22" customFormat="1">
      <c r="A856" s="22">
        <v>640</v>
      </c>
      <c r="B856" s="22" t="s">
        <v>875</v>
      </c>
      <c r="C856" s="22" t="s">
        <v>2100</v>
      </c>
      <c r="E856" s="22">
        <v>1</v>
      </c>
      <c r="F856" s="22">
        <v>10</v>
      </c>
      <c r="G856" s="30">
        <f>IF(OR(M856="",O856="",M856=0),"",(M856-O856)/M856)</f>
        <v>0.25</v>
      </c>
      <c r="H856" s="22">
        <v>10</v>
      </c>
      <c r="I856" s="22">
        <v>22707</v>
      </c>
      <c r="J856" s="22">
        <v>50</v>
      </c>
      <c r="K856" s="22">
        <v>500</v>
      </c>
      <c r="L856" s="22">
        <v>18</v>
      </c>
      <c r="M856" s="22">
        <f>_xlfn.CEILING.MATH(F856*2)</f>
        <v>20</v>
      </c>
      <c r="N856" s="22">
        <f>H856*1.18</f>
        <v>11.799999999999999</v>
      </c>
      <c r="O856" s="22">
        <f>_xlfn.CEILING.MATH(F856*1.56)-1</f>
        <v>15</v>
      </c>
    </row>
    <row r="857" spans="1:15" s="22" customFormat="1">
      <c r="A857" s="22">
        <v>641</v>
      </c>
      <c r="B857" s="22" t="s">
        <v>876</v>
      </c>
      <c r="C857" s="22" t="s">
        <v>2101</v>
      </c>
      <c r="E857" s="22">
        <v>1</v>
      </c>
      <c r="F857" s="22">
        <v>5</v>
      </c>
      <c r="G857" s="30">
        <f>IF(OR(M857="",O857="",M857=0),"",(M857-O857)/M857)</f>
        <v>0.3</v>
      </c>
      <c r="H857" s="22">
        <v>5</v>
      </c>
      <c r="I857" s="22">
        <v>24261</v>
      </c>
      <c r="J857" s="22">
        <v>100</v>
      </c>
      <c r="K857" s="22">
        <v>1000</v>
      </c>
      <c r="L857" s="22">
        <v>18</v>
      </c>
      <c r="M857" s="22">
        <f>_xlfn.CEILING.MATH(F857*2)</f>
        <v>10</v>
      </c>
      <c r="N857" s="22">
        <f>H857*1.18</f>
        <v>5.8999999999999995</v>
      </c>
      <c r="O857" s="22">
        <f>_xlfn.CEILING.MATH(F857*1.56)-1</f>
        <v>7</v>
      </c>
    </row>
    <row r="858" spans="1:15" s="22" customFormat="1">
      <c r="A858" s="22">
        <v>642</v>
      </c>
      <c r="B858" s="22" t="s">
        <v>877</v>
      </c>
      <c r="C858" s="22" t="s">
        <v>2102</v>
      </c>
      <c r="E858" s="22">
        <v>1</v>
      </c>
      <c r="F858" s="22">
        <v>5</v>
      </c>
      <c r="G858" s="30">
        <f>IF(OR(M858="",O858="",M858=0),"",(M858-O858)/M858)</f>
        <v>0.3</v>
      </c>
      <c r="H858" s="22">
        <v>5</v>
      </c>
      <c r="I858" s="22">
        <v>23305</v>
      </c>
      <c r="J858" s="22">
        <v>100</v>
      </c>
      <c r="K858" s="22">
        <v>1000</v>
      </c>
      <c r="L858" s="22">
        <v>18</v>
      </c>
      <c r="M858" s="22">
        <f>_xlfn.CEILING.MATH(F858*2)</f>
        <v>10</v>
      </c>
      <c r="N858" s="22">
        <f>H858*1.18</f>
        <v>5.8999999999999995</v>
      </c>
      <c r="O858" s="22">
        <f>_xlfn.CEILING.MATH(F858*1.56)-1</f>
        <v>7</v>
      </c>
    </row>
    <row r="859" spans="1:15" s="22" customFormat="1">
      <c r="A859" s="22">
        <v>643</v>
      </c>
      <c r="B859" s="22" t="s">
        <v>878</v>
      </c>
      <c r="C859" s="22" t="s">
        <v>2103</v>
      </c>
      <c r="E859" s="22">
        <v>1</v>
      </c>
      <c r="F859" s="22">
        <v>136.5</v>
      </c>
      <c r="G859" s="30">
        <f>IF(OR(M859="",O859="",M859=0),"",(M859-O859)/M859)</f>
        <v>0.22344322344322345</v>
      </c>
      <c r="H859" s="22">
        <v>136.5</v>
      </c>
      <c r="I859" s="22">
        <v>379</v>
      </c>
      <c r="J859" s="22">
        <v>6</v>
      </c>
      <c r="K859" s="22">
        <v>36</v>
      </c>
      <c r="L859" s="22">
        <v>18</v>
      </c>
      <c r="M859" s="22">
        <f>_xlfn.CEILING.MATH(F859*2)</f>
        <v>273</v>
      </c>
      <c r="N859" s="22">
        <f>H859*1.18</f>
        <v>161.07</v>
      </c>
      <c r="O859" s="22">
        <f>_xlfn.CEILING.MATH(F859*1.56)-1</f>
        <v>212</v>
      </c>
    </row>
    <row r="860" spans="1:15" s="22" customFormat="1">
      <c r="A860" s="22">
        <v>644</v>
      </c>
      <c r="B860" s="22" t="s">
        <v>879</v>
      </c>
      <c r="C860" s="22" t="s">
        <v>2104</v>
      </c>
      <c r="E860" s="22">
        <v>1</v>
      </c>
      <c r="F860" s="22">
        <v>144</v>
      </c>
      <c r="G860" s="30">
        <f>IF(OR(M860="",O860="",M860=0),"",(M860-O860)/M860)</f>
        <v>0.22222222222222221</v>
      </c>
      <c r="H860" s="22">
        <v>144</v>
      </c>
      <c r="I860" s="22">
        <v>427</v>
      </c>
      <c r="J860" s="22">
        <v>6</v>
      </c>
      <c r="K860" s="22">
        <v>36</v>
      </c>
      <c r="L860" s="22">
        <v>18</v>
      </c>
      <c r="M860" s="22">
        <f>_xlfn.CEILING.MATH(F860*2)</f>
        <v>288</v>
      </c>
      <c r="N860" s="22">
        <f>H860*1.18</f>
        <v>169.92</v>
      </c>
      <c r="O860" s="22">
        <f>_xlfn.CEILING.MATH(F860*1.56)-1</f>
        <v>224</v>
      </c>
    </row>
    <row r="861" spans="1:15" s="22" customFormat="1">
      <c r="A861" s="22">
        <v>645</v>
      </c>
      <c r="B861" s="22" t="s">
        <v>880</v>
      </c>
      <c r="C861" s="22" t="s">
        <v>2105</v>
      </c>
      <c r="E861" s="22">
        <v>1</v>
      </c>
      <c r="F861" s="22">
        <v>915</v>
      </c>
      <c r="G861" s="30">
        <f>IF(OR(M861="",O861="",M861=0),"",(M861-O861)/M861)</f>
        <v>0.22021857923497268</v>
      </c>
      <c r="H861" s="22">
        <v>915</v>
      </c>
      <c r="I861" s="22">
        <v>0</v>
      </c>
      <c r="J861" s="22">
        <v>1</v>
      </c>
      <c r="K861" s="22">
        <v>6</v>
      </c>
      <c r="L861" s="22">
        <v>18</v>
      </c>
      <c r="M861" s="22">
        <f>_xlfn.CEILING.MATH(F861*2)</f>
        <v>1830</v>
      </c>
      <c r="N861" s="22">
        <f>H861*1.18</f>
        <v>1079.7</v>
      </c>
      <c r="O861" s="22">
        <f>_xlfn.CEILING.MATH(F861*1.56)-1</f>
        <v>1427</v>
      </c>
    </row>
    <row r="862" spans="1:15" s="22" customFormat="1">
      <c r="A862" s="22">
        <v>646</v>
      </c>
      <c r="B862" s="22" t="s">
        <v>881</v>
      </c>
      <c r="C862" s="22" t="s">
        <v>2106</v>
      </c>
      <c r="E862" s="22">
        <v>1</v>
      </c>
      <c r="F862" s="22">
        <v>1095</v>
      </c>
      <c r="G862" s="30">
        <f>IF(OR(M862="",O862="",M862=0),"",(M862-O862)/M862)</f>
        <v>0.22009132420091324</v>
      </c>
      <c r="H862" s="22">
        <v>1095</v>
      </c>
      <c r="I862" s="22">
        <v>0</v>
      </c>
      <c r="J862" s="22">
        <v>1</v>
      </c>
      <c r="K862" s="22">
        <v>6</v>
      </c>
      <c r="L862" s="22">
        <v>18</v>
      </c>
      <c r="M862" s="22">
        <f>_xlfn.CEILING.MATH(F862*2)</f>
        <v>2190</v>
      </c>
      <c r="N862" s="22">
        <f>H862*1.18</f>
        <v>1292.0999999999999</v>
      </c>
      <c r="O862" s="22">
        <f>_xlfn.CEILING.MATH(F862*1.56)-1</f>
        <v>1708</v>
      </c>
    </row>
    <row r="863" spans="1:15" s="22" customFormat="1">
      <c r="A863" s="22">
        <v>647</v>
      </c>
      <c r="B863" s="22" t="s">
        <v>2107</v>
      </c>
      <c r="C863" s="22" t="s">
        <v>2108</v>
      </c>
      <c r="E863" s="22">
        <v>1</v>
      </c>
      <c r="F863" s="22">
        <v>277.5</v>
      </c>
      <c r="G863" s="30">
        <f>IF(OR(M863="",O863="",M863=0),"",(M863-O863)/M863)</f>
        <v>0.22162162162162163</v>
      </c>
      <c r="H863" s="22">
        <v>277.5</v>
      </c>
      <c r="I863" s="22">
        <v>1182</v>
      </c>
      <c r="J863" s="22">
        <v>6</v>
      </c>
      <c r="K863" s="22">
        <v>24</v>
      </c>
      <c r="L863" s="22">
        <v>18</v>
      </c>
      <c r="M863" s="22">
        <f>_xlfn.CEILING.MATH(F863*2)</f>
        <v>555</v>
      </c>
      <c r="N863" s="22">
        <f>H863*1.18</f>
        <v>327.45</v>
      </c>
      <c r="O863" s="22">
        <f>_xlfn.CEILING.MATH(F863*1.56)-1</f>
        <v>432</v>
      </c>
    </row>
    <row r="864" spans="1:15" s="22" customFormat="1">
      <c r="A864" s="22">
        <v>648</v>
      </c>
      <c r="B864" s="22" t="s">
        <v>882</v>
      </c>
      <c r="C864" s="22" t="s">
        <v>2109</v>
      </c>
      <c r="E864" s="22">
        <v>1</v>
      </c>
      <c r="F864" s="22">
        <v>255</v>
      </c>
      <c r="G864" s="30">
        <f>IF(OR(M864="",O864="",M864=0),"",(M864-O864)/M864)</f>
        <v>0.22156862745098038</v>
      </c>
      <c r="H864" s="22">
        <v>255</v>
      </c>
      <c r="I864" s="22">
        <v>1669</v>
      </c>
      <c r="J864" s="22">
        <v>10</v>
      </c>
      <c r="K864" s="22">
        <v>40</v>
      </c>
      <c r="L864" s="22">
        <v>18</v>
      </c>
      <c r="M864" s="22">
        <f>_xlfn.CEILING.MATH(F864*2)</f>
        <v>510</v>
      </c>
      <c r="N864" s="22">
        <f>H864*1.18</f>
        <v>300.89999999999998</v>
      </c>
      <c r="O864" s="22">
        <f>_xlfn.CEILING.MATH(F864*1.56)-1</f>
        <v>397</v>
      </c>
    </row>
    <row r="865" spans="1:15" s="22" customFormat="1">
      <c r="A865" s="22">
        <v>649</v>
      </c>
      <c r="B865" s="22" t="s">
        <v>2110</v>
      </c>
      <c r="C865" s="22" t="s">
        <v>2111</v>
      </c>
      <c r="E865" s="22">
        <v>1</v>
      </c>
      <c r="F865" s="22">
        <v>525</v>
      </c>
      <c r="G865" s="30">
        <f>IF(OR(M865="",O865="",M865=0),"",(M865-O865)/M865)</f>
        <v>0.22095238095238096</v>
      </c>
      <c r="H865" s="22">
        <v>525</v>
      </c>
      <c r="I865" s="22">
        <v>1285</v>
      </c>
      <c r="J865" s="22">
        <v>6</v>
      </c>
      <c r="K865" s="22">
        <v>24</v>
      </c>
      <c r="L865" s="22">
        <v>18</v>
      </c>
      <c r="M865" s="22">
        <f>_xlfn.CEILING.MATH(F865*2)</f>
        <v>1050</v>
      </c>
      <c r="N865" s="22">
        <f>H865*1.18</f>
        <v>619.5</v>
      </c>
      <c r="O865" s="22">
        <f>_xlfn.CEILING.MATH(F865*1.56)-1</f>
        <v>818</v>
      </c>
    </row>
    <row r="866" spans="1:15" s="22" customFormat="1">
      <c r="A866" s="22">
        <v>650</v>
      </c>
      <c r="B866" s="22" t="s">
        <v>883</v>
      </c>
      <c r="C866" s="22" t="s">
        <v>2112</v>
      </c>
      <c r="E866" s="22">
        <v>1</v>
      </c>
      <c r="F866" s="22">
        <v>690</v>
      </c>
      <c r="G866" s="30">
        <f>IF(OR(M866="",O866="",M866=0),"",(M866-O866)/M866)</f>
        <v>0.22028985507246376</v>
      </c>
      <c r="H866" s="22">
        <v>690</v>
      </c>
      <c r="I866" s="22">
        <v>32</v>
      </c>
      <c r="J866" s="22">
        <v>6</v>
      </c>
      <c r="K866" s="22">
        <v>24</v>
      </c>
      <c r="L866" s="22">
        <v>18</v>
      </c>
      <c r="M866" s="22">
        <f>_xlfn.CEILING.MATH(F866*2)</f>
        <v>1380</v>
      </c>
      <c r="N866" s="22">
        <f>H866*1.18</f>
        <v>814.19999999999993</v>
      </c>
      <c r="O866" s="22">
        <f>_xlfn.CEILING.MATH(F866*1.56)-1</f>
        <v>1076</v>
      </c>
    </row>
    <row r="867" spans="1:15" s="22" customFormat="1">
      <c r="A867" s="22">
        <v>651</v>
      </c>
      <c r="B867" s="22" t="s">
        <v>884</v>
      </c>
      <c r="C867" s="22" t="s">
        <v>2113</v>
      </c>
      <c r="E867" s="22">
        <v>1</v>
      </c>
      <c r="F867" s="22">
        <v>750</v>
      </c>
      <c r="G867" s="30">
        <f>IF(OR(M867="",O867="",M867=0),"",(M867-O867)/M867)</f>
        <v>0.22066666666666668</v>
      </c>
      <c r="H867" s="22">
        <v>750</v>
      </c>
      <c r="I867" s="22">
        <v>2223</v>
      </c>
      <c r="J867" s="22">
        <v>1</v>
      </c>
      <c r="K867" s="22">
        <v>12</v>
      </c>
      <c r="L867" s="22">
        <v>18</v>
      </c>
      <c r="M867" s="22">
        <f>_xlfn.CEILING.MATH(F867*2)</f>
        <v>1500</v>
      </c>
      <c r="N867" s="22">
        <f>H867*1.18</f>
        <v>885</v>
      </c>
      <c r="O867" s="22">
        <f>_xlfn.CEILING.MATH(F867*1.56)-1</f>
        <v>1169</v>
      </c>
    </row>
    <row r="868" spans="1:15" s="22" customFormat="1">
      <c r="A868" s="22">
        <v>652</v>
      </c>
      <c r="B868" s="22" t="s">
        <v>885</v>
      </c>
      <c r="C868" s="22" t="s">
        <v>2114</v>
      </c>
      <c r="E868" s="22">
        <v>1</v>
      </c>
      <c r="F868" s="22">
        <v>240</v>
      </c>
      <c r="G868" s="30">
        <f>IF(OR(M868="",O868="",M868=0),"",(M868-O868)/M868)</f>
        <v>0.22083333333333333</v>
      </c>
      <c r="H868" s="22">
        <v>240</v>
      </c>
      <c r="I868" s="22">
        <v>0</v>
      </c>
      <c r="J868" s="22">
        <v>1</v>
      </c>
      <c r="K868" s="22">
        <v>20</v>
      </c>
      <c r="L868" s="22">
        <v>18</v>
      </c>
      <c r="M868" s="22">
        <f>_xlfn.CEILING.MATH(F868*2)</f>
        <v>480</v>
      </c>
      <c r="N868" s="22">
        <f>H868*1.18</f>
        <v>283.2</v>
      </c>
      <c r="O868" s="22">
        <f>_xlfn.CEILING.MATH(F868*1.56)-1</f>
        <v>374</v>
      </c>
    </row>
    <row r="869" spans="1:15" s="22" customFormat="1">
      <c r="A869" s="22">
        <v>653</v>
      </c>
      <c r="B869" s="22" t="s">
        <v>886</v>
      </c>
      <c r="C869" s="22" t="s">
        <v>2115</v>
      </c>
      <c r="E869" s="22">
        <v>1</v>
      </c>
      <c r="F869" s="22">
        <v>250</v>
      </c>
      <c r="G869" s="30">
        <f>IF(OR(M869="",O869="",M869=0),"",(M869-O869)/M869)</f>
        <v>0.222</v>
      </c>
      <c r="H869" s="22">
        <v>250</v>
      </c>
      <c r="I869" s="22">
        <v>0</v>
      </c>
      <c r="J869" s="22">
        <v>1</v>
      </c>
      <c r="K869" s="22">
        <v>10</v>
      </c>
      <c r="L869" s="22">
        <v>18</v>
      </c>
      <c r="M869" s="22">
        <f>_xlfn.CEILING.MATH(F869*2)</f>
        <v>500</v>
      </c>
      <c r="N869" s="22">
        <f>H869*1.18</f>
        <v>295</v>
      </c>
      <c r="O869" s="22">
        <f>_xlfn.CEILING.MATH(F869*1.56)-1</f>
        <v>389</v>
      </c>
    </row>
    <row r="870" spans="1:15" s="22" customFormat="1">
      <c r="A870" s="22">
        <v>654</v>
      </c>
      <c r="B870" s="22" t="s">
        <v>887</v>
      </c>
      <c r="C870" s="22" t="s">
        <v>888</v>
      </c>
      <c r="E870" s="22">
        <v>1</v>
      </c>
      <c r="F870" s="22">
        <v>480</v>
      </c>
      <c r="G870" s="30">
        <f>IF(OR(M870="",O870="",M870=0),"",(M870-O870)/M870)</f>
        <v>0.22083333333333333</v>
      </c>
      <c r="H870" s="22">
        <v>480</v>
      </c>
      <c r="I870" s="22">
        <v>0</v>
      </c>
      <c r="J870" s="22">
        <v>1</v>
      </c>
      <c r="K870" s="22">
        <v>10</v>
      </c>
      <c r="L870" s="22">
        <v>18</v>
      </c>
      <c r="M870" s="22">
        <f>_xlfn.CEILING.MATH(F870*2)</f>
        <v>960</v>
      </c>
      <c r="N870" s="22">
        <f>H870*1.18</f>
        <v>566.4</v>
      </c>
      <c r="O870" s="22">
        <f>_xlfn.CEILING.MATH(F870*1.56)-1</f>
        <v>748</v>
      </c>
    </row>
    <row r="871" spans="1:15" s="22" customFormat="1">
      <c r="A871" s="22">
        <v>655</v>
      </c>
      <c r="B871" s="22" t="s">
        <v>889</v>
      </c>
      <c r="C871" s="22" t="s">
        <v>890</v>
      </c>
      <c r="E871" s="22">
        <v>1</v>
      </c>
      <c r="F871" s="22">
        <v>915</v>
      </c>
      <c r="G871" s="30">
        <f>IF(OR(M871="",O871="",M871=0),"",(M871-O871)/M871)</f>
        <v>0.22021857923497268</v>
      </c>
      <c r="H871" s="22">
        <v>915</v>
      </c>
      <c r="I871" s="22">
        <v>0</v>
      </c>
      <c r="J871" s="22">
        <v>1</v>
      </c>
      <c r="K871" s="22">
        <v>5</v>
      </c>
      <c r="L871" s="22">
        <v>18</v>
      </c>
      <c r="M871" s="22">
        <f>_xlfn.CEILING.MATH(F871*2)</f>
        <v>1830</v>
      </c>
      <c r="N871" s="22">
        <f>H871*1.18</f>
        <v>1079.7</v>
      </c>
      <c r="O871" s="22">
        <f>_xlfn.CEILING.MATH(F871*1.56)-1</f>
        <v>1427</v>
      </c>
    </row>
    <row r="872" spans="1:15" s="22" customFormat="1">
      <c r="A872" s="22">
        <v>656</v>
      </c>
      <c r="B872" s="22" t="s">
        <v>891</v>
      </c>
      <c r="C872" s="22" t="s">
        <v>2116</v>
      </c>
      <c r="E872" s="22">
        <v>1</v>
      </c>
      <c r="F872" s="22">
        <v>1620</v>
      </c>
      <c r="G872" s="30">
        <f>IF(OR(M872="",O872="",M872=0),"",(M872-O872)/M872)</f>
        <v>0.22006172839506172</v>
      </c>
      <c r="H872" s="22">
        <v>1620</v>
      </c>
      <c r="I872" s="22">
        <v>310</v>
      </c>
      <c r="J872" s="22">
        <v>1</v>
      </c>
      <c r="K872" s="22">
        <v>4</v>
      </c>
      <c r="L872" s="22">
        <v>18</v>
      </c>
      <c r="M872" s="22">
        <f>_xlfn.CEILING.MATH(F872*2)</f>
        <v>3240</v>
      </c>
      <c r="N872" s="22">
        <f>H872*1.18</f>
        <v>1911.6</v>
      </c>
      <c r="O872" s="22">
        <f>_xlfn.CEILING.MATH(F872*1.56)-1</f>
        <v>2527</v>
      </c>
    </row>
    <row r="873" spans="1:15" s="22" customFormat="1">
      <c r="A873" s="22">
        <v>657</v>
      </c>
      <c r="B873" s="22" t="s">
        <v>892</v>
      </c>
      <c r="C873" s="22" t="s">
        <v>2117</v>
      </c>
      <c r="E873" s="22">
        <v>1</v>
      </c>
      <c r="F873" s="22">
        <v>750</v>
      </c>
      <c r="G873" s="30">
        <f>IF(OR(M873="",O873="",M873=0),"",(M873-O873)/M873)</f>
        <v>0.22066666666666668</v>
      </c>
      <c r="H873" s="22">
        <v>750</v>
      </c>
      <c r="I873" s="22">
        <v>529</v>
      </c>
      <c r="J873" s="22">
        <v>1</v>
      </c>
      <c r="K873" s="22">
        <v>10</v>
      </c>
      <c r="L873" s="22">
        <v>18</v>
      </c>
      <c r="M873" s="22">
        <f>_xlfn.CEILING.MATH(F873*2)</f>
        <v>1500</v>
      </c>
      <c r="N873" s="22">
        <f>H873*1.18</f>
        <v>885</v>
      </c>
      <c r="O873" s="22">
        <f>_xlfn.CEILING.MATH(F873*1.56)-1</f>
        <v>1169</v>
      </c>
    </row>
    <row r="874" spans="1:15" s="22" customFormat="1">
      <c r="A874" s="22">
        <v>658</v>
      </c>
      <c r="B874" s="22" t="s">
        <v>893</v>
      </c>
      <c r="C874" s="22" t="s">
        <v>2118</v>
      </c>
      <c r="E874" s="22">
        <v>1</v>
      </c>
      <c r="F874" s="22">
        <v>930</v>
      </c>
      <c r="G874" s="30">
        <f>IF(OR(M874="",O874="",M874=0),"",(M874-O874)/M874)</f>
        <v>0.22043010752688172</v>
      </c>
      <c r="H874" s="22">
        <v>930</v>
      </c>
      <c r="I874" s="22">
        <v>347</v>
      </c>
      <c r="J874" s="22">
        <v>1</v>
      </c>
      <c r="K874" s="22">
        <v>6</v>
      </c>
      <c r="L874" s="22">
        <v>18</v>
      </c>
      <c r="M874" s="22">
        <f>_xlfn.CEILING.MATH(F874*2)</f>
        <v>1860</v>
      </c>
      <c r="N874" s="22">
        <f>H874*1.18</f>
        <v>1097.3999999999999</v>
      </c>
      <c r="O874" s="22">
        <f>_xlfn.CEILING.MATH(F874*1.56)-1</f>
        <v>1450</v>
      </c>
    </row>
    <row r="875" spans="1:15" s="22" customFormat="1">
      <c r="A875" s="22">
        <v>659</v>
      </c>
      <c r="B875" s="22" t="s">
        <v>894</v>
      </c>
      <c r="C875" s="22" t="s">
        <v>2119</v>
      </c>
      <c r="E875" s="22">
        <v>1</v>
      </c>
      <c r="F875" s="22">
        <v>1050</v>
      </c>
      <c r="G875" s="30">
        <f>IF(OR(M875="",O875="",M875=0),"",(M875-O875)/M875)</f>
        <v>0.22047619047619046</v>
      </c>
      <c r="H875" s="22">
        <v>1050</v>
      </c>
      <c r="I875" s="22">
        <v>635</v>
      </c>
      <c r="J875" s="22">
        <v>1</v>
      </c>
      <c r="K875" s="22">
        <v>6</v>
      </c>
      <c r="L875" s="22">
        <v>18</v>
      </c>
      <c r="M875" s="22">
        <f>_xlfn.CEILING.MATH(F875*2)</f>
        <v>2100</v>
      </c>
      <c r="N875" s="22">
        <f>H875*1.18</f>
        <v>1239</v>
      </c>
      <c r="O875" s="22">
        <f>_xlfn.CEILING.MATH(F875*1.56)-1</f>
        <v>1637</v>
      </c>
    </row>
    <row r="876" spans="1:15" s="22" customFormat="1">
      <c r="A876" s="22">
        <v>660</v>
      </c>
      <c r="B876" s="22" t="s">
        <v>895</v>
      </c>
      <c r="C876" s="22" t="s">
        <v>2120</v>
      </c>
      <c r="E876" s="22">
        <v>1</v>
      </c>
      <c r="F876" s="22">
        <v>2700</v>
      </c>
      <c r="G876" s="30">
        <f>IF(OR(M876="",O876="",M876=0),"",(M876-O876)/M876)</f>
        <v>0.22018518518518518</v>
      </c>
      <c r="H876" s="22">
        <v>2700</v>
      </c>
      <c r="I876" s="22">
        <v>45</v>
      </c>
      <c r="J876" s="22">
        <v>1</v>
      </c>
      <c r="K876" s="22">
        <v>1</v>
      </c>
      <c r="L876" s="22">
        <v>18</v>
      </c>
      <c r="M876" s="22">
        <f>_xlfn.CEILING.MATH(F876*2)</f>
        <v>5400</v>
      </c>
      <c r="N876" s="22">
        <f>H876*1.18</f>
        <v>3186</v>
      </c>
      <c r="O876" s="22">
        <f>_xlfn.CEILING.MATH(F876*1.56)-1</f>
        <v>4211</v>
      </c>
    </row>
    <row r="877" spans="1:15" s="22" customFormat="1">
      <c r="A877" s="22">
        <v>661</v>
      </c>
      <c r="B877" s="22" t="s">
        <v>896</v>
      </c>
      <c r="C877" s="22" t="s">
        <v>2121</v>
      </c>
      <c r="E877" s="22">
        <v>1</v>
      </c>
      <c r="F877" s="22">
        <v>8340</v>
      </c>
      <c r="G877" s="30">
        <f>IF(OR(M877="",O877="",M877=0),"",(M877-O877)/M877)</f>
        <v>0.22002398081534771</v>
      </c>
      <c r="H877" s="22">
        <v>8340</v>
      </c>
      <c r="I877" s="22">
        <v>159</v>
      </c>
      <c r="J877" s="22">
        <v>1</v>
      </c>
      <c r="K877" s="22">
        <v>1</v>
      </c>
      <c r="L877" s="22">
        <v>18</v>
      </c>
      <c r="M877" s="22">
        <f>_xlfn.CEILING.MATH(F877*2)</f>
        <v>16680</v>
      </c>
      <c r="N877" s="22">
        <f>H877*1.18</f>
        <v>9841.1999999999989</v>
      </c>
      <c r="O877" s="22">
        <f>_xlfn.CEILING.MATH(F877*1.56)-1</f>
        <v>13010</v>
      </c>
    </row>
    <row r="878" spans="1:15" s="22" customFormat="1">
      <c r="A878" s="22">
        <v>662</v>
      </c>
      <c r="B878" s="22" t="s">
        <v>897</v>
      </c>
      <c r="C878" s="22" t="s">
        <v>2122</v>
      </c>
      <c r="E878" s="22">
        <v>1</v>
      </c>
      <c r="F878" s="22">
        <v>9765</v>
      </c>
      <c r="G878" s="30">
        <f>IF(OR(M878="",O878="",M878=0),"",(M878-O878)/M878)</f>
        <v>0.2200204813108039</v>
      </c>
      <c r="H878" s="22">
        <v>9765</v>
      </c>
      <c r="I878" s="22">
        <v>21</v>
      </c>
      <c r="J878" s="22">
        <v>1</v>
      </c>
      <c r="K878" s="22">
        <v>1</v>
      </c>
      <c r="L878" s="22">
        <v>18</v>
      </c>
      <c r="M878" s="22">
        <f>_xlfn.CEILING.MATH(F878*2)</f>
        <v>19530</v>
      </c>
      <c r="N878" s="22">
        <f>H878*1.18</f>
        <v>11522.699999999999</v>
      </c>
      <c r="O878" s="22">
        <f>_xlfn.CEILING.MATH(F878*1.56)-1</f>
        <v>15233</v>
      </c>
    </row>
    <row r="879" spans="1:15" s="22" customFormat="1">
      <c r="A879" s="22">
        <v>663</v>
      </c>
      <c r="B879" s="22" t="s">
        <v>898</v>
      </c>
      <c r="C879" s="22" t="s">
        <v>2123</v>
      </c>
      <c r="E879" s="22">
        <v>1</v>
      </c>
      <c r="F879" s="22">
        <v>94.5</v>
      </c>
      <c r="G879" s="30">
        <f>IF(OR(M879="",O879="",M879=0),"",(M879-O879)/M879)</f>
        <v>0.22222222222222221</v>
      </c>
      <c r="H879" s="22">
        <v>94.5</v>
      </c>
      <c r="I879" s="22">
        <v>4012</v>
      </c>
      <c r="J879" s="22">
        <v>50</v>
      </c>
      <c r="K879" s="22">
        <v>300</v>
      </c>
      <c r="L879" s="22">
        <v>18</v>
      </c>
      <c r="M879" s="22">
        <f>_xlfn.CEILING.MATH(F879*2)</f>
        <v>189</v>
      </c>
      <c r="N879" s="22">
        <f>H879*1.18</f>
        <v>111.50999999999999</v>
      </c>
      <c r="O879" s="22">
        <f>_xlfn.CEILING.MATH(F879*1.56)-1</f>
        <v>147</v>
      </c>
    </row>
    <row r="880" spans="1:15" s="22" customFormat="1">
      <c r="A880" s="22">
        <v>664</v>
      </c>
      <c r="B880" s="22" t="s">
        <v>899</v>
      </c>
      <c r="C880" s="22" t="s">
        <v>2124</v>
      </c>
      <c r="E880" s="22">
        <v>1</v>
      </c>
      <c r="F880" s="22">
        <v>177</v>
      </c>
      <c r="G880" s="30">
        <f>IF(OR(M880="",O880="",M880=0),"",(M880-O880)/M880)</f>
        <v>0.22033898305084745</v>
      </c>
      <c r="H880" s="22">
        <v>177</v>
      </c>
      <c r="I880" s="22">
        <v>1938</v>
      </c>
      <c r="J880" s="22">
        <v>40</v>
      </c>
      <c r="K880" s="22">
        <v>120</v>
      </c>
      <c r="L880" s="22">
        <v>18</v>
      </c>
      <c r="M880" s="22">
        <f>_xlfn.CEILING.MATH(F880*2)</f>
        <v>354</v>
      </c>
      <c r="N880" s="22">
        <f>H880*1.18</f>
        <v>208.85999999999999</v>
      </c>
      <c r="O880" s="22">
        <f>_xlfn.CEILING.MATH(F880*1.56)-1</f>
        <v>276</v>
      </c>
    </row>
    <row r="881" spans="1:15" s="22" customFormat="1">
      <c r="A881" s="22">
        <v>665</v>
      </c>
      <c r="B881" s="22" t="s">
        <v>900</v>
      </c>
      <c r="C881" s="22" t="s">
        <v>2125</v>
      </c>
      <c r="E881" s="22">
        <v>1</v>
      </c>
      <c r="F881" s="22">
        <v>892.5</v>
      </c>
      <c r="G881" s="30">
        <f>IF(OR(M881="",O881="",M881=0),"",(M881-O881)/M881)</f>
        <v>0.22016806722689075</v>
      </c>
      <c r="H881" s="22">
        <v>892.5</v>
      </c>
      <c r="I881" s="22">
        <v>1367</v>
      </c>
      <c r="J881" s="22">
        <v>1</v>
      </c>
      <c r="K881" s="22">
        <v>20</v>
      </c>
      <c r="L881" s="22">
        <v>18</v>
      </c>
      <c r="M881" s="22">
        <f>_xlfn.CEILING.MATH(F881*2)</f>
        <v>1785</v>
      </c>
      <c r="N881" s="22">
        <f>H881*1.18</f>
        <v>1053.1499999999999</v>
      </c>
      <c r="O881" s="22">
        <f>_xlfn.CEILING.MATH(F881*1.56)-1</f>
        <v>1392</v>
      </c>
    </row>
    <row r="882" spans="1:15" s="22" customFormat="1">
      <c r="A882" s="22">
        <v>666</v>
      </c>
      <c r="B882" s="22" t="s">
        <v>901</v>
      </c>
      <c r="C882" s="22" t="s">
        <v>2126</v>
      </c>
      <c r="E882" s="22">
        <v>1</v>
      </c>
      <c r="F882" s="22">
        <v>945</v>
      </c>
      <c r="G882" s="30">
        <f>IF(OR(M882="",O882="",M882=0),"",(M882-O882)/M882)</f>
        <v>0.22010582010582011</v>
      </c>
      <c r="H882" s="22">
        <v>945</v>
      </c>
      <c r="I882" s="22">
        <v>3765</v>
      </c>
      <c r="J882" s="22">
        <v>1</v>
      </c>
      <c r="K882" s="22">
        <v>20</v>
      </c>
      <c r="L882" s="22">
        <v>18</v>
      </c>
      <c r="M882" s="22">
        <f>_xlfn.CEILING.MATH(F882*2)</f>
        <v>1890</v>
      </c>
      <c r="N882" s="22">
        <f>H882*1.18</f>
        <v>1115.0999999999999</v>
      </c>
      <c r="O882" s="22">
        <f>_xlfn.CEILING.MATH(F882*1.56)-1</f>
        <v>1474</v>
      </c>
    </row>
    <row r="883" spans="1:15" s="22" customFormat="1">
      <c r="A883" s="22">
        <v>667</v>
      </c>
      <c r="B883" s="22" t="s">
        <v>902</v>
      </c>
      <c r="C883" s="22" t="s">
        <v>903</v>
      </c>
      <c r="E883" s="22">
        <v>1</v>
      </c>
      <c r="F883" s="22">
        <v>4.7839999999999998</v>
      </c>
      <c r="G883" s="30">
        <f>IF(OR(M883="",O883="",M883=0),"",(M883-O883)/M883)</f>
        <v>0.3</v>
      </c>
      <c r="H883" s="22">
        <v>4.78</v>
      </c>
      <c r="I883" s="22">
        <v>0</v>
      </c>
      <c r="J883" s="22">
        <v>1</v>
      </c>
      <c r="K883" s="22">
        <v>1</v>
      </c>
      <c r="L883" s="22">
        <v>18</v>
      </c>
      <c r="M883" s="22">
        <f>_xlfn.CEILING.MATH(F883*2)</f>
        <v>10</v>
      </c>
      <c r="N883" s="22">
        <f>H883*1.18</f>
        <v>5.6403999999999996</v>
      </c>
      <c r="O883" s="22">
        <f>_xlfn.CEILING.MATH(F883*1.56)-1</f>
        <v>7</v>
      </c>
    </row>
    <row r="884" spans="1:15" s="22" customFormat="1">
      <c r="A884" s="22">
        <v>668</v>
      </c>
      <c r="B884" s="22" t="s">
        <v>904</v>
      </c>
      <c r="C884" s="22" t="s">
        <v>2127</v>
      </c>
      <c r="E884" s="22">
        <v>1</v>
      </c>
      <c r="F884" s="22">
        <v>148</v>
      </c>
      <c r="G884" s="30">
        <f>IF(OR(M884="",O884="",M884=0),"",(M884-O884)/M884)</f>
        <v>0.22297297297297297</v>
      </c>
      <c r="H884" s="22">
        <v>148</v>
      </c>
      <c r="I884" s="22">
        <v>0</v>
      </c>
      <c r="J884" s="22">
        <v>1</v>
      </c>
      <c r="K884" s="22">
        <v>20</v>
      </c>
      <c r="L884" s="22">
        <v>18</v>
      </c>
      <c r="M884" s="22">
        <f>_xlfn.CEILING.MATH(F884*2)</f>
        <v>296</v>
      </c>
      <c r="N884" s="22">
        <f>H884*1.18</f>
        <v>174.64</v>
      </c>
      <c r="O884" s="22">
        <f>_xlfn.CEILING.MATH(F884*1.56)-1</f>
        <v>230</v>
      </c>
    </row>
    <row r="885" spans="1:15" s="22" customFormat="1">
      <c r="A885" s="22">
        <v>669</v>
      </c>
      <c r="B885" s="22" t="s">
        <v>2128</v>
      </c>
      <c r="C885" s="22" t="s">
        <v>2129</v>
      </c>
      <c r="E885" s="22">
        <v>1</v>
      </c>
      <c r="F885" s="22">
        <v>111</v>
      </c>
      <c r="G885" s="30">
        <f>IF(OR(M885="",O885="",M885=0),"",(M885-O885)/M885)</f>
        <v>0.22072072072072071</v>
      </c>
      <c r="H885" s="22">
        <v>111</v>
      </c>
      <c r="I885" s="22">
        <v>1124</v>
      </c>
      <c r="J885" s="22">
        <v>1</v>
      </c>
      <c r="K885" s="22">
        <v>40</v>
      </c>
      <c r="L885" s="22">
        <v>18</v>
      </c>
      <c r="M885" s="22">
        <f>_xlfn.CEILING.MATH(F885*2)</f>
        <v>222</v>
      </c>
      <c r="N885" s="22">
        <f>H885*1.18</f>
        <v>130.97999999999999</v>
      </c>
      <c r="O885" s="22">
        <f>_xlfn.CEILING.MATH(F885*1.56)-1</f>
        <v>173</v>
      </c>
    </row>
    <row r="886" spans="1:15" s="22" customFormat="1">
      <c r="A886" s="22">
        <v>670</v>
      </c>
      <c r="B886" s="22" t="s">
        <v>905</v>
      </c>
      <c r="C886" s="22" t="s">
        <v>2130</v>
      </c>
      <c r="E886" s="22">
        <v>1</v>
      </c>
      <c r="F886" s="22">
        <v>121.5</v>
      </c>
      <c r="G886" s="30">
        <f>IF(OR(M886="",O886="",M886=0),"",(M886-O886)/M886)</f>
        <v>0.22222222222222221</v>
      </c>
      <c r="H886" s="22">
        <v>121.5</v>
      </c>
      <c r="I886" s="22">
        <v>2048</v>
      </c>
      <c r="J886" s="22">
        <v>1</v>
      </c>
      <c r="K886" s="22">
        <v>30</v>
      </c>
      <c r="L886" s="22">
        <v>18</v>
      </c>
      <c r="M886" s="22">
        <f>_xlfn.CEILING.MATH(F886*2)</f>
        <v>243</v>
      </c>
      <c r="N886" s="22">
        <f>H886*1.18</f>
        <v>143.37</v>
      </c>
      <c r="O886" s="22">
        <f>_xlfn.CEILING.MATH(F886*1.56)-1</f>
        <v>189</v>
      </c>
    </row>
    <row r="887" spans="1:15" s="22" customFormat="1">
      <c r="A887" s="22">
        <v>671</v>
      </c>
      <c r="B887" s="22" t="s">
        <v>906</v>
      </c>
      <c r="C887" s="22" t="s">
        <v>2131</v>
      </c>
      <c r="E887" s="22">
        <v>1</v>
      </c>
      <c r="F887" s="22">
        <v>121.5</v>
      </c>
      <c r="G887" s="30">
        <f>IF(OR(M887="",O887="",M887=0),"",(M887-O887)/M887)</f>
        <v>0.22222222222222221</v>
      </c>
      <c r="H887" s="22">
        <v>121.5</v>
      </c>
      <c r="I887" s="22">
        <v>1178</v>
      </c>
      <c r="J887" s="22">
        <v>1</v>
      </c>
      <c r="K887" s="22">
        <v>30</v>
      </c>
      <c r="L887" s="22">
        <v>18</v>
      </c>
      <c r="M887" s="22">
        <f>_xlfn.CEILING.MATH(F887*2)</f>
        <v>243</v>
      </c>
      <c r="N887" s="22">
        <f>H887*1.18</f>
        <v>143.37</v>
      </c>
      <c r="O887" s="22">
        <f>_xlfn.CEILING.MATH(F887*1.56)-1</f>
        <v>189</v>
      </c>
    </row>
    <row r="888" spans="1:15" s="22" customFormat="1">
      <c r="A888" s="22">
        <v>672</v>
      </c>
      <c r="B888" s="22" t="s">
        <v>907</v>
      </c>
      <c r="C888" s="22" t="s">
        <v>2132</v>
      </c>
      <c r="E888" s="22">
        <v>1</v>
      </c>
      <c r="F888" s="22">
        <v>100.5</v>
      </c>
      <c r="G888" s="30">
        <f>IF(OR(M888="",O888="",M888=0),"",(M888-O888)/M888)</f>
        <v>0.22388059701492538</v>
      </c>
      <c r="H888" s="22">
        <v>100.5</v>
      </c>
      <c r="I888" s="22">
        <v>3</v>
      </c>
      <c r="J888" s="22">
        <v>6</v>
      </c>
      <c r="K888" s="22">
        <v>36</v>
      </c>
      <c r="L888" s="22">
        <v>18</v>
      </c>
      <c r="M888" s="22">
        <f>_xlfn.CEILING.MATH(F888*2)</f>
        <v>201</v>
      </c>
      <c r="N888" s="22">
        <f>H888*1.18</f>
        <v>118.58999999999999</v>
      </c>
      <c r="O888" s="22">
        <f>_xlfn.CEILING.MATH(F888*1.56)-1</f>
        <v>156</v>
      </c>
    </row>
    <row r="889" spans="1:15" s="22" customFormat="1">
      <c r="A889" s="22">
        <v>673</v>
      </c>
      <c r="B889" s="22" t="s">
        <v>908</v>
      </c>
      <c r="C889" s="22" t="s">
        <v>2133</v>
      </c>
      <c r="E889" s="22">
        <v>1</v>
      </c>
      <c r="F889" s="22">
        <v>129</v>
      </c>
      <c r="G889" s="30">
        <f>IF(OR(M889="",O889="",M889=0),"",(M889-O889)/M889)</f>
        <v>0.22093023255813954</v>
      </c>
      <c r="H889" s="22">
        <v>129</v>
      </c>
      <c r="I889" s="22">
        <v>138</v>
      </c>
      <c r="J889" s="22">
        <v>6</v>
      </c>
      <c r="K889" s="22">
        <v>36</v>
      </c>
      <c r="L889" s="22">
        <v>18</v>
      </c>
      <c r="M889" s="22">
        <f>_xlfn.CEILING.MATH(F889*2)</f>
        <v>258</v>
      </c>
      <c r="N889" s="22">
        <f>H889*1.18</f>
        <v>152.22</v>
      </c>
      <c r="O889" s="22">
        <f>_xlfn.CEILING.MATH(F889*1.56)-1</f>
        <v>201</v>
      </c>
    </row>
    <row r="890" spans="1:15" s="22" customFormat="1">
      <c r="A890" s="22">
        <v>674</v>
      </c>
      <c r="B890" s="22" t="s">
        <v>909</v>
      </c>
      <c r="C890" s="22" t="s">
        <v>2134</v>
      </c>
      <c r="E890" s="22">
        <v>1</v>
      </c>
      <c r="F890" s="22">
        <v>148.5</v>
      </c>
      <c r="G890" s="30">
        <f>IF(OR(M890="",O890="",M890=0),"",(M890-O890)/M890)</f>
        <v>0.22222222222222221</v>
      </c>
      <c r="H890" s="22">
        <v>148.5</v>
      </c>
      <c r="I890" s="22">
        <v>7</v>
      </c>
      <c r="J890" s="22">
        <v>6</v>
      </c>
      <c r="K890" s="22">
        <v>36</v>
      </c>
      <c r="L890" s="22">
        <v>18</v>
      </c>
      <c r="M890" s="22">
        <f>_xlfn.CEILING.MATH(F890*2)</f>
        <v>297</v>
      </c>
      <c r="N890" s="22">
        <f>H890*1.18</f>
        <v>175.23</v>
      </c>
      <c r="O890" s="22">
        <f>_xlfn.CEILING.MATH(F890*1.56)-1</f>
        <v>231</v>
      </c>
    </row>
    <row r="891" spans="1:15" s="22" customFormat="1">
      <c r="A891" s="22">
        <v>675</v>
      </c>
      <c r="B891" s="22" t="s">
        <v>910</v>
      </c>
      <c r="C891" s="22" t="s">
        <v>2135</v>
      </c>
      <c r="E891" s="22">
        <v>1</v>
      </c>
      <c r="F891" s="22">
        <v>252</v>
      </c>
      <c r="G891" s="30">
        <f>IF(OR(M891="",O891="",M891=0),"",(M891-O891)/M891)</f>
        <v>0.22023809523809523</v>
      </c>
      <c r="H891" s="22">
        <v>252</v>
      </c>
      <c r="I891" s="22">
        <v>2</v>
      </c>
      <c r="J891" s="22">
        <v>6</v>
      </c>
      <c r="K891" s="22">
        <v>12</v>
      </c>
      <c r="L891" s="22">
        <v>18</v>
      </c>
      <c r="M891" s="22">
        <f>_xlfn.CEILING.MATH(F891*2)</f>
        <v>504</v>
      </c>
      <c r="N891" s="22">
        <f>H891*1.18</f>
        <v>297.35999999999996</v>
      </c>
      <c r="O891" s="22">
        <f>_xlfn.CEILING.MATH(F891*1.56)-1</f>
        <v>393</v>
      </c>
    </row>
    <row r="892" spans="1:15" s="22" customFormat="1">
      <c r="A892" s="22">
        <v>676</v>
      </c>
      <c r="B892" s="22" t="s">
        <v>911</v>
      </c>
      <c r="C892" s="22" t="s">
        <v>2136</v>
      </c>
      <c r="E892" s="22">
        <v>1</v>
      </c>
      <c r="F892" s="22">
        <v>387</v>
      </c>
      <c r="G892" s="30">
        <f>IF(OR(M892="",O892="",M892=0),"",(M892-O892)/M892)</f>
        <v>0.22093023255813954</v>
      </c>
      <c r="H892" s="22">
        <v>387</v>
      </c>
      <c r="I892" s="22">
        <v>30</v>
      </c>
      <c r="J892" s="22">
        <v>2</v>
      </c>
      <c r="K892" s="22">
        <v>12</v>
      </c>
      <c r="L892" s="22">
        <v>18</v>
      </c>
      <c r="M892" s="22">
        <f>_xlfn.CEILING.MATH(F892*2)</f>
        <v>774</v>
      </c>
      <c r="N892" s="22">
        <f>H892*1.18</f>
        <v>456.65999999999997</v>
      </c>
      <c r="O892" s="22">
        <f>_xlfn.CEILING.MATH(F892*1.56)-1</f>
        <v>603</v>
      </c>
    </row>
    <row r="893" spans="1:15" s="22" customFormat="1">
      <c r="A893" s="22">
        <v>677</v>
      </c>
      <c r="B893" s="22" t="s">
        <v>912</v>
      </c>
      <c r="C893" s="22" t="s">
        <v>2137</v>
      </c>
      <c r="E893" s="22">
        <v>1</v>
      </c>
      <c r="F893" s="22">
        <v>217.5</v>
      </c>
      <c r="G893" s="30">
        <f>IF(OR(M893="",O893="",M893=0),"",(M893-O893)/M893)</f>
        <v>0.22068965517241379</v>
      </c>
      <c r="H893" s="22">
        <v>217.5</v>
      </c>
      <c r="I893" s="22">
        <v>1</v>
      </c>
      <c r="J893" s="22">
        <v>1</v>
      </c>
      <c r="K893" s="22">
        <v>20</v>
      </c>
      <c r="L893" s="22">
        <v>18</v>
      </c>
      <c r="M893" s="22">
        <f>_xlfn.CEILING.MATH(F893*2)</f>
        <v>435</v>
      </c>
      <c r="N893" s="22">
        <f>H893*1.18</f>
        <v>256.64999999999998</v>
      </c>
      <c r="O893" s="22">
        <f>_xlfn.CEILING.MATH(F893*1.56)-1</f>
        <v>339</v>
      </c>
    </row>
    <row r="894" spans="1:15" s="22" customFormat="1">
      <c r="A894" s="22">
        <v>678</v>
      </c>
      <c r="B894" s="22" t="s">
        <v>913</v>
      </c>
      <c r="C894" s="22" t="s">
        <v>2138</v>
      </c>
      <c r="E894" s="22">
        <v>1</v>
      </c>
      <c r="F894" s="22">
        <v>121.5</v>
      </c>
      <c r="G894" s="30">
        <f>IF(OR(M894="",O894="",M894=0),"",(M894-O894)/M894)</f>
        <v>0.22222222222222221</v>
      </c>
      <c r="H894" s="22">
        <v>121.5</v>
      </c>
      <c r="I894" s="22">
        <v>122</v>
      </c>
      <c r="J894" s="22">
        <v>6</v>
      </c>
      <c r="K894" s="22">
        <v>48</v>
      </c>
      <c r="L894" s="22">
        <v>18</v>
      </c>
      <c r="M894" s="22">
        <f>_xlfn.CEILING.MATH(F894*2)</f>
        <v>243</v>
      </c>
      <c r="N894" s="22">
        <f>H894*1.18</f>
        <v>143.37</v>
      </c>
      <c r="O894" s="22">
        <f>_xlfn.CEILING.MATH(F894*1.56)-1</f>
        <v>189</v>
      </c>
    </row>
    <row r="895" spans="1:15" s="22" customFormat="1">
      <c r="A895" s="22">
        <v>679</v>
      </c>
      <c r="B895" s="22" t="s">
        <v>914</v>
      </c>
      <c r="C895" s="22" t="s">
        <v>2139</v>
      </c>
      <c r="E895" s="22">
        <v>1</v>
      </c>
      <c r="F895" s="22">
        <v>169.5</v>
      </c>
      <c r="G895" s="30">
        <f>IF(OR(M895="",O895="",M895=0),"",(M895-O895)/M895)</f>
        <v>0.22123893805309736</v>
      </c>
      <c r="H895" s="22">
        <v>169.5</v>
      </c>
      <c r="I895" s="22">
        <v>63</v>
      </c>
      <c r="J895" s="22">
        <v>4</v>
      </c>
      <c r="K895" s="22">
        <v>36</v>
      </c>
      <c r="L895" s="22">
        <v>18</v>
      </c>
      <c r="M895" s="22">
        <f>_xlfn.CEILING.MATH(F895*2)</f>
        <v>339</v>
      </c>
      <c r="N895" s="22">
        <f>H895*1.18</f>
        <v>200.01</v>
      </c>
      <c r="O895" s="22">
        <f>_xlfn.CEILING.MATH(F895*1.56)-1</f>
        <v>264</v>
      </c>
    </row>
    <row r="896" spans="1:15" s="22" customFormat="1">
      <c r="A896" s="22">
        <v>680</v>
      </c>
      <c r="B896" s="22" t="s">
        <v>915</v>
      </c>
      <c r="C896" s="22" t="s">
        <v>2140</v>
      </c>
      <c r="E896" s="22">
        <v>1</v>
      </c>
      <c r="F896" s="22">
        <v>229.5</v>
      </c>
      <c r="G896" s="30">
        <f>IF(OR(M896="",O896="",M896=0),"",(M896-O896)/M896)</f>
        <v>0.22004357298474944</v>
      </c>
      <c r="H896" s="22">
        <v>229.5</v>
      </c>
      <c r="I896" s="22">
        <v>94</v>
      </c>
      <c r="J896" s="22">
        <v>2</v>
      </c>
      <c r="K896" s="22">
        <v>24</v>
      </c>
      <c r="L896" s="22">
        <v>18</v>
      </c>
      <c r="M896" s="22">
        <f>_xlfn.CEILING.MATH(F896*2)</f>
        <v>459</v>
      </c>
      <c r="N896" s="22">
        <f>H896*1.18</f>
        <v>270.81</v>
      </c>
      <c r="O896" s="22">
        <f>_xlfn.CEILING.MATH(F896*1.56)-1</f>
        <v>358</v>
      </c>
    </row>
    <row r="897" spans="1:15" s="22" customFormat="1">
      <c r="A897" s="22">
        <v>681</v>
      </c>
      <c r="B897" s="22" t="s">
        <v>916</v>
      </c>
      <c r="C897" s="22" t="s">
        <v>2141</v>
      </c>
      <c r="E897" s="22">
        <v>1</v>
      </c>
      <c r="F897" s="22">
        <v>1192</v>
      </c>
      <c r="G897" s="30">
        <f>IF(OR(M897="",O897="",M897=0),"",(M897-O897)/M897)</f>
        <v>0.22021812080536912</v>
      </c>
      <c r="H897" s="22">
        <v>1192</v>
      </c>
      <c r="I897" s="22">
        <v>0</v>
      </c>
      <c r="L897" s="22">
        <v>18</v>
      </c>
      <c r="M897" s="22">
        <f>_xlfn.CEILING.MATH(F897*2)</f>
        <v>2384</v>
      </c>
      <c r="N897" s="22">
        <f>H897*1.18</f>
        <v>1406.56</v>
      </c>
      <c r="O897" s="22">
        <f>_xlfn.CEILING.MATH(F897*1.56)-1</f>
        <v>1859</v>
      </c>
    </row>
    <row r="898" spans="1:15" s="22" customFormat="1">
      <c r="A898" s="22">
        <v>682</v>
      </c>
      <c r="B898" s="22" t="s">
        <v>917</v>
      </c>
      <c r="C898" s="22" t="s">
        <v>2142</v>
      </c>
      <c r="E898" s="22">
        <v>1</v>
      </c>
      <c r="F898" s="22">
        <v>5073.5</v>
      </c>
      <c r="G898" s="30">
        <f>IF(OR(M898="",O898="",M898=0),"",(M898-O898)/M898)</f>
        <v>0.22006504385532669</v>
      </c>
      <c r="H898" s="22">
        <v>5073.5</v>
      </c>
      <c r="I898" s="22">
        <v>0</v>
      </c>
      <c r="J898" s="22">
        <v>0</v>
      </c>
      <c r="K898" s="22">
        <v>0</v>
      </c>
      <c r="L898" s="22">
        <v>18</v>
      </c>
      <c r="M898" s="22">
        <f>_xlfn.CEILING.MATH(F898*2)</f>
        <v>10147</v>
      </c>
      <c r="N898" s="22">
        <f>H898*1.18</f>
        <v>5986.73</v>
      </c>
      <c r="O898" s="22">
        <f>_xlfn.CEILING.MATH(F898*1.56)-1</f>
        <v>7914</v>
      </c>
    </row>
    <row r="899" spans="1:15" s="22" customFormat="1">
      <c r="A899" s="22">
        <v>683</v>
      </c>
      <c r="B899" s="22" t="s">
        <v>918</v>
      </c>
      <c r="C899" s="22" t="s">
        <v>2143</v>
      </c>
      <c r="E899" s="22">
        <v>1</v>
      </c>
      <c r="F899" s="22">
        <v>3617.5</v>
      </c>
      <c r="G899" s="30">
        <f>IF(OR(M899="",O899="",M899=0),"",(M899-O899)/M899)</f>
        <v>0.22004146510020733</v>
      </c>
      <c r="H899" s="22">
        <v>3617.5</v>
      </c>
      <c r="I899" s="22">
        <v>0</v>
      </c>
      <c r="L899" s="22">
        <v>18</v>
      </c>
      <c r="M899" s="22">
        <f>_xlfn.CEILING.MATH(F899*2)</f>
        <v>7235</v>
      </c>
      <c r="N899" s="22">
        <f>H899*1.18</f>
        <v>4268.6499999999996</v>
      </c>
      <c r="O899" s="22">
        <f>_xlfn.CEILING.MATH(F899*1.56)-1</f>
        <v>5643</v>
      </c>
    </row>
    <row r="900" spans="1:15" s="22" customFormat="1">
      <c r="A900" s="22">
        <v>684</v>
      </c>
      <c r="B900" s="22" t="s">
        <v>919</v>
      </c>
      <c r="C900" s="22" t="s">
        <v>2144</v>
      </c>
      <c r="E900" s="22">
        <v>1</v>
      </c>
      <c r="F900" s="22">
        <v>1945.5</v>
      </c>
      <c r="G900" s="30">
        <f>IF(OR(M900="",O900="",M900=0),"",(M900-O900)/M900)</f>
        <v>0.22025186327422255</v>
      </c>
      <c r="H900" s="22">
        <v>1945.5</v>
      </c>
      <c r="I900" s="22">
        <v>0</v>
      </c>
      <c r="J900" s="22">
        <v>1</v>
      </c>
      <c r="L900" s="22">
        <v>18</v>
      </c>
      <c r="M900" s="22">
        <f>_xlfn.CEILING.MATH(F900*2)</f>
        <v>3891</v>
      </c>
      <c r="N900" s="22">
        <f>H900*1.18</f>
        <v>2295.69</v>
      </c>
      <c r="O900" s="22">
        <f>_xlfn.CEILING.MATH(F900*1.56)-1</f>
        <v>3034</v>
      </c>
    </row>
    <row r="901" spans="1:15" s="22" customFormat="1">
      <c r="A901" s="22">
        <v>685</v>
      </c>
      <c r="B901" s="22" t="s">
        <v>920</v>
      </c>
      <c r="C901" s="22" t="s">
        <v>2145</v>
      </c>
      <c r="E901" s="22">
        <v>1</v>
      </c>
      <c r="F901" s="22">
        <v>9441.5</v>
      </c>
      <c r="G901" s="30">
        <f>IF(OR(M901="",O901="",M901=0),"",(M901-O901)/M901)</f>
        <v>0.2200391886882381</v>
      </c>
      <c r="H901" s="22">
        <v>9441.5</v>
      </c>
      <c r="I901" s="22">
        <v>0</v>
      </c>
      <c r="J901" s="22">
        <v>1</v>
      </c>
      <c r="L901" s="22">
        <v>18</v>
      </c>
      <c r="M901" s="22">
        <f>_xlfn.CEILING.MATH(F901*2)</f>
        <v>18883</v>
      </c>
      <c r="N901" s="22">
        <f>H901*1.18</f>
        <v>11140.97</v>
      </c>
      <c r="O901" s="22">
        <f>_xlfn.CEILING.MATH(F901*1.56)-1</f>
        <v>14728</v>
      </c>
    </row>
    <row r="902" spans="1:15" s="22" customFormat="1">
      <c r="A902" s="22">
        <v>686</v>
      </c>
      <c r="B902" s="22" t="s">
        <v>921</v>
      </c>
      <c r="C902" s="22" t="s">
        <v>2146</v>
      </c>
      <c r="E902" s="22">
        <v>1</v>
      </c>
      <c r="F902" s="22">
        <v>21816</v>
      </c>
      <c r="G902" s="30">
        <f>IF(OR(M902="",O902="",M902=0),"",(M902-O902)/M902)</f>
        <v>0.22002200220022003</v>
      </c>
      <c r="H902" s="22">
        <v>21816</v>
      </c>
      <c r="I902" s="22">
        <v>0</v>
      </c>
      <c r="J902" s="22">
        <v>1</v>
      </c>
      <c r="L902" s="22">
        <v>18</v>
      </c>
      <c r="M902" s="22">
        <f>_xlfn.CEILING.MATH(F902*2)</f>
        <v>43632</v>
      </c>
      <c r="N902" s="22">
        <f>H902*1.18</f>
        <v>25742.879999999997</v>
      </c>
      <c r="O902" s="22">
        <f>_xlfn.CEILING.MATH(F902*1.56)-1</f>
        <v>34032</v>
      </c>
    </row>
    <row r="903" spans="1:15" s="22" customFormat="1">
      <c r="A903" s="22">
        <v>687</v>
      </c>
      <c r="B903" s="22" t="s">
        <v>922</v>
      </c>
      <c r="C903" s="22" t="s">
        <v>2147</v>
      </c>
      <c r="E903" s="22">
        <v>1</v>
      </c>
      <c r="F903" s="22">
        <v>3227</v>
      </c>
      <c r="G903" s="30">
        <f>IF(OR(M903="",O903="",M903=0),"",(M903-O903)/M903)</f>
        <v>0.22001859312054539</v>
      </c>
      <c r="H903" s="22">
        <v>3227</v>
      </c>
      <c r="I903" s="22">
        <v>0</v>
      </c>
      <c r="J903" s="22">
        <v>1</v>
      </c>
      <c r="K903" s="22">
        <v>40</v>
      </c>
      <c r="L903" s="22">
        <v>18</v>
      </c>
      <c r="M903" s="22">
        <f>_xlfn.CEILING.MATH(F903*2)</f>
        <v>6454</v>
      </c>
      <c r="N903" s="22">
        <f>H903*1.18</f>
        <v>3807.8599999999997</v>
      </c>
      <c r="O903" s="22">
        <f>_xlfn.CEILING.MATH(F903*1.56)-1</f>
        <v>5034</v>
      </c>
    </row>
    <row r="904" spans="1:15" s="22" customFormat="1">
      <c r="A904" s="22">
        <v>688</v>
      </c>
      <c r="B904" s="22" t="s">
        <v>923</v>
      </c>
      <c r="C904" s="22" t="s">
        <v>2148</v>
      </c>
      <c r="E904" s="22">
        <v>1</v>
      </c>
      <c r="F904" s="22">
        <v>91.5</v>
      </c>
      <c r="G904" s="30">
        <f>IF(OR(M904="",O904="",M904=0),"",(M904-O904)/M904)</f>
        <v>0.22404371584699453</v>
      </c>
      <c r="H904" s="22">
        <v>91.5</v>
      </c>
      <c r="I904" s="22">
        <v>0</v>
      </c>
      <c r="J904" s="22">
        <v>1</v>
      </c>
      <c r="K904" s="22">
        <v>50</v>
      </c>
      <c r="L904" s="22">
        <v>18</v>
      </c>
      <c r="M904" s="22">
        <f>_xlfn.CEILING.MATH(F904*2)</f>
        <v>183</v>
      </c>
      <c r="N904" s="22">
        <f>H904*1.18</f>
        <v>107.97</v>
      </c>
      <c r="O904" s="22">
        <f>_xlfn.CEILING.MATH(F904*1.56)-1</f>
        <v>142</v>
      </c>
    </row>
    <row r="905" spans="1:15" s="22" customFormat="1">
      <c r="A905" s="22">
        <v>689</v>
      </c>
      <c r="B905" s="22" t="s">
        <v>924</v>
      </c>
      <c r="C905" s="22" t="s">
        <v>2149</v>
      </c>
      <c r="E905" s="22">
        <v>1</v>
      </c>
      <c r="F905" s="22">
        <v>97.5</v>
      </c>
      <c r="G905" s="30">
        <f>IF(OR(M905="",O905="",M905=0),"",(M905-O905)/M905)</f>
        <v>0.22051282051282051</v>
      </c>
      <c r="H905" s="22">
        <v>97.5</v>
      </c>
      <c r="I905" s="22">
        <v>0</v>
      </c>
      <c r="J905" s="22">
        <v>10</v>
      </c>
      <c r="K905" s="22">
        <v>50</v>
      </c>
      <c r="L905" s="22">
        <v>18</v>
      </c>
      <c r="M905" s="22">
        <f>_xlfn.CEILING.MATH(F905*2)</f>
        <v>195</v>
      </c>
      <c r="N905" s="22">
        <f>H905*1.18</f>
        <v>115.05</v>
      </c>
      <c r="O905" s="22">
        <f>_xlfn.CEILING.MATH(F905*1.56)-1</f>
        <v>152</v>
      </c>
    </row>
    <row r="906" spans="1:15" s="22" customFormat="1">
      <c r="A906" s="22">
        <v>690</v>
      </c>
      <c r="B906" s="22" t="s">
        <v>925</v>
      </c>
      <c r="C906" s="22" t="s">
        <v>2150</v>
      </c>
      <c r="E906" s="22">
        <v>1</v>
      </c>
      <c r="F906" s="22">
        <v>81</v>
      </c>
      <c r="G906" s="30">
        <f>IF(OR(M906="",O906="",M906=0),"",(M906-O906)/M906)</f>
        <v>0.22222222222222221</v>
      </c>
      <c r="H906" s="22">
        <v>81</v>
      </c>
      <c r="I906" s="22">
        <v>396</v>
      </c>
      <c r="J906" s="22">
        <v>10</v>
      </c>
      <c r="K906" s="22">
        <v>100</v>
      </c>
      <c r="L906" s="22">
        <v>18</v>
      </c>
      <c r="M906" s="22">
        <f>_xlfn.CEILING.MATH(F906*2)</f>
        <v>162</v>
      </c>
      <c r="N906" s="22">
        <f>H906*1.18</f>
        <v>95.58</v>
      </c>
      <c r="O906" s="22">
        <f>_xlfn.CEILING.MATH(F906*1.56)-1</f>
        <v>126</v>
      </c>
    </row>
    <row r="907" spans="1:15" s="22" customFormat="1">
      <c r="A907" s="22">
        <v>691</v>
      </c>
      <c r="B907" s="22" t="s">
        <v>926</v>
      </c>
      <c r="C907" s="22" t="s">
        <v>2151</v>
      </c>
      <c r="E907" s="22">
        <v>1</v>
      </c>
      <c r="F907" s="22">
        <v>72</v>
      </c>
      <c r="G907" s="30">
        <f>IF(OR(M907="",O907="",M907=0),"",(M907-O907)/M907)</f>
        <v>0.22222222222222221</v>
      </c>
      <c r="H907" s="22">
        <v>72</v>
      </c>
      <c r="I907" s="22">
        <v>993</v>
      </c>
      <c r="J907" s="22">
        <v>10</v>
      </c>
      <c r="K907" s="22">
        <v>100</v>
      </c>
      <c r="L907" s="22">
        <v>18</v>
      </c>
      <c r="M907" s="22">
        <f>_xlfn.CEILING.MATH(F907*2)</f>
        <v>144</v>
      </c>
      <c r="N907" s="22">
        <f>H907*1.18</f>
        <v>84.96</v>
      </c>
      <c r="O907" s="22">
        <f>_xlfn.CEILING.MATH(F907*1.56)-1</f>
        <v>112</v>
      </c>
    </row>
    <row r="908" spans="1:15" s="22" customFormat="1">
      <c r="A908" s="22">
        <v>692</v>
      </c>
      <c r="B908" s="22" t="s">
        <v>927</v>
      </c>
      <c r="C908" s="22" t="s">
        <v>2152</v>
      </c>
      <c r="E908" s="22">
        <v>1</v>
      </c>
      <c r="F908" s="22">
        <v>93</v>
      </c>
      <c r="G908" s="30">
        <f>IF(OR(M908="",O908="",M908=0),"",(M908-O908)/M908)</f>
        <v>0.22043010752688172</v>
      </c>
      <c r="H908" s="22">
        <v>93</v>
      </c>
      <c r="I908" s="22">
        <v>0</v>
      </c>
      <c r="J908" s="22">
        <v>10</v>
      </c>
      <c r="K908" s="22">
        <v>50</v>
      </c>
      <c r="L908" s="22">
        <v>18</v>
      </c>
      <c r="M908" s="22">
        <f>_xlfn.CEILING.MATH(F908*2)</f>
        <v>186</v>
      </c>
      <c r="N908" s="22">
        <f>H908*1.18</f>
        <v>109.74</v>
      </c>
      <c r="O908" s="22">
        <f>_xlfn.CEILING.MATH(F908*1.56)-1</f>
        <v>145</v>
      </c>
    </row>
    <row r="909" spans="1:15" s="22" customFormat="1">
      <c r="A909" s="22">
        <v>693</v>
      </c>
      <c r="B909" s="22" t="s">
        <v>928</v>
      </c>
      <c r="C909" s="22" t="s">
        <v>2153</v>
      </c>
      <c r="E909" s="22">
        <v>1</v>
      </c>
      <c r="F909" s="22">
        <v>121.5</v>
      </c>
      <c r="G909" s="30">
        <f>IF(OR(M909="",O909="",M909=0),"",(M909-O909)/M909)</f>
        <v>0.22222222222222221</v>
      </c>
      <c r="H909" s="22">
        <v>121.5</v>
      </c>
      <c r="I909" s="22">
        <v>504</v>
      </c>
      <c r="J909" s="22">
        <v>6</v>
      </c>
      <c r="K909" s="22">
        <v>72</v>
      </c>
      <c r="L909" s="22">
        <v>18</v>
      </c>
      <c r="M909" s="22">
        <f>_xlfn.CEILING.MATH(F909*2)</f>
        <v>243</v>
      </c>
      <c r="N909" s="22">
        <f>H909*1.18</f>
        <v>143.37</v>
      </c>
      <c r="O909" s="22">
        <f>_xlfn.CEILING.MATH(F909*1.56)-1</f>
        <v>189</v>
      </c>
    </row>
    <row r="910" spans="1:15" s="22" customFormat="1">
      <c r="A910" s="22">
        <v>694</v>
      </c>
      <c r="B910" s="22" t="s">
        <v>929</v>
      </c>
      <c r="C910" s="22" t="s">
        <v>2154</v>
      </c>
      <c r="E910" s="22">
        <v>1</v>
      </c>
      <c r="F910" s="22">
        <v>135</v>
      </c>
      <c r="G910" s="30">
        <f>IF(OR(M910="",O910="",M910=0),"",(M910-O910)/M910)</f>
        <v>0.22222222222222221</v>
      </c>
      <c r="H910" s="22">
        <v>135</v>
      </c>
      <c r="I910" s="22">
        <v>72</v>
      </c>
      <c r="J910" s="22">
        <v>6</v>
      </c>
      <c r="K910" s="22">
        <v>60</v>
      </c>
      <c r="L910" s="22">
        <v>18</v>
      </c>
      <c r="M910" s="22">
        <f>_xlfn.CEILING.MATH(F910*2)</f>
        <v>270</v>
      </c>
      <c r="N910" s="22">
        <f>H910*1.18</f>
        <v>159.29999999999998</v>
      </c>
      <c r="O910" s="22">
        <f>_xlfn.CEILING.MATH(F910*1.56)-1</f>
        <v>210</v>
      </c>
    </row>
    <row r="911" spans="1:15" s="22" customFormat="1">
      <c r="A911" s="22">
        <v>695</v>
      </c>
      <c r="B911" s="22" t="s">
        <v>930</v>
      </c>
      <c r="C911" s="22" t="s">
        <v>2155</v>
      </c>
      <c r="E911" s="22">
        <v>1</v>
      </c>
      <c r="F911" s="22">
        <v>126</v>
      </c>
      <c r="G911" s="30">
        <f>IF(OR(M911="",O911="",M911=0),"",(M911-O911)/M911)</f>
        <v>0.22222222222222221</v>
      </c>
      <c r="H911" s="22">
        <v>126</v>
      </c>
      <c r="I911" s="22">
        <v>247</v>
      </c>
      <c r="J911" s="22">
        <v>6</v>
      </c>
      <c r="K911" s="22">
        <v>60</v>
      </c>
      <c r="L911" s="22">
        <v>18</v>
      </c>
      <c r="M911" s="22">
        <f>_xlfn.CEILING.MATH(F911*2)</f>
        <v>252</v>
      </c>
      <c r="N911" s="22">
        <f>H911*1.18</f>
        <v>148.67999999999998</v>
      </c>
      <c r="O911" s="22">
        <f>_xlfn.CEILING.MATH(F911*1.56)-1</f>
        <v>196</v>
      </c>
    </row>
    <row r="912" spans="1:15" s="22" customFormat="1">
      <c r="A912" s="22">
        <v>696</v>
      </c>
      <c r="B912" s="22" t="s">
        <v>933</v>
      </c>
      <c r="C912" s="22" t="s">
        <v>2156</v>
      </c>
      <c r="E912" s="22">
        <v>1</v>
      </c>
      <c r="F912" s="22">
        <v>810</v>
      </c>
      <c r="G912" s="30">
        <f>IF(OR(M912="",O912="",M912=0),"",(M912-O912)/M912)</f>
        <v>0.22037037037037038</v>
      </c>
      <c r="H912" s="22">
        <v>810</v>
      </c>
      <c r="I912" s="22">
        <v>36</v>
      </c>
      <c r="J912" s="22">
        <v>1</v>
      </c>
      <c r="K912" s="22">
        <v>12</v>
      </c>
      <c r="L912" s="22">
        <v>18</v>
      </c>
      <c r="M912" s="22">
        <f>_xlfn.CEILING.MATH(F912*2)</f>
        <v>1620</v>
      </c>
      <c r="N912" s="22">
        <f>H912*1.18</f>
        <v>955.8</v>
      </c>
      <c r="O912" s="22">
        <f>_xlfn.CEILING.MATH(F912*1.56)-1</f>
        <v>1263</v>
      </c>
    </row>
    <row r="913" spans="1:15" s="22" customFormat="1">
      <c r="A913" s="22">
        <v>697</v>
      </c>
      <c r="B913" s="22" t="s">
        <v>934</v>
      </c>
      <c r="C913" s="22" t="s">
        <v>2157</v>
      </c>
      <c r="E913" s="22">
        <v>1</v>
      </c>
      <c r="F913" s="22">
        <v>1200</v>
      </c>
      <c r="G913" s="30">
        <f>IF(OR(M913="",O913="",M913=0),"",(M913-O913)/M913)</f>
        <v>0.22041666666666668</v>
      </c>
      <c r="H913" s="22">
        <v>1200</v>
      </c>
      <c r="I913" s="22">
        <v>75</v>
      </c>
      <c r="J913" s="22">
        <v>1</v>
      </c>
      <c r="K913" s="22">
        <v>8</v>
      </c>
      <c r="L913" s="22">
        <v>18</v>
      </c>
      <c r="M913" s="22">
        <f>_xlfn.CEILING.MATH(F913*2)</f>
        <v>2400</v>
      </c>
      <c r="N913" s="22">
        <f>H913*1.18</f>
        <v>1416</v>
      </c>
      <c r="O913" s="22">
        <f>_xlfn.CEILING.MATH(F913*1.56)-1</f>
        <v>1871</v>
      </c>
    </row>
    <row r="914" spans="1:15" s="22" customFormat="1">
      <c r="A914" s="22">
        <v>698</v>
      </c>
      <c r="B914" s="22" t="s">
        <v>935</v>
      </c>
      <c r="C914" s="22" t="s">
        <v>2158</v>
      </c>
      <c r="E914" s="22">
        <v>1</v>
      </c>
      <c r="F914" s="22">
        <v>2580</v>
      </c>
      <c r="G914" s="30">
        <f>IF(OR(M914="",O914="",M914=0),"",(M914-O914)/M914)</f>
        <v>0.22015503875968992</v>
      </c>
      <c r="H914" s="22">
        <v>2580</v>
      </c>
      <c r="I914" s="22">
        <v>31</v>
      </c>
      <c r="J914" s="22">
        <v>1</v>
      </c>
      <c r="K914" s="22">
        <v>2</v>
      </c>
      <c r="L914" s="22">
        <v>18</v>
      </c>
      <c r="M914" s="22">
        <f>_xlfn.CEILING.MATH(F914*2)</f>
        <v>5160</v>
      </c>
      <c r="N914" s="22">
        <f>H914*1.18</f>
        <v>3044.3999999999996</v>
      </c>
      <c r="O914" s="22">
        <f>_xlfn.CEILING.MATH(F914*1.56)-1</f>
        <v>4024</v>
      </c>
    </row>
    <row r="915" spans="1:15" s="22" customFormat="1">
      <c r="A915" s="22">
        <v>699</v>
      </c>
      <c r="B915" s="22" t="s">
        <v>936</v>
      </c>
      <c r="C915" s="22" t="s">
        <v>2159</v>
      </c>
      <c r="E915" s="22">
        <v>1</v>
      </c>
      <c r="F915" s="22">
        <v>4500</v>
      </c>
      <c r="G915" s="30">
        <f>IF(OR(M915="",O915="",M915=0),"",(M915-O915)/M915)</f>
        <v>0.22011111111111112</v>
      </c>
      <c r="H915" s="22">
        <v>4500</v>
      </c>
      <c r="I915" s="22">
        <v>8</v>
      </c>
      <c r="J915" s="22">
        <v>1</v>
      </c>
      <c r="K915" s="22">
        <v>1</v>
      </c>
      <c r="L915" s="22">
        <v>18</v>
      </c>
      <c r="M915" s="22">
        <f>_xlfn.CEILING.MATH(F915*2)</f>
        <v>9000</v>
      </c>
      <c r="N915" s="22">
        <f>H915*1.18</f>
        <v>5310</v>
      </c>
      <c r="O915" s="22">
        <f>_xlfn.CEILING.MATH(F915*1.56)-1</f>
        <v>7019</v>
      </c>
    </row>
    <row r="916" spans="1:15" s="22" customFormat="1">
      <c r="A916" s="22">
        <v>700</v>
      </c>
      <c r="B916" s="22" t="s">
        <v>931</v>
      </c>
      <c r="C916" s="22" t="s">
        <v>2160</v>
      </c>
      <c r="E916" s="22">
        <v>1</v>
      </c>
      <c r="F916" s="22">
        <v>345</v>
      </c>
      <c r="G916" s="30">
        <f>IF(OR(M916="",O916="",M916=0),"",(M916-O916)/M916)</f>
        <v>0.22028985507246376</v>
      </c>
      <c r="H916" s="22">
        <v>345</v>
      </c>
      <c r="I916" s="22">
        <v>66</v>
      </c>
      <c r="J916" s="22">
        <v>1</v>
      </c>
      <c r="K916" s="22">
        <v>20</v>
      </c>
      <c r="L916" s="22">
        <v>18</v>
      </c>
      <c r="M916" s="22">
        <f>_xlfn.CEILING.MATH(F916*2)</f>
        <v>690</v>
      </c>
      <c r="N916" s="22">
        <f>H916*1.18</f>
        <v>407.09999999999997</v>
      </c>
      <c r="O916" s="22">
        <f>_xlfn.CEILING.MATH(F916*1.56)-1</f>
        <v>538</v>
      </c>
    </row>
    <row r="917" spans="1:15" s="22" customFormat="1">
      <c r="A917" s="22">
        <v>701</v>
      </c>
      <c r="B917" s="22" t="s">
        <v>932</v>
      </c>
      <c r="C917" s="22" t="s">
        <v>2161</v>
      </c>
      <c r="E917" s="22">
        <v>1</v>
      </c>
      <c r="F917" s="22">
        <v>480</v>
      </c>
      <c r="G917" s="30">
        <f>IF(OR(M917="",O917="",M917=0),"",(M917-O917)/M917)</f>
        <v>0.22083333333333333</v>
      </c>
      <c r="H917" s="22">
        <v>480</v>
      </c>
      <c r="I917" s="22">
        <v>8</v>
      </c>
      <c r="J917" s="22">
        <v>1</v>
      </c>
      <c r="K917" s="22">
        <v>16</v>
      </c>
      <c r="L917" s="22">
        <v>18</v>
      </c>
      <c r="M917" s="22">
        <f>_xlfn.CEILING.MATH(F917*2)</f>
        <v>960</v>
      </c>
      <c r="N917" s="22">
        <f>H917*1.18</f>
        <v>566.4</v>
      </c>
      <c r="O917" s="22">
        <f>_xlfn.CEILING.MATH(F917*1.56)-1</f>
        <v>748</v>
      </c>
    </row>
    <row r="918" spans="1:15" s="22" customFormat="1">
      <c r="A918" s="22">
        <v>702</v>
      </c>
      <c r="B918" s="22" t="s">
        <v>937</v>
      </c>
      <c r="C918" s="22" t="s">
        <v>2162</v>
      </c>
      <c r="E918" s="22">
        <v>1</v>
      </c>
      <c r="F918" s="22">
        <v>168</v>
      </c>
      <c r="G918" s="30">
        <f>IF(OR(M918="",O918="",M918=0),"",(M918-O918)/M918)</f>
        <v>0.22023809523809523</v>
      </c>
      <c r="H918" s="22">
        <v>168</v>
      </c>
      <c r="I918" s="22">
        <v>201</v>
      </c>
      <c r="J918" s="22">
        <v>12</v>
      </c>
      <c r="K918" s="22">
        <v>24</v>
      </c>
      <c r="L918" s="22">
        <v>18</v>
      </c>
      <c r="M918" s="22">
        <f>_xlfn.CEILING.MATH(F918*2)</f>
        <v>336</v>
      </c>
      <c r="N918" s="22">
        <f>H918*1.18</f>
        <v>198.23999999999998</v>
      </c>
      <c r="O918" s="22">
        <f>_xlfn.CEILING.MATH(F918*1.56)-1</f>
        <v>262</v>
      </c>
    </row>
    <row r="919" spans="1:15" s="22" customFormat="1">
      <c r="A919" s="22">
        <v>703</v>
      </c>
      <c r="B919" s="22" t="s">
        <v>938</v>
      </c>
      <c r="C919" s="22" t="s">
        <v>2163</v>
      </c>
      <c r="E919" s="22">
        <v>1</v>
      </c>
      <c r="F919" s="22">
        <v>222</v>
      </c>
      <c r="G919" s="30">
        <f>IF(OR(M919="",O919="",M919=0),"",(M919-O919)/M919)</f>
        <v>0.22072072072072071</v>
      </c>
      <c r="H919" s="22">
        <v>222</v>
      </c>
      <c r="I919" s="22">
        <v>1884</v>
      </c>
      <c r="J919" s="22">
        <v>10</v>
      </c>
      <c r="K919" s="22">
        <v>20</v>
      </c>
      <c r="L919" s="22">
        <v>18</v>
      </c>
      <c r="M919" s="22">
        <f>_xlfn.CEILING.MATH(F919*2)</f>
        <v>444</v>
      </c>
      <c r="N919" s="22">
        <f>H919*1.18</f>
        <v>261.95999999999998</v>
      </c>
      <c r="O919" s="22">
        <f>_xlfn.CEILING.MATH(F919*1.56)-1</f>
        <v>346</v>
      </c>
    </row>
    <row r="920" spans="1:15" s="22" customFormat="1">
      <c r="A920" s="22">
        <v>704</v>
      </c>
      <c r="B920" s="22" t="s">
        <v>939</v>
      </c>
      <c r="C920" s="22" t="s">
        <v>2164</v>
      </c>
      <c r="E920" s="22">
        <v>1</v>
      </c>
      <c r="F920" s="22">
        <v>208.5</v>
      </c>
      <c r="G920" s="30">
        <f>IF(OR(M920="",O920="",M920=0),"",(M920-O920)/M920)</f>
        <v>0.22062350119904076</v>
      </c>
      <c r="H920" s="22">
        <v>208.5</v>
      </c>
      <c r="I920" s="22">
        <v>46</v>
      </c>
      <c r="J920" s="22">
        <v>10</v>
      </c>
      <c r="K920" s="22">
        <v>20</v>
      </c>
      <c r="L920" s="22">
        <v>18</v>
      </c>
      <c r="M920" s="22">
        <f>_xlfn.CEILING.MATH(F920*2)</f>
        <v>417</v>
      </c>
      <c r="N920" s="22">
        <f>H920*1.18</f>
        <v>246.03</v>
      </c>
      <c r="O920" s="22">
        <f>_xlfn.CEILING.MATH(F920*1.56)-1</f>
        <v>325</v>
      </c>
    </row>
    <row r="921" spans="1:15" s="22" customFormat="1">
      <c r="A921" s="22">
        <v>705</v>
      </c>
      <c r="B921" s="22" t="s">
        <v>940</v>
      </c>
      <c r="C921" s="22" t="s">
        <v>2165</v>
      </c>
      <c r="E921" s="22">
        <v>1</v>
      </c>
      <c r="F921" s="22">
        <v>264</v>
      </c>
      <c r="G921" s="30">
        <f>IF(OR(M921="",O921="",M921=0),"",(M921-O921)/M921)</f>
        <v>0.22159090909090909</v>
      </c>
      <c r="H921" s="22">
        <v>264</v>
      </c>
      <c r="I921" s="22">
        <v>334</v>
      </c>
      <c r="J921" s="22">
        <v>8</v>
      </c>
      <c r="K921" s="22">
        <v>16</v>
      </c>
      <c r="L921" s="22">
        <v>18</v>
      </c>
      <c r="M921" s="22">
        <f>_xlfn.CEILING.MATH(F921*2)</f>
        <v>528</v>
      </c>
      <c r="N921" s="22">
        <f>H921*1.18</f>
        <v>311.52</v>
      </c>
      <c r="O921" s="22">
        <f>_xlfn.CEILING.MATH(F921*1.56)-1</f>
        <v>411</v>
      </c>
    </row>
    <row r="922" spans="1:15" s="22" customFormat="1">
      <c r="A922" s="22">
        <v>706</v>
      </c>
      <c r="B922" s="22" t="s">
        <v>941</v>
      </c>
      <c r="C922" s="22" t="s">
        <v>2166</v>
      </c>
      <c r="E922" s="22">
        <v>1</v>
      </c>
      <c r="F922" s="22">
        <v>247.5</v>
      </c>
      <c r="G922" s="30">
        <f>IF(OR(M922="",O922="",M922=0),"",(M922-O922)/M922)</f>
        <v>0.2202020202020202</v>
      </c>
      <c r="H922" s="22">
        <v>247.5</v>
      </c>
      <c r="I922" s="22">
        <v>77</v>
      </c>
      <c r="J922" s="22">
        <v>8</v>
      </c>
      <c r="K922" s="22">
        <v>16</v>
      </c>
      <c r="L922" s="22">
        <v>18</v>
      </c>
      <c r="M922" s="22">
        <f>_xlfn.CEILING.MATH(F922*2)</f>
        <v>495</v>
      </c>
      <c r="N922" s="22">
        <f>H922*1.18</f>
        <v>292.05</v>
      </c>
      <c r="O922" s="22">
        <f>_xlfn.CEILING.MATH(F922*1.56)-1</f>
        <v>386</v>
      </c>
    </row>
    <row r="923" spans="1:15" s="22" customFormat="1">
      <c r="A923" s="22">
        <v>707</v>
      </c>
      <c r="B923" s="22" t="s">
        <v>942</v>
      </c>
      <c r="C923" s="22" t="s">
        <v>2167</v>
      </c>
      <c r="E923" s="22">
        <v>1</v>
      </c>
      <c r="F923" s="22">
        <v>426</v>
      </c>
      <c r="G923" s="30">
        <f>IF(OR(M923="",O923="",M923=0),"",(M923-O923)/M923)</f>
        <v>0.22065727699530516</v>
      </c>
      <c r="H923" s="22">
        <v>426</v>
      </c>
      <c r="I923" s="22">
        <v>590</v>
      </c>
      <c r="J923" s="22">
        <v>6</v>
      </c>
      <c r="K923" s="22">
        <v>12</v>
      </c>
      <c r="L923" s="22">
        <v>18</v>
      </c>
      <c r="M923" s="22">
        <f>_xlfn.CEILING.MATH(F923*2)</f>
        <v>852</v>
      </c>
      <c r="N923" s="22">
        <f>H923*1.18</f>
        <v>502.67999999999995</v>
      </c>
      <c r="O923" s="22">
        <f>_xlfn.CEILING.MATH(F923*1.56)-1</f>
        <v>664</v>
      </c>
    </row>
    <row r="924" spans="1:15" s="22" customFormat="1">
      <c r="A924" s="22">
        <v>708</v>
      </c>
      <c r="B924" s="22" t="s">
        <v>943</v>
      </c>
      <c r="C924" s="22" t="s">
        <v>2168</v>
      </c>
      <c r="E924" s="22">
        <v>1</v>
      </c>
      <c r="F924" s="22">
        <v>787.5</v>
      </c>
      <c r="G924" s="30">
        <f>IF(OR(M924="",O924="",M924=0),"",(M924-O924)/M924)</f>
        <v>0.22031746031746033</v>
      </c>
      <c r="H924" s="22">
        <v>787.5</v>
      </c>
      <c r="I924" s="22">
        <v>936</v>
      </c>
      <c r="J924" s="22">
        <v>4</v>
      </c>
      <c r="K924" s="22">
        <v>8</v>
      </c>
      <c r="L924" s="22">
        <v>18</v>
      </c>
      <c r="M924" s="22">
        <f>_xlfn.CEILING.MATH(F924*2)</f>
        <v>1575</v>
      </c>
      <c r="N924" s="22">
        <f>H924*1.18</f>
        <v>929.25</v>
      </c>
      <c r="O924" s="22">
        <f>_xlfn.CEILING.MATH(F924*1.56)-1</f>
        <v>1228</v>
      </c>
    </row>
    <row r="925" spans="1:15" s="22" customFormat="1">
      <c r="A925" s="22">
        <v>709</v>
      </c>
      <c r="B925" s="22" t="s">
        <v>944</v>
      </c>
      <c r="C925" s="22" t="s">
        <v>2169</v>
      </c>
      <c r="E925" s="22">
        <v>1</v>
      </c>
      <c r="F925" s="22">
        <v>1852.5</v>
      </c>
      <c r="G925" s="30">
        <f>IF(OR(M925="",O925="",M925=0),"",(M925-O925)/M925)</f>
        <v>0.22024291497975709</v>
      </c>
      <c r="H925" s="22">
        <v>1852.5</v>
      </c>
      <c r="I925" s="22">
        <v>52</v>
      </c>
      <c r="J925" s="22">
        <v>1</v>
      </c>
      <c r="K925" s="22">
        <v>4</v>
      </c>
      <c r="L925" s="22">
        <v>18</v>
      </c>
      <c r="M925" s="22">
        <f>_xlfn.CEILING.MATH(F925*2)</f>
        <v>3705</v>
      </c>
      <c r="N925" s="22">
        <f>H925*1.18</f>
        <v>2185.9499999999998</v>
      </c>
      <c r="O925" s="22">
        <f>_xlfn.CEILING.MATH(F925*1.56)-1</f>
        <v>2889</v>
      </c>
    </row>
    <row r="926" spans="1:15" s="22" customFormat="1">
      <c r="A926" s="22">
        <v>710</v>
      </c>
      <c r="B926" s="22" t="s">
        <v>945</v>
      </c>
      <c r="C926" s="22" t="s">
        <v>2170</v>
      </c>
      <c r="E926" s="22">
        <v>1</v>
      </c>
      <c r="F926" s="22">
        <v>3000</v>
      </c>
      <c r="G926" s="30">
        <f>IF(OR(M926="",O926="",M926=0),"",(M926-O926)/M926)</f>
        <v>0.22016666666666668</v>
      </c>
      <c r="H926" s="22">
        <v>3000</v>
      </c>
      <c r="I926" s="22">
        <v>3</v>
      </c>
      <c r="J926" s="22">
        <v>1</v>
      </c>
      <c r="K926" s="22">
        <v>1</v>
      </c>
      <c r="L926" s="22">
        <v>18</v>
      </c>
      <c r="M926" s="22">
        <f>_xlfn.CEILING.MATH(F926*2)</f>
        <v>6000</v>
      </c>
      <c r="N926" s="22">
        <f>H926*1.18</f>
        <v>3540</v>
      </c>
      <c r="O926" s="22">
        <f>_xlfn.CEILING.MATH(F926*1.56)-1</f>
        <v>4679</v>
      </c>
    </row>
    <row r="927" spans="1:15" s="22" customFormat="1">
      <c r="A927" s="22">
        <v>711</v>
      </c>
      <c r="B927" s="22" t="s">
        <v>946</v>
      </c>
      <c r="C927" s="22" t="s">
        <v>2171</v>
      </c>
      <c r="E927" s="22">
        <v>1</v>
      </c>
      <c r="F927" s="22">
        <v>998.2</v>
      </c>
      <c r="G927" s="30">
        <f>IF(OR(M927="",O927="",M927=0),"",(M927-O927)/M927)</f>
        <v>0.22033049574361543</v>
      </c>
      <c r="H927" s="22">
        <v>998.2</v>
      </c>
      <c r="I927" s="22">
        <v>0</v>
      </c>
      <c r="L927" s="22">
        <v>18</v>
      </c>
      <c r="M927" s="22">
        <f>_xlfn.CEILING.MATH(F927*2)</f>
        <v>1997</v>
      </c>
      <c r="N927" s="22">
        <f>H927*1.18</f>
        <v>1177.876</v>
      </c>
      <c r="O927" s="22">
        <f>_xlfn.CEILING.MATH(F927*1.56)-1</f>
        <v>1557</v>
      </c>
    </row>
    <row r="928" spans="1:15" s="22" customFormat="1">
      <c r="A928" s="22">
        <v>712</v>
      </c>
      <c r="B928" s="22" t="s">
        <v>947</v>
      </c>
      <c r="C928" s="22" t="s">
        <v>2172</v>
      </c>
      <c r="E928" s="22">
        <v>1</v>
      </c>
      <c r="F928" s="22">
        <v>130.5</v>
      </c>
      <c r="G928" s="30">
        <f>IF(OR(M928="",O928="",M928=0),"",(M928-O928)/M928)</f>
        <v>0.22222222222222221</v>
      </c>
      <c r="H928" s="22">
        <v>130.5</v>
      </c>
      <c r="I928" s="22">
        <v>697</v>
      </c>
      <c r="J928" s="22">
        <v>6</v>
      </c>
      <c r="K928" s="22">
        <v>48</v>
      </c>
      <c r="L928" s="22">
        <v>18</v>
      </c>
      <c r="M928" s="22">
        <f>_xlfn.CEILING.MATH(F928*2)</f>
        <v>261</v>
      </c>
      <c r="N928" s="22">
        <f>H928*1.18</f>
        <v>153.98999999999998</v>
      </c>
      <c r="O928" s="22">
        <f>_xlfn.CEILING.MATH(F928*1.56)-1</f>
        <v>203</v>
      </c>
    </row>
    <row r="929" spans="1:15" s="22" customFormat="1">
      <c r="A929" s="22">
        <v>713</v>
      </c>
      <c r="B929" s="22" t="s">
        <v>948</v>
      </c>
      <c r="C929" s="22" t="s">
        <v>2173</v>
      </c>
      <c r="E929" s="22">
        <v>1</v>
      </c>
      <c r="F929" s="22">
        <v>168</v>
      </c>
      <c r="G929" s="30">
        <f>IF(OR(M929="",O929="",M929=0),"",(M929-O929)/M929)</f>
        <v>0.22023809523809523</v>
      </c>
      <c r="H929" s="22">
        <v>168</v>
      </c>
      <c r="I929" s="22">
        <v>1885</v>
      </c>
      <c r="J929" s="22">
        <v>4</v>
      </c>
      <c r="K929" s="22">
        <v>36</v>
      </c>
      <c r="L929" s="22">
        <v>18</v>
      </c>
      <c r="M929" s="22">
        <f>_xlfn.CEILING.MATH(F929*2)</f>
        <v>336</v>
      </c>
      <c r="N929" s="22">
        <f>H929*1.18</f>
        <v>198.23999999999998</v>
      </c>
      <c r="O929" s="22">
        <f>_xlfn.CEILING.MATH(F929*1.56)-1</f>
        <v>262</v>
      </c>
    </row>
    <row r="930" spans="1:15" s="22" customFormat="1">
      <c r="A930" s="22">
        <v>714</v>
      </c>
      <c r="B930" s="22" t="s">
        <v>949</v>
      </c>
      <c r="C930" s="22" t="s">
        <v>2174</v>
      </c>
      <c r="E930" s="22">
        <v>1</v>
      </c>
      <c r="F930" s="22">
        <v>264</v>
      </c>
      <c r="G930" s="30">
        <f>IF(OR(M930="",O930="",M930=0),"",(M930-O930)/M930)</f>
        <v>0.22159090909090909</v>
      </c>
      <c r="H930" s="22">
        <v>264</v>
      </c>
      <c r="I930" s="22">
        <v>358</v>
      </c>
      <c r="J930" s="22">
        <v>2</v>
      </c>
      <c r="K930" s="22">
        <v>24</v>
      </c>
      <c r="L930" s="22">
        <v>18</v>
      </c>
      <c r="M930" s="22">
        <f>_xlfn.CEILING.MATH(F930*2)</f>
        <v>528</v>
      </c>
      <c r="N930" s="22">
        <f>H930*1.18</f>
        <v>311.52</v>
      </c>
      <c r="O930" s="22">
        <f>_xlfn.CEILING.MATH(F930*1.56)-1</f>
        <v>411</v>
      </c>
    </row>
    <row r="931" spans="1:15" s="22" customFormat="1">
      <c r="A931" s="22">
        <v>715</v>
      </c>
      <c r="B931" s="22" t="s">
        <v>950</v>
      </c>
      <c r="C931" s="22" t="s">
        <v>2175</v>
      </c>
      <c r="E931" s="22">
        <v>1</v>
      </c>
      <c r="F931" s="22">
        <v>378</v>
      </c>
      <c r="G931" s="30">
        <f>IF(OR(M931="",O931="",M931=0),"",(M931-O931)/M931)</f>
        <v>0.2208994708994709</v>
      </c>
      <c r="H931" s="22">
        <v>378</v>
      </c>
      <c r="I931" s="22">
        <v>908</v>
      </c>
      <c r="J931" s="22">
        <v>2</v>
      </c>
      <c r="K931" s="22">
        <v>24</v>
      </c>
      <c r="L931" s="22">
        <v>18</v>
      </c>
      <c r="M931" s="22">
        <f>_xlfn.CEILING.MATH(F931*2)</f>
        <v>756</v>
      </c>
      <c r="N931" s="22">
        <f>H931*1.18</f>
        <v>446.03999999999996</v>
      </c>
      <c r="O931" s="22">
        <f>_xlfn.CEILING.MATH(F931*1.56)-1</f>
        <v>589</v>
      </c>
    </row>
    <row r="932" spans="1:15" s="22" customFormat="1">
      <c r="A932" s="22">
        <v>716</v>
      </c>
      <c r="B932" s="22" t="s">
        <v>951</v>
      </c>
      <c r="C932" s="22" t="s">
        <v>2176</v>
      </c>
      <c r="E932" s="22">
        <v>1</v>
      </c>
      <c r="F932" s="22">
        <v>967.5</v>
      </c>
      <c r="G932" s="30">
        <f>IF(OR(M932="",O932="",M932=0),"",(M932-O932)/M932)</f>
        <v>0.22015503875968992</v>
      </c>
      <c r="H932" s="22">
        <v>967.5</v>
      </c>
      <c r="I932" s="22">
        <v>337</v>
      </c>
      <c r="J932" s="22">
        <v>1</v>
      </c>
      <c r="K932" s="22">
        <v>6</v>
      </c>
      <c r="L932" s="22">
        <v>18</v>
      </c>
      <c r="M932" s="22">
        <f>_xlfn.CEILING.MATH(F932*2)</f>
        <v>1935</v>
      </c>
      <c r="N932" s="22">
        <f>H932*1.18</f>
        <v>1141.6499999999999</v>
      </c>
      <c r="O932" s="22">
        <f>_xlfn.CEILING.MATH(F932*1.56)-1</f>
        <v>1509</v>
      </c>
    </row>
    <row r="933" spans="1:15" s="22" customFormat="1">
      <c r="A933" s="22">
        <v>717</v>
      </c>
      <c r="B933" s="22" t="s">
        <v>952</v>
      </c>
      <c r="C933" s="22" t="s">
        <v>2177</v>
      </c>
      <c r="E933" s="22">
        <v>1</v>
      </c>
      <c r="F933" s="22">
        <v>1237</v>
      </c>
      <c r="G933" s="30">
        <f>IF(OR(M933="",O933="",M933=0),"",(M933-O933)/M933)</f>
        <v>0.22029102667744543</v>
      </c>
      <c r="H933" s="22">
        <v>1237</v>
      </c>
      <c r="I933" s="22">
        <v>303</v>
      </c>
      <c r="J933" s="22">
        <v>1</v>
      </c>
      <c r="K933" s="22">
        <v>6</v>
      </c>
      <c r="L933" s="22">
        <v>18</v>
      </c>
      <c r="M933" s="22">
        <f>_xlfn.CEILING.MATH(F933*2)</f>
        <v>2474</v>
      </c>
      <c r="N933" s="22">
        <f>H933*1.18</f>
        <v>1459.6599999999999</v>
      </c>
      <c r="O933" s="22">
        <f>_xlfn.CEILING.MATH(F933*1.56)-1</f>
        <v>1929</v>
      </c>
    </row>
    <row r="934" spans="1:15" s="22" customFormat="1">
      <c r="A934" s="22">
        <v>718</v>
      </c>
      <c r="B934" s="22" t="s">
        <v>953</v>
      </c>
      <c r="C934" s="22" t="s">
        <v>2178</v>
      </c>
      <c r="E934" s="22">
        <v>1</v>
      </c>
      <c r="F934" s="22">
        <v>345</v>
      </c>
      <c r="G934" s="30">
        <f>IF(OR(M934="",O934="",M934=0),"",(M934-O934)/M934)</f>
        <v>0.22028985507246376</v>
      </c>
      <c r="H934" s="22">
        <v>345</v>
      </c>
      <c r="I934" s="22">
        <v>317</v>
      </c>
      <c r="J934" s="22">
        <v>1</v>
      </c>
      <c r="K934" s="22">
        <v>6</v>
      </c>
      <c r="L934" s="22">
        <v>18</v>
      </c>
      <c r="M934" s="22">
        <f>_xlfn.CEILING.MATH(F934*2)</f>
        <v>690</v>
      </c>
      <c r="N934" s="22">
        <f>H934*1.18</f>
        <v>407.09999999999997</v>
      </c>
      <c r="O934" s="22">
        <f>_xlfn.CEILING.MATH(F934*1.56)-1</f>
        <v>538</v>
      </c>
    </row>
    <row r="935" spans="1:15" s="22" customFormat="1">
      <c r="A935" s="22">
        <v>719</v>
      </c>
      <c r="B935" s="22" t="s">
        <v>954</v>
      </c>
      <c r="C935" s="22" t="s">
        <v>2179</v>
      </c>
      <c r="E935" s="22">
        <v>1</v>
      </c>
      <c r="F935" s="22">
        <v>270</v>
      </c>
      <c r="G935" s="30">
        <f>IF(OR(M935="",O935="",M935=0),"",(M935-O935)/M935)</f>
        <v>0.22037037037037038</v>
      </c>
      <c r="H935" s="22">
        <v>270</v>
      </c>
      <c r="I935" s="22">
        <v>407</v>
      </c>
      <c r="J935" s="22">
        <v>12</v>
      </c>
      <c r="K935" s="22">
        <v>60</v>
      </c>
      <c r="L935" s="22">
        <v>18</v>
      </c>
      <c r="M935" s="22">
        <f>_xlfn.CEILING.MATH(F935*2)</f>
        <v>540</v>
      </c>
      <c r="N935" s="22">
        <f>H935*1.18</f>
        <v>318.59999999999997</v>
      </c>
      <c r="O935" s="22">
        <f>_xlfn.CEILING.MATH(F935*1.56)-1</f>
        <v>421</v>
      </c>
    </row>
    <row r="936" spans="1:15" s="22" customFormat="1">
      <c r="A936" s="22">
        <v>720</v>
      </c>
      <c r="B936" s="22" t="s">
        <v>955</v>
      </c>
      <c r="C936" s="22" t="s">
        <v>2180</v>
      </c>
      <c r="E936" s="22">
        <v>1</v>
      </c>
      <c r="F936" s="22">
        <v>189</v>
      </c>
      <c r="G936" s="30">
        <f>IF(OR(M936="",O936="",M936=0),"",(M936-O936)/M936)</f>
        <v>0.22222222222222221</v>
      </c>
      <c r="H936" s="22">
        <v>189</v>
      </c>
      <c r="I936" s="22">
        <v>1464</v>
      </c>
      <c r="J936" s="22">
        <v>12</v>
      </c>
      <c r="K936" s="22">
        <v>60</v>
      </c>
      <c r="L936" s="22">
        <v>18</v>
      </c>
      <c r="M936" s="22">
        <f>_xlfn.CEILING.MATH(F936*2)</f>
        <v>378</v>
      </c>
      <c r="N936" s="22">
        <f>H936*1.18</f>
        <v>223.01999999999998</v>
      </c>
      <c r="O936" s="22">
        <f>_xlfn.CEILING.MATH(F936*1.56)-1</f>
        <v>294</v>
      </c>
    </row>
    <row r="937" spans="1:15" s="22" customFormat="1">
      <c r="A937" s="22">
        <v>721</v>
      </c>
      <c r="B937" s="22" t="s">
        <v>956</v>
      </c>
      <c r="C937" s="22" t="s">
        <v>2181</v>
      </c>
      <c r="E937" s="22">
        <v>1</v>
      </c>
      <c r="F937" s="22">
        <v>225</v>
      </c>
      <c r="G937" s="30">
        <f>IF(OR(M937="",O937="",M937=0),"",(M937-O937)/M937)</f>
        <v>0.22222222222222221</v>
      </c>
      <c r="H937" s="22">
        <v>225</v>
      </c>
      <c r="I937" s="22">
        <v>1909</v>
      </c>
      <c r="J937" s="22">
        <v>12</v>
      </c>
      <c r="K937" s="22">
        <v>72</v>
      </c>
      <c r="L937" s="22">
        <v>18</v>
      </c>
      <c r="M937" s="22">
        <f>_xlfn.CEILING.MATH(F937*2)</f>
        <v>450</v>
      </c>
      <c r="N937" s="22">
        <f>H937*1.18</f>
        <v>265.5</v>
      </c>
      <c r="O937" s="22">
        <f>_xlfn.CEILING.MATH(F937*1.56)-1</f>
        <v>350</v>
      </c>
    </row>
    <row r="938" spans="1:15" s="22" customFormat="1">
      <c r="A938" s="22">
        <v>722</v>
      </c>
      <c r="B938" s="22" t="s">
        <v>957</v>
      </c>
      <c r="C938" s="22" t="s">
        <v>2182</v>
      </c>
      <c r="E938" s="22">
        <v>1</v>
      </c>
      <c r="F938" s="22">
        <v>325.5</v>
      </c>
      <c r="G938" s="30">
        <f>IF(OR(M938="",O938="",M938=0),"",(M938-O938)/M938)</f>
        <v>0.22119815668202766</v>
      </c>
      <c r="H938" s="22">
        <v>325.5</v>
      </c>
      <c r="I938" s="22">
        <v>1787</v>
      </c>
      <c r="J938" s="22">
        <v>6</v>
      </c>
      <c r="K938" s="22">
        <v>48</v>
      </c>
      <c r="L938" s="22">
        <v>18</v>
      </c>
      <c r="M938" s="22">
        <f>_xlfn.CEILING.MATH(F938*2)</f>
        <v>651</v>
      </c>
      <c r="N938" s="22">
        <f>H938*1.18</f>
        <v>384.09</v>
      </c>
      <c r="O938" s="22">
        <f>_xlfn.CEILING.MATH(F938*1.56)-1</f>
        <v>507</v>
      </c>
    </row>
    <row r="939" spans="1:15" s="22" customFormat="1">
      <c r="A939" s="22">
        <v>723</v>
      </c>
      <c r="B939" s="22" t="s">
        <v>958</v>
      </c>
      <c r="C939" s="22" t="s">
        <v>2183</v>
      </c>
      <c r="E939" s="22">
        <v>1</v>
      </c>
      <c r="F939" s="22">
        <v>732</v>
      </c>
      <c r="G939" s="30">
        <f>IF(OR(M939="",O939="",M939=0),"",(M939-O939)/M939)</f>
        <v>0.22062841530054644</v>
      </c>
      <c r="H939" s="22">
        <v>732</v>
      </c>
      <c r="I939" s="22">
        <v>168</v>
      </c>
      <c r="J939" s="22">
        <v>6</v>
      </c>
      <c r="K939" s="22">
        <v>24</v>
      </c>
      <c r="L939" s="22">
        <v>18</v>
      </c>
      <c r="M939" s="22">
        <f>_xlfn.CEILING.MATH(F939*2)</f>
        <v>1464</v>
      </c>
      <c r="N939" s="22">
        <f>H939*1.18</f>
        <v>863.76</v>
      </c>
      <c r="O939" s="22">
        <f>_xlfn.CEILING.MATH(F939*1.56)-1</f>
        <v>1141</v>
      </c>
    </row>
    <row r="940" spans="1:15" s="22" customFormat="1">
      <c r="A940" s="22">
        <v>724</v>
      </c>
      <c r="B940" s="22" t="s">
        <v>2184</v>
      </c>
      <c r="C940" s="22" t="s">
        <v>2185</v>
      </c>
      <c r="E940" s="22">
        <v>1</v>
      </c>
      <c r="F940" s="22">
        <v>1590</v>
      </c>
      <c r="G940" s="30">
        <f>IF(OR(M940="",O940="",M940=0),"",(M940-O940)/M940)</f>
        <v>0.22012578616352202</v>
      </c>
      <c r="H940" s="22">
        <v>1590</v>
      </c>
      <c r="I940" s="22">
        <v>27</v>
      </c>
      <c r="J940" s="22">
        <v>1</v>
      </c>
      <c r="K940" s="22">
        <v>10</v>
      </c>
      <c r="L940" s="22">
        <v>18</v>
      </c>
      <c r="M940" s="22">
        <f>_xlfn.CEILING.MATH(F940*2)</f>
        <v>3180</v>
      </c>
      <c r="N940" s="22">
        <f>H940*1.18</f>
        <v>1876.1999999999998</v>
      </c>
      <c r="O940" s="22">
        <f>_xlfn.CEILING.MATH(F940*1.56)-1</f>
        <v>2480</v>
      </c>
    </row>
    <row r="941" spans="1:15" s="22" customFormat="1">
      <c r="A941" s="22">
        <v>725</v>
      </c>
      <c r="B941" s="22" t="s">
        <v>959</v>
      </c>
      <c r="C941" s="22" t="s">
        <v>2186</v>
      </c>
      <c r="E941" s="22">
        <v>1</v>
      </c>
      <c r="F941" s="22">
        <v>33</v>
      </c>
      <c r="G941" s="30">
        <f>IF(OR(M941="",O941="",M941=0),"",(M941-O941)/M941)</f>
        <v>0.22727272727272727</v>
      </c>
      <c r="H941" s="22">
        <v>33</v>
      </c>
      <c r="I941" s="22">
        <v>200</v>
      </c>
      <c r="J941" s="22">
        <v>10</v>
      </c>
      <c r="K941" s="22">
        <v>300</v>
      </c>
      <c r="L941" s="22">
        <v>18</v>
      </c>
      <c r="M941" s="22">
        <f>_xlfn.CEILING.MATH(F941*2)</f>
        <v>66</v>
      </c>
      <c r="N941" s="22">
        <f>H941*1.18</f>
        <v>38.94</v>
      </c>
      <c r="O941" s="22">
        <f>_xlfn.CEILING.MATH(F941*1.56)-1</f>
        <v>51</v>
      </c>
    </row>
    <row r="942" spans="1:15" s="22" customFormat="1">
      <c r="A942" s="22">
        <v>726</v>
      </c>
      <c r="B942" s="22" t="s">
        <v>960</v>
      </c>
      <c r="C942" s="22" t="s">
        <v>2187</v>
      </c>
      <c r="E942" s="22">
        <v>1</v>
      </c>
      <c r="F942" s="22">
        <v>40.5</v>
      </c>
      <c r="G942" s="30">
        <f>IF(OR(M942="",O942="",M942=0),"",(M942-O942)/M942)</f>
        <v>0.22222222222222221</v>
      </c>
      <c r="H942" s="22">
        <v>40.5</v>
      </c>
      <c r="I942" s="22">
        <v>1041</v>
      </c>
      <c r="J942" s="22">
        <v>10</v>
      </c>
      <c r="K942" s="22">
        <v>300</v>
      </c>
      <c r="L942" s="22">
        <v>18</v>
      </c>
      <c r="M942" s="22">
        <f>_xlfn.CEILING.MATH(F942*2)</f>
        <v>81</v>
      </c>
      <c r="N942" s="22">
        <f>H942*1.18</f>
        <v>47.79</v>
      </c>
      <c r="O942" s="22">
        <f>_xlfn.CEILING.MATH(F942*1.56)-1</f>
        <v>63</v>
      </c>
    </row>
    <row r="943" spans="1:15" s="22" customFormat="1">
      <c r="A943" s="22">
        <v>727</v>
      </c>
      <c r="B943" s="22" t="s">
        <v>961</v>
      </c>
      <c r="C943" s="22" t="s">
        <v>2188</v>
      </c>
      <c r="E943" s="22">
        <v>1</v>
      </c>
      <c r="F943" s="22">
        <v>45</v>
      </c>
      <c r="G943" s="30">
        <f>IF(OR(M943="",O943="",M943=0),"",(M943-O943)/M943)</f>
        <v>0.22222222222222221</v>
      </c>
      <c r="H943" s="22">
        <v>45</v>
      </c>
      <c r="I943" s="22">
        <v>1155</v>
      </c>
      <c r="J943" s="22">
        <v>10</v>
      </c>
      <c r="K943" s="22">
        <v>250</v>
      </c>
      <c r="L943" s="22">
        <v>18</v>
      </c>
      <c r="M943" s="22">
        <f>_xlfn.CEILING.MATH(F943*2)</f>
        <v>90</v>
      </c>
      <c r="N943" s="22">
        <f>H943*1.18</f>
        <v>53.099999999999994</v>
      </c>
      <c r="O943" s="22">
        <f>_xlfn.CEILING.MATH(F943*1.56)-1</f>
        <v>70</v>
      </c>
    </row>
    <row r="944" spans="1:15" s="22" customFormat="1">
      <c r="A944" s="22">
        <v>728</v>
      </c>
      <c r="B944" s="22" t="s">
        <v>962</v>
      </c>
      <c r="C944" s="22" t="s">
        <v>2189</v>
      </c>
      <c r="E944" s="22">
        <v>1</v>
      </c>
      <c r="F944" s="22">
        <v>49.5</v>
      </c>
      <c r="G944" s="30">
        <f>IF(OR(M944="",O944="",M944=0),"",(M944-O944)/M944)</f>
        <v>0.22222222222222221</v>
      </c>
      <c r="H944" s="22">
        <v>49.5</v>
      </c>
      <c r="I944" s="22">
        <v>311</v>
      </c>
      <c r="J944" s="22">
        <v>5</v>
      </c>
      <c r="K944" s="22">
        <v>150</v>
      </c>
      <c r="L944" s="22">
        <v>18</v>
      </c>
      <c r="M944" s="22">
        <f>_xlfn.CEILING.MATH(F944*2)</f>
        <v>99</v>
      </c>
      <c r="N944" s="22">
        <f>H944*1.18</f>
        <v>58.41</v>
      </c>
      <c r="O944" s="22">
        <f>_xlfn.CEILING.MATH(F944*1.56)-1</f>
        <v>77</v>
      </c>
    </row>
    <row r="945" spans="1:15" s="22" customFormat="1">
      <c r="A945" s="22">
        <v>729</v>
      </c>
      <c r="B945" s="22" t="s">
        <v>963</v>
      </c>
      <c r="C945" s="22" t="s">
        <v>2190</v>
      </c>
      <c r="E945" s="22">
        <v>1</v>
      </c>
      <c r="F945" s="22">
        <v>51</v>
      </c>
      <c r="G945" s="30">
        <f>IF(OR(M945="",O945="",M945=0),"",(M945-O945)/M945)</f>
        <v>0.22549019607843138</v>
      </c>
      <c r="H945" s="22">
        <v>51</v>
      </c>
      <c r="I945" s="22">
        <v>806</v>
      </c>
      <c r="J945" s="22">
        <v>5</v>
      </c>
      <c r="K945" s="22">
        <v>150</v>
      </c>
      <c r="L945" s="22">
        <v>18</v>
      </c>
      <c r="M945" s="22">
        <f>_xlfn.CEILING.MATH(F945*2)</f>
        <v>102</v>
      </c>
      <c r="N945" s="22">
        <f>H945*1.18</f>
        <v>60.18</v>
      </c>
      <c r="O945" s="22">
        <f>_xlfn.CEILING.MATH(F945*1.56)-1</f>
        <v>79</v>
      </c>
    </row>
    <row r="946" spans="1:15" s="22" customFormat="1">
      <c r="A946" s="22">
        <v>730</v>
      </c>
      <c r="B946" s="22" t="s">
        <v>964</v>
      </c>
      <c r="C946" s="22" t="s">
        <v>2191</v>
      </c>
      <c r="E946" s="22">
        <v>1</v>
      </c>
      <c r="F946" s="22">
        <v>63</v>
      </c>
      <c r="G946" s="30">
        <f>IF(OR(M946="",O946="",M946=0),"",(M946-O946)/M946)</f>
        <v>0.22222222222222221</v>
      </c>
      <c r="H946" s="22">
        <v>63</v>
      </c>
      <c r="I946" s="22">
        <v>1457</v>
      </c>
      <c r="J946" s="22">
        <v>5</v>
      </c>
      <c r="K946" s="22">
        <v>100</v>
      </c>
      <c r="L946" s="22">
        <v>18</v>
      </c>
      <c r="M946" s="22">
        <f>_xlfn.CEILING.MATH(F946*2)</f>
        <v>126</v>
      </c>
      <c r="N946" s="22">
        <f>H946*1.18</f>
        <v>74.339999999999989</v>
      </c>
      <c r="O946" s="22">
        <f>_xlfn.CEILING.MATH(F946*1.56)-1</f>
        <v>98</v>
      </c>
    </row>
    <row r="947" spans="1:15" s="22" customFormat="1">
      <c r="A947" s="22">
        <v>731</v>
      </c>
      <c r="B947" s="22" t="s">
        <v>965</v>
      </c>
      <c r="C947" s="22" t="s">
        <v>2192</v>
      </c>
      <c r="E947" s="22">
        <v>1</v>
      </c>
      <c r="F947" s="22">
        <v>70.5</v>
      </c>
      <c r="G947" s="30">
        <f>IF(OR(M947="",O947="",M947=0),"",(M947-O947)/M947)</f>
        <v>0.22695035460992907</v>
      </c>
      <c r="H947" s="22">
        <v>70.5</v>
      </c>
      <c r="I947" s="22">
        <v>242</v>
      </c>
      <c r="J947" s="22">
        <v>5</v>
      </c>
      <c r="K947" s="22">
        <v>100</v>
      </c>
      <c r="L947" s="22">
        <v>18</v>
      </c>
      <c r="M947" s="22">
        <f>_xlfn.CEILING.MATH(F947*2)</f>
        <v>141</v>
      </c>
      <c r="N947" s="22">
        <f>H947*1.18</f>
        <v>83.19</v>
      </c>
      <c r="O947" s="22">
        <f>_xlfn.CEILING.MATH(F947*1.56)-1</f>
        <v>109</v>
      </c>
    </row>
    <row r="948" spans="1:15" s="22" customFormat="1">
      <c r="A948" s="22">
        <v>732</v>
      </c>
      <c r="B948" s="22" t="s">
        <v>966</v>
      </c>
      <c r="C948" s="22" t="s">
        <v>2193</v>
      </c>
      <c r="E948" s="22">
        <v>1</v>
      </c>
      <c r="F948" s="22">
        <v>75</v>
      </c>
      <c r="G948" s="30">
        <f>IF(OR(M948="",O948="",M948=0),"",(M948-O948)/M948)</f>
        <v>0.22666666666666666</v>
      </c>
      <c r="H948" s="22">
        <v>75</v>
      </c>
      <c r="I948" s="22">
        <v>474</v>
      </c>
      <c r="J948" s="22">
        <v>5</v>
      </c>
      <c r="K948" s="22">
        <v>100</v>
      </c>
      <c r="L948" s="22">
        <v>18</v>
      </c>
      <c r="M948" s="22">
        <f>_xlfn.CEILING.MATH(F948*2)</f>
        <v>150</v>
      </c>
      <c r="N948" s="22">
        <f>H948*1.18</f>
        <v>88.5</v>
      </c>
      <c r="O948" s="22">
        <f>_xlfn.CEILING.MATH(F948*1.56)-1</f>
        <v>116</v>
      </c>
    </row>
    <row r="949" spans="1:15" s="22" customFormat="1">
      <c r="A949" s="22">
        <v>733</v>
      </c>
      <c r="B949" s="22" t="s">
        <v>967</v>
      </c>
      <c r="C949" s="22" t="s">
        <v>2194</v>
      </c>
      <c r="E949" s="22">
        <v>1</v>
      </c>
      <c r="F949" s="22">
        <v>94.5</v>
      </c>
      <c r="G949" s="30">
        <f>IF(OR(M949="",O949="",M949=0),"",(M949-O949)/M949)</f>
        <v>0.22222222222222221</v>
      </c>
      <c r="H949" s="22">
        <v>94.5</v>
      </c>
      <c r="I949" s="22">
        <v>215</v>
      </c>
      <c r="J949" s="22">
        <v>5</v>
      </c>
      <c r="K949" s="22">
        <v>80</v>
      </c>
      <c r="L949" s="22">
        <v>18</v>
      </c>
      <c r="M949" s="22">
        <f>_xlfn.CEILING.MATH(F949*2)</f>
        <v>189</v>
      </c>
      <c r="N949" s="22">
        <f>H949*1.18</f>
        <v>111.50999999999999</v>
      </c>
      <c r="O949" s="22">
        <f>_xlfn.CEILING.MATH(F949*1.56)-1</f>
        <v>147</v>
      </c>
    </row>
    <row r="950" spans="1:15" s="22" customFormat="1">
      <c r="A950" s="22">
        <v>734</v>
      </c>
      <c r="B950" s="22" t="s">
        <v>2195</v>
      </c>
      <c r="C950" s="22" t="s">
        <v>2196</v>
      </c>
      <c r="E950" s="22">
        <v>1</v>
      </c>
      <c r="F950" s="22">
        <v>1300</v>
      </c>
      <c r="G950" s="30">
        <f>IF(OR(M950="",O950="",M950=0),"",(M950-O950)/M950)</f>
        <v>0.22038461538461537</v>
      </c>
      <c r="H950" s="22">
        <v>1300</v>
      </c>
      <c r="I950" s="22">
        <v>28</v>
      </c>
      <c r="J950" s="22">
        <v>1</v>
      </c>
      <c r="K950" s="22">
        <v>10</v>
      </c>
      <c r="L950" s="22">
        <v>18</v>
      </c>
      <c r="M950" s="22">
        <f>_xlfn.CEILING.MATH(F950*2)</f>
        <v>2600</v>
      </c>
      <c r="N950" s="22">
        <f>H950*1.18</f>
        <v>1534</v>
      </c>
      <c r="O950" s="22">
        <f>_xlfn.CEILING.MATH(F950*1.56)-1</f>
        <v>2027</v>
      </c>
    </row>
    <row r="951" spans="1:15" s="22" customFormat="1">
      <c r="A951" s="22">
        <v>735</v>
      </c>
      <c r="B951" s="22" t="s">
        <v>968</v>
      </c>
      <c r="C951" s="22" t="s">
        <v>2197</v>
      </c>
      <c r="E951" s="22">
        <v>1</v>
      </c>
      <c r="F951" s="22">
        <v>99</v>
      </c>
      <c r="G951" s="30">
        <f>IF(OR(M951="",O951="",M951=0),"",(M951-O951)/M951)</f>
        <v>0.22222222222222221</v>
      </c>
      <c r="H951" s="22">
        <v>99</v>
      </c>
      <c r="I951" s="22">
        <v>122</v>
      </c>
      <c r="J951" s="22">
        <v>5</v>
      </c>
      <c r="K951" s="22">
        <v>60</v>
      </c>
      <c r="L951" s="22">
        <v>18</v>
      </c>
      <c r="M951" s="22">
        <f>_xlfn.CEILING.MATH(F951*2)</f>
        <v>198</v>
      </c>
      <c r="N951" s="22">
        <f>H951*1.18</f>
        <v>116.82</v>
      </c>
      <c r="O951" s="22">
        <f>_xlfn.CEILING.MATH(F951*1.56)-1</f>
        <v>154</v>
      </c>
    </row>
    <row r="952" spans="1:15" s="22" customFormat="1">
      <c r="A952" s="22">
        <v>736</v>
      </c>
      <c r="B952" s="22" t="s">
        <v>969</v>
      </c>
      <c r="C952" s="22" t="s">
        <v>2198</v>
      </c>
      <c r="E952" s="22">
        <v>1</v>
      </c>
      <c r="F952" s="22">
        <v>117</v>
      </c>
      <c r="G952" s="30">
        <f>IF(OR(M952="",O952="",M952=0),"",(M952-O952)/M952)</f>
        <v>0.22222222222222221</v>
      </c>
      <c r="H952" s="22">
        <v>117</v>
      </c>
      <c r="I952" s="22">
        <v>118</v>
      </c>
      <c r="J952" s="22">
        <v>5</v>
      </c>
      <c r="K952" s="22">
        <v>60</v>
      </c>
      <c r="L952" s="22">
        <v>18</v>
      </c>
      <c r="M952" s="22">
        <f>_xlfn.CEILING.MATH(F952*2)</f>
        <v>234</v>
      </c>
      <c r="N952" s="22">
        <f>H952*1.18</f>
        <v>138.06</v>
      </c>
      <c r="O952" s="22">
        <f>_xlfn.CEILING.MATH(F952*1.56)-1</f>
        <v>182</v>
      </c>
    </row>
    <row r="953" spans="1:15" s="22" customFormat="1">
      <c r="A953" s="22">
        <v>737</v>
      </c>
      <c r="B953" s="22" t="s">
        <v>970</v>
      </c>
      <c r="C953" s="22" t="s">
        <v>2199</v>
      </c>
      <c r="E953" s="22">
        <v>1</v>
      </c>
      <c r="F953" s="22">
        <v>123</v>
      </c>
      <c r="G953" s="30">
        <f>IF(OR(M953="",O953="",M953=0),"",(M953-O953)/M953)</f>
        <v>0.22357723577235772</v>
      </c>
      <c r="H953" s="22">
        <v>123</v>
      </c>
      <c r="I953" s="22">
        <v>86</v>
      </c>
      <c r="J953" s="22">
        <v>5</v>
      </c>
      <c r="K953" s="22">
        <v>50</v>
      </c>
      <c r="L953" s="22">
        <v>18</v>
      </c>
      <c r="M953" s="22">
        <f>_xlfn.CEILING.MATH(F953*2)</f>
        <v>246</v>
      </c>
      <c r="N953" s="22">
        <f>H953*1.18</f>
        <v>145.13999999999999</v>
      </c>
      <c r="O953" s="22">
        <f>_xlfn.CEILING.MATH(F953*1.56)-1</f>
        <v>191</v>
      </c>
    </row>
    <row r="954" spans="1:15" s="22" customFormat="1">
      <c r="A954" s="22">
        <v>738</v>
      </c>
      <c r="B954" s="22" t="s">
        <v>971</v>
      </c>
      <c r="C954" s="22" t="s">
        <v>2200</v>
      </c>
      <c r="E954" s="22">
        <v>1</v>
      </c>
      <c r="F954" s="22">
        <v>129</v>
      </c>
      <c r="G954" s="30">
        <f>IF(OR(M954="",O954="",M954=0),"",(M954-O954)/M954)</f>
        <v>0.22093023255813954</v>
      </c>
      <c r="H954" s="22">
        <v>129</v>
      </c>
      <c r="I954" s="22">
        <v>190</v>
      </c>
      <c r="J954" s="22">
        <v>5</v>
      </c>
      <c r="K954" s="22">
        <v>50</v>
      </c>
      <c r="L954" s="22">
        <v>18</v>
      </c>
      <c r="M954" s="22">
        <f>_xlfn.CEILING.MATH(F954*2)</f>
        <v>258</v>
      </c>
      <c r="N954" s="22">
        <f>H954*1.18</f>
        <v>152.22</v>
      </c>
      <c r="O954" s="22">
        <f>_xlfn.CEILING.MATH(F954*1.56)-1</f>
        <v>201</v>
      </c>
    </row>
    <row r="955" spans="1:15" s="22" customFormat="1">
      <c r="A955" s="22">
        <v>739</v>
      </c>
      <c r="B955" s="22" t="s">
        <v>972</v>
      </c>
      <c r="C955" s="22" t="s">
        <v>2201</v>
      </c>
      <c r="E955" s="22">
        <v>1</v>
      </c>
      <c r="F955" s="22">
        <v>159</v>
      </c>
      <c r="G955" s="30">
        <f>IF(OR(M955="",O955="",M955=0),"",(M955-O955)/M955)</f>
        <v>0.22012578616352202</v>
      </c>
      <c r="H955" s="22">
        <v>159</v>
      </c>
      <c r="I955" s="22">
        <v>99</v>
      </c>
      <c r="J955" s="22">
        <v>5</v>
      </c>
      <c r="K955" s="22">
        <v>50</v>
      </c>
      <c r="L955" s="22">
        <v>18</v>
      </c>
      <c r="M955" s="22">
        <f>_xlfn.CEILING.MATH(F955*2)</f>
        <v>318</v>
      </c>
      <c r="N955" s="22">
        <f>H955*1.18</f>
        <v>187.61999999999998</v>
      </c>
      <c r="O955" s="22">
        <f>_xlfn.CEILING.MATH(F955*1.56)-1</f>
        <v>248</v>
      </c>
    </row>
    <row r="956" spans="1:15" s="22" customFormat="1">
      <c r="A956" s="22">
        <v>740</v>
      </c>
      <c r="B956" s="22" t="s">
        <v>2202</v>
      </c>
      <c r="C956" s="22" t="s">
        <v>2203</v>
      </c>
      <c r="E956" s="22">
        <v>1</v>
      </c>
      <c r="F956" s="22">
        <v>355</v>
      </c>
      <c r="G956" s="30">
        <f>IF(OR(M956="",O956="",M956=0),"",(M956-O956)/M956)</f>
        <v>0.22112676056338029</v>
      </c>
      <c r="H956" s="22">
        <v>355</v>
      </c>
      <c r="I956" s="22">
        <v>348</v>
      </c>
      <c r="J956" s="22">
        <v>1</v>
      </c>
      <c r="K956" s="22">
        <v>10</v>
      </c>
      <c r="L956" s="22">
        <v>18</v>
      </c>
      <c r="M956" s="22">
        <f>_xlfn.CEILING.MATH(F956*2)</f>
        <v>710</v>
      </c>
      <c r="N956" s="22">
        <f>H956*1.18</f>
        <v>418.9</v>
      </c>
      <c r="O956" s="22">
        <f>_xlfn.CEILING.MATH(F956*1.56)-1</f>
        <v>553</v>
      </c>
    </row>
    <row r="957" spans="1:15" s="22" customFormat="1">
      <c r="A957" s="22">
        <v>741</v>
      </c>
      <c r="B957" s="22" t="s">
        <v>973</v>
      </c>
      <c r="C957" s="22" t="s">
        <v>2204</v>
      </c>
      <c r="E957" s="22">
        <v>1</v>
      </c>
      <c r="F957" s="22">
        <v>211.5</v>
      </c>
      <c r="G957" s="30">
        <f>IF(OR(M957="",O957="",M957=0),"",(M957-O957)/M957)</f>
        <v>0.22222222222222221</v>
      </c>
      <c r="H957" s="22">
        <v>211.5</v>
      </c>
      <c r="I957" s="22">
        <v>95</v>
      </c>
      <c r="J957" s="22">
        <v>5</v>
      </c>
      <c r="K957" s="22">
        <v>40</v>
      </c>
      <c r="L957" s="22">
        <v>18</v>
      </c>
      <c r="M957" s="22">
        <f>_xlfn.CEILING.MATH(F957*2)</f>
        <v>423</v>
      </c>
      <c r="N957" s="22">
        <f>H957*1.18</f>
        <v>249.57</v>
      </c>
      <c r="O957" s="22">
        <f>_xlfn.CEILING.MATH(F957*1.56)-1</f>
        <v>329</v>
      </c>
    </row>
    <row r="958" spans="1:15" s="22" customFormat="1">
      <c r="A958" s="22">
        <v>742</v>
      </c>
      <c r="B958" s="22" t="s">
        <v>974</v>
      </c>
      <c r="C958" s="22" t="s">
        <v>2205</v>
      </c>
      <c r="E958" s="22">
        <v>1</v>
      </c>
      <c r="F958" s="22">
        <v>330</v>
      </c>
      <c r="G958" s="30">
        <f>IF(OR(M958="",O958="",M958=0),"",(M958-O958)/M958)</f>
        <v>0.22121212121212122</v>
      </c>
      <c r="H958" s="22">
        <v>330</v>
      </c>
      <c r="I958" s="22">
        <v>220</v>
      </c>
      <c r="J958" s="22">
        <v>5</v>
      </c>
      <c r="K958" s="22">
        <v>20</v>
      </c>
      <c r="L958" s="22">
        <v>18</v>
      </c>
      <c r="M958" s="22">
        <f>_xlfn.CEILING.MATH(F958*2)</f>
        <v>660</v>
      </c>
      <c r="N958" s="22">
        <f>H958*1.18</f>
        <v>389.4</v>
      </c>
      <c r="O958" s="22">
        <f>_xlfn.CEILING.MATH(F958*1.56)-1</f>
        <v>514</v>
      </c>
    </row>
    <row r="959" spans="1:15" s="22" customFormat="1">
      <c r="A959" s="22">
        <v>743</v>
      </c>
      <c r="B959" s="22" t="s">
        <v>975</v>
      </c>
      <c r="C959" s="22" t="s">
        <v>2206</v>
      </c>
      <c r="E959" s="22">
        <v>1</v>
      </c>
      <c r="F959" s="22">
        <v>394.5</v>
      </c>
      <c r="G959" s="30">
        <f>IF(OR(M959="",O959="",M959=0),"",(M959-O959)/M959)</f>
        <v>0.22053231939163498</v>
      </c>
      <c r="H959" s="22">
        <v>394.5</v>
      </c>
      <c r="I959" s="22">
        <v>191</v>
      </c>
      <c r="J959" s="22">
        <v>1</v>
      </c>
      <c r="K959" s="22">
        <v>10</v>
      </c>
      <c r="L959" s="22">
        <v>18</v>
      </c>
      <c r="M959" s="22">
        <f>_xlfn.CEILING.MATH(F959*2)</f>
        <v>789</v>
      </c>
      <c r="N959" s="22">
        <f>H959*1.18</f>
        <v>465.51</v>
      </c>
      <c r="O959" s="22">
        <f>_xlfn.CEILING.MATH(F959*1.56)-1</f>
        <v>615</v>
      </c>
    </row>
    <row r="960" spans="1:15" s="22" customFormat="1">
      <c r="A960" s="22">
        <v>744</v>
      </c>
      <c r="B960" s="22" t="s">
        <v>976</v>
      </c>
      <c r="C960" s="22" t="s">
        <v>2207</v>
      </c>
      <c r="E960" s="22">
        <v>1</v>
      </c>
      <c r="F960" s="22">
        <v>427.5</v>
      </c>
      <c r="G960" s="30">
        <f>IF(OR(M960="",O960="",M960=0),"",(M960-O960)/M960)</f>
        <v>0.22105263157894736</v>
      </c>
      <c r="H960" s="22">
        <v>427.5</v>
      </c>
      <c r="I960" s="22">
        <v>1</v>
      </c>
      <c r="J960" s="22">
        <v>1</v>
      </c>
      <c r="K960" s="22">
        <v>10</v>
      </c>
      <c r="L960" s="22">
        <v>18</v>
      </c>
      <c r="M960" s="22">
        <f>_xlfn.CEILING.MATH(F960*2)</f>
        <v>855</v>
      </c>
      <c r="N960" s="22">
        <f>H960*1.18</f>
        <v>504.45</v>
      </c>
      <c r="O960" s="22">
        <f>_xlfn.CEILING.MATH(F960*1.56)-1</f>
        <v>666</v>
      </c>
    </row>
    <row r="961" spans="1:15" s="22" customFormat="1">
      <c r="A961" s="22">
        <v>745</v>
      </c>
      <c r="B961" s="22" t="s">
        <v>977</v>
      </c>
      <c r="C961" s="22" t="s">
        <v>2208</v>
      </c>
      <c r="E961" s="22">
        <v>1</v>
      </c>
      <c r="F961" s="22">
        <v>405</v>
      </c>
      <c r="G961" s="30">
        <f>IF(OR(M961="",O961="",M961=0),"",(M961-O961)/M961)</f>
        <v>0.22098765432098766</v>
      </c>
      <c r="H961" s="22">
        <v>405</v>
      </c>
      <c r="I961" s="22">
        <v>282</v>
      </c>
      <c r="J961" s="22">
        <v>1</v>
      </c>
      <c r="K961" s="22">
        <v>10</v>
      </c>
      <c r="L961" s="22">
        <v>18</v>
      </c>
      <c r="M961" s="22">
        <f>_xlfn.CEILING.MATH(F961*2)</f>
        <v>810</v>
      </c>
      <c r="N961" s="22">
        <f>H961*1.18</f>
        <v>477.9</v>
      </c>
      <c r="O961" s="22">
        <f>_xlfn.CEILING.MATH(F961*1.56)-1</f>
        <v>631</v>
      </c>
    </row>
    <row r="962" spans="1:15" s="22" customFormat="1">
      <c r="A962" s="22">
        <v>746</v>
      </c>
      <c r="B962" s="22" t="s">
        <v>978</v>
      </c>
      <c r="C962" s="22" t="s">
        <v>2209</v>
      </c>
      <c r="E962" s="22">
        <v>1</v>
      </c>
      <c r="F962" s="22">
        <v>405</v>
      </c>
      <c r="G962" s="30">
        <f>IF(OR(M962="",O962="",M962=0),"",(M962-O962)/M962)</f>
        <v>0.22098765432098766</v>
      </c>
      <c r="H962" s="22">
        <v>405</v>
      </c>
      <c r="I962" s="22">
        <v>42</v>
      </c>
      <c r="J962" s="22">
        <v>1</v>
      </c>
      <c r="K962" s="22">
        <v>10</v>
      </c>
      <c r="L962" s="22">
        <v>18</v>
      </c>
      <c r="M962" s="22">
        <f>_xlfn.CEILING.MATH(F962*2)</f>
        <v>810</v>
      </c>
      <c r="N962" s="22">
        <f>H962*1.18</f>
        <v>477.9</v>
      </c>
      <c r="O962" s="22">
        <f>_xlfn.CEILING.MATH(F962*1.56)-1</f>
        <v>631</v>
      </c>
    </row>
    <row r="963" spans="1:15" s="22" customFormat="1">
      <c r="A963" s="22">
        <v>747</v>
      </c>
      <c r="B963" s="22" t="s">
        <v>979</v>
      </c>
      <c r="C963" s="22" t="s">
        <v>2210</v>
      </c>
      <c r="E963" s="22">
        <v>1</v>
      </c>
      <c r="F963" s="22">
        <v>1050</v>
      </c>
      <c r="G963" s="30">
        <f>IF(OR(M963="",O963="",M963=0),"",(M963-O963)/M963)</f>
        <v>0.22047619047619046</v>
      </c>
      <c r="H963" s="22">
        <v>1050</v>
      </c>
      <c r="I963" s="22">
        <v>82</v>
      </c>
      <c r="J963" s="22">
        <v>1</v>
      </c>
      <c r="K963" s="22">
        <v>10</v>
      </c>
      <c r="L963" s="22">
        <v>18</v>
      </c>
      <c r="M963" s="22">
        <f>_xlfn.CEILING.MATH(F963*2)</f>
        <v>2100</v>
      </c>
      <c r="N963" s="22">
        <f>H963*1.18</f>
        <v>1239</v>
      </c>
      <c r="O963" s="22">
        <f>_xlfn.CEILING.MATH(F963*1.56)-1</f>
        <v>1637</v>
      </c>
    </row>
    <row r="964" spans="1:15" s="22" customFormat="1">
      <c r="A964" s="22">
        <v>748</v>
      </c>
      <c r="B964" s="22" t="s">
        <v>980</v>
      </c>
      <c r="C964" s="22" t="s">
        <v>2211</v>
      </c>
      <c r="E964" s="22">
        <v>1</v>
      </c>
      <c r="F964" s="22">
        <v>1275</v>
      </c>
      <c r="G964" s="30">
        <f>IF(OR(M964="",O964="",M964=0),"",(M964-O964)/M964)</f>
        <v>0.2203921568627451</v>
      </c>
      <c r="H964" s="22">
        <v>1275</v>
      </c>
      <c r="I964" s="22">
        <v>90</v>
      </c>
      <c r="J964" s="22">
        <v>1</v>
      </c>
      <c r="K964" s="22">
        <v>10</v>
      </c>
      <c r="L964" s="22">
        <v>18</v>
      </c>
      <c r="M964" s="22">
        <f>_xlfn.CEILING.MATH(F964*2)</f>
        <v>2550</v>
      </c>
      <c r="N964" s="22">
        <f>H964*1.18</f>
        <v>1504.5</v>
      </c>
      <c r="O964" s="22">
        <f>_xlfn.CEILING.MATH(F964*1.56)-1</f>
        <v>1988</v>
      </c>
    </row>
    <row r="965" spans="1:15" s="22" customFormat="1">
      <c r="A965" s="22">
        <v>749</v>
      </c>
      <c r="B965" s="22" t="s">
        <v>981</v>
      </c>
      <c r="C965" s="22" t="s">
        <v>2212</v>
      </c>
      <c r="E965" s="22">
        <v>1</v>
      </c>
      <c r="F965" s="22">
        <v>1950</v>
      </c>
      <c r="G965" s="30">
        <f>IF(OR(M965="",O965="",M965=0),"",(M965-O965)/M965)</f>
        <v>0.22025641025641027</v>
      </c>
      <c r="H965" s="22">
        <v>1950</v>
      </c>
      <c r="I965" s="22">
        <v>52</v>
      </c>
      <c r="J965" s="22">
        <v>1</v>
      </c>
      <c r="K965" s="22">
        <v>4</v>
      </c>
      <c r="L965" s="22">
        <v>18</v>
      </c>
      <c r="M965" s="22">
        <f>_xlfn.CEILING.MATH(F965*2)</f>
        <v>3900</v>
      </c>
      <c r="N965" s="22">
        <f>H965*1.18</f>
        <v>2301</v>
      </c>
      <c r="O965" s="22">
        <f>_xlfn.CEILING.MATH(F965*1.56)-1</f>
        <v>3041</v>
      </c>
    </row>
    <row r="966" spans="1:15" s="22" customFormat="1">
      <c r="A966" s="22">
        <v>750</v>
      </c>
      <c r="B966" s="22" t="s">
        <v>982</v>
      </c>
      <c r="C966" s="22" t="s">
        <v>2213</v>
      </c>
      <c r="E966" s="22">
        <v>1</v>
      </c>
      <c r="F966" s="22">
        <v>2070</v>
      </c>
      <c r="G966" s="30">
        <f>IF(OR(M966="",O966="",M966=0),"",(M966-O966)/M966)</f>
        <v>0.22004830917874396</v>
      </c>
      <c r="H966" s="22">
        <v>2070</v>
      </c>
      <c r="I966" s="22">
        <v>6</v>
      </c>
      <c r="J966" s="22">
        <v>1</v>
      </c>
      <c r="K966" s="22">
        <v>4</v>
      </c>
      <c r="L966" s="22">
        <v>18</v>
      </c>
      <c r="M966" s="22">
        <f>_xlfn.CEILING.MATH(F966*2)</f>
        <v>4140</v>
      </c>
      <c r="N966" s="22">
        <f>H966*1.18</f>
        <v>2442.6</v>
      </c>
      <c r="O966" s="22">
        <f>_xlfn.CEILING.MATH(F966*1.56)-1</f>
        <v>3229</v>
      </c>
    </row>
    <row r="967" spans="1:15" s="22" customFormat="1">
      <c r="A967" s="22">
        <v>751</v>
      </c>
      <c r="B967" s="22" t="s">
        <v>2214</v>
      </c>
      <c r="C967" s="22" t="s">
        <v>2215</v>
      </c>
      <c r="E967" s="22">
        <v>1</v>
      </c>
      <c r="F967" s="22">
        <v>3450</v>
      </c>
      <c r="G967" s="30">
        <f>IF(OR(M967="",O967="",M967=0),"",(M967-O967)/M967)</f>
        <v>0.22014492753623188</v>
      </c>
      <c r="H967" s="22">
        <v>3450</v>
      </c>
      <c r="I967" s="22">
        <v>4</v>
      </c>
      <c r="J967" s="22">
        <v>1</v>
      </c>
      <c r="K967" s="22">
        <v>4</v>
      </c>
      <c r="L967" s="22">
        <v>18</v>
      </c>
      <c r="M967" s="22">
        <f>_xlfn.CEILING.MATH(F967*2)</f>
        <v>6900</v>
      </c>
      <c r="N967" s="22">
        <f>H967*1.18</f>
        <v>4071</v>
      </c>
      <c r="O967" s="22">
        <f>_xlfn.CEILING.MATH(F967*1.56)-1</f>
        <v>5381</v>
      </c>
    </row>
    <row r="968" spans="1:15" s="22" customFormat="1">
      <c r="A968" s="22">
        <v>752</v>
      </c>
      <c r="B968" s="22" t="s">
        <v>2216</v>
      </c>
      <c r="C968" s="22" t="s">
        <v>2217</v>
      </c>
      <c r="E968" s="22">
        <v>1</v>
      </c>
      <c r="F968" s="22">
        <v>1710</v>
      </c>
      <c r="G968" s="30">
        <f>IF(OR(M968="",O968="",M968=0),"",(M968-O968)/M968)</f>
        <v>0.22017543859649122</v>
      </c>
      <c r="H968" s="22">
        <v>1710</v>
      </c>
      <c r="I968" s="22">
        <v>0</v>
      </c>
      <c r="J968" s="22">
        <v>1</v>
      </c>
      <c r="K968" s="22">
        <v>10</v>
      </c>
      <c r="L968" s="22">
        <v>18</v>
      </c>
      <c r="M968" s="22">
        <f>_xlfn.CEILING.MATH(F968*2)</f>
        <v>3420</v>
      </c>
      <c r="N968" s="22">
        <f>H968*1.18</f>
        <v>2017.8</v>
      </c>
      <c r="O968" s="22">
        <f>_xlfn.CEILING.MATH(F968*1.56)-1</f>
        <v>2667</v>
      </c>
    </row>
    <row r="969" spans="1:15" s="22" customFormat="1">
      <c r="A969" s="22">
        <v>753</v>
      </c>
      <c r="B969" s="22" t="s">
        <v>2218</v>
      </c>
      <c r="C969" s="22" t="s">
        <v>2217</v>
      </c>
      <c r="E969" s="22">
        <v>1</v>
      </c>
      <c r="F969" s="22">
        <v>930</v>
      </c>
      <c r="G969" s="30">
        <f>IF(OR(M969="",O969="",M969=0),"",(M969-O969)/M969)</f>
        <v>0.22043010752688172</v>
      </c>
      <c r="H969" s="22">
        <v>930</v>
      </c>
      <c r="I969" s="22">
        <v>0</v>
      </c>
      <c r="J969" s="22">
        <v>1</v>
      </c>
      <c r="K969" s="22">
        <v>10</v>
      </c>
      <c r="L969" s="22">
        <v>18</v>
      </c>
      <c r="M969" s="22">
        <f>_xlfn.CEILING.MATH(F969*2)</f>
        <v>1860</v>
      </c>
      <c r="N969" s="22">
        <f>H969*1.18</f>
        <v>1097.3999999999999</v>
      </c>
      <c r="O969" s="22">
        <f>_xlfn.CEILING.MATH(F969*1.56)-1</f>
        <v>1450</v>
      </c>
    </row>
    <row r="970" spans="1:15" s="22" customFormat="1">
      <c r="A970" s="22">
        <v>754</v>
      </c>
      <c r="B970" s="22" t="s">
        <v>2219</v>
      </c>
      <c r="C970" s="22" t="s">
        <v>2217</v>
      </c>
      <c r="E970" s="22">
        <v>1</v>
      </c>
      <c r="F970" s="22">
        <v>1395</v>
      </c>
      <c r="G970" s="30">
        <f>IF(OR(M970="",O970="",M970=0),"",(M970-O970)/M970)</f>
        <v>0.22007168458781362</v>
      </c>
      <c r="H970" s="22">
        <v>1395</v>
      </c>
      <c r="I970" s="22">
        <v>0</v>
      </c>
      <c r="J970" s="22">
        <v>1</v>
      </c>
      <c r="K970" s="22">
        <v>10</v>
      </c>
      <c r="L970" s="22">
        <v>18</v>
      </c>
      <c r="M970" s="22">
        <f>_xlfn.CEILING.MATH(F970*2)</f>
        <v>2790</v>
      </c>
      <c r="N970" s="22">
        <f>H970*1.18</f>
        <v>1646.1</v>
      </c>
      <c r="O970" s="22">
        <f>_xlfn.CEILING.MATH(F970*1.56)-1</f>
        <v>2176</v>
      </c>
    </row>
    <row r="971" spans="1:15" s="22" customFormat="1">
      <c r="A971" s="22">
        <v>755</v>
      </c>
      <c r="B971" s="22" t="s">
        <v>2220</v>
      </c>
      <c r="C971" s="22" t="s">
        <v>2221</v>
      </c>
      <c r="E971" s="22">
        <v>1</v>
      </c>
      <c r="F971" s="22">
        <v>600</v>
      </c>
      <c r="G971" s="30">
        <f>IF(OR(M971="",O971="",M971=0),"",(M971-O971)/M971)</f>
        <v>0.22083333333333333</v>
      </c>
      <c r="H971" s="22">
        <v>600</v>
      </c>
      <c r="I971" s="22">
        <v>0</v>
      </c>
      <c r="J971" s="22">
        <v>0</v>
      </c>
      <c r="K971" s="22">
        <v>0</v>
      </c>
      <c r="L971" s="22">
        <v>18</v>
      </c>
      <c r="M971" s="22">
        <f>_xlfn.CEILING.MATH(F971*2)</f>
        <v>1200</v>
      </c>
      <c r="N971" s="22">
        <f>H971*1.18</f>
        <v>708</v>
      </c>
      <c r="O971" s="22">
        <f>_xlfn.CEILING.MATH(F971*1.56)-1</f>
        <v>935</v>
      </c>
    </row>
    <row r="972" spans="1:15" s="22" customFormat="1">
      <c r="A972" s="22">
        <v>756</v>
      </c>
      <c r="B972" s="22" t="s">
        <v>2222</v>
      </c>
      <c r="C972" s="22" t="s">
        <v>2223</v>
      </c>
      <c r="E972" s="22">
        <v>1</v>
      </c>
      <c r="F972" s="22">
        <v>460</v>
      </c>
      <c r="G972" s="30">
        <f>IF(OR(M972="",O972="",M972=0),"",(M972-O972)/M972)</f>
        <v>0.22065217391304348</v>
      </c>
      <c r="H972" s="22">
        <v>460</v>
      </c>
      <c r="I972" s="22">
        <v>37</v>
      </c>
      <c r="J972" s="22">
        <v>1</v>
      </c>
      <c r="K972" s="22">
        <v>10</v>
      </c>
      <c r="L972" s="22">
        <v>18</v>
      </c>
      <c r="M972" s="22">
        <f>_xlfn.CEILING.MATH(F972*2)</f>
        <v>920</v>
      </c>
      <c r="N972" s="22">
        <f>H972*1.18</f>
        <v>542.79999999999995</v>
      </c>
      <c r="O972" s="22">
        <f>_xlfn.CEILING.MATH(F972*1.56)-1</f>
        <v>717</v>
      </c>
    </row>
    <row r="973" spans="1:15" s="22" customFormat="1">
      <c r="A973" s="22">
        <v>757</v>
      </c>
      <c r="B973" s="22" t="s">
        <v>983</v>
      </c>
      <c r="C973" s="22" t="s">
        <v>2224</v>
      </c>
      <c r="E973" s="22">
        <v>1</v>
      </c>
      <c r="F973" s="22">
        <v>249</v>
      </c>
      <c r="G973" s="30">
        <f>IF(OR(M973="",O973="",M973=0),"",(M973-O973)/M973)</f>
        <v>0.22088353413654618</v>
      </c>
      <c r="H973" s="22">
        <v>249</v>
      </c>
      <c r="I973" s="22">
        <v>3</v>
      </c>
      <c r="J973" s="22">
        <v>1</v>
      </c>
      <c r="K973" s="22">
        <v>30</v>
      </c>
      <c r="L973" s="22">
        <v>18</v>
      </c>
      <c r="M973" s="22">
        <f>_xlfn.CEILING.MATH(F973*2)</f>
        <v>498</v>
      </c>
      <c r="N973" s="22">
        <f>H973*1.18</f>
        <v>293.82</v>
      </c>
      <c r="O973" s="22">
        <f>_xlfn.CEILING.MATH(F973*1.56)-1</f>
        <v>388</v>
      </c>
    </row>
    <row r="974" spans="1:15" s="22" customFormat="1">
      <c r="A974" s="22">
        <v>758</v>
      </c>
      <c r="B974" s="22" t="s">
        <v>984</v>
      </c>
      <c r="C974" s="22" t="s">
        <v>2225</v>
      </c>
      <c r="E974" s="22">
        <v>1</v>
      </c>
      <c r="F974" s="22">
        <v>373.5</v>
      </c>
      <c r="G974" s="30">
        <f>IF(OR(M974="",O974="",M974=0),"",(M974-O974)/M974)</f>
        <v>0.22088353413654618</v>
      </c>
      <c r="H974" s="22">
        <v>373.5</v>
      </c>
      <c r="I974" s="22">
        <v>0</v>
      </c>
      <c r="J974" s="22">
        <v>1</v>
      </c>
      <c r="K974" s="22">
        <v>20</v>
      </c>
      <c r="L974" s="22">
        <v>18</v>
      </c>
      <c r="M974" s="22">
        <f>_xlfn.CEILING.MATH(F974*2)</f>
        <v>747</v>
      </c>
      <c r="N974" s="22">
        <f>H974*1.18</f>
        <v>440.72999999999996</v>
      </c>
      <c r="O974" s="22">
        <f>_xlfn.CEILING.MATH(F974*1.56)-1</f>
        <v>582</v>
      </c>
    </row>
    <row r="975" spans="1:15" s="22" customFormat="1">
      <c r="A975" s="22">
        <v>759</v>
      </c>
      <c r="B975" s="22" t="s">
        <v>985</v>
      </c>
      <c r="C975" s="22" t="s">
        <v>2226</v>
      </c>
      <c r="E975" s="22">
        <v>1</v>
      </c>
      <c r="F975" s="22">
        <v>583.5</v>
      </c>
      <c r="G975" s="30">
        <f>IF(OR(M975="",O975="",M975=0),"",(M975-O975)/M975)</f>
        <v>0.22022279348757498</v>
      </c>
      <c r="H975" s="22">
        <v>583.5</v>
      </c>
      <c r="I975" s="22">
        <v>0</v>
      </c>
      <c r="J975" s="22">
        <v>1</v>
      </c>
      <c r="K975" s="22">
        <v>10</v>
      </c>
      <c r="L975" s="22">
        <v>18</v>
      </c>
      <c r="M975" s="22">
        <f>_xlfn.CEILING.MATH(F975*2)</f>
        <v>1167</v>
      </c>
      <c r="N975" s="22">
        <f>H975*1.18</f>
        <v>688.53</v>
      </c>
      <c r="O975" s="22">
        <f>_xlfn.CEILING.MATH(F975*1.56)-1</f>
        <v>910</v>
      </c>
    </row>
    <row r="976" spans="1:15" s="22" customFormat="1">
      <c r="A976" s="22">
        <v>760</v>
      </c>
      <c r="B976" s="22" t="s">
        <v>986</v>
      </c>
      <c r="C976" s="22" t="s">
        <v>2227</v>
      </c>
      <c r="E976" s="22">
        <v>1</v>
      </c>
      <c r="F976" s="22">
        <v>891.5</v>
      </c>
      <c r="G976" s="30">
        <f>IF(OR(M976="",O976="",M976=0),"",(M976-O976)/M976)</f>
        <v>0.22041503084688727</v>
      </c>
      <c r="H976" s="22">
        <v>891.5</v>
      </c>
      <c r="I976" s="22">
        <v>0</v>
      </c>
      <c r="J976" s="22">
        <v>1</v>
      </c>
      <c r="K976" s="22">
        <v>8</v>
      </c>
      <c r="L976" s="22">
        <v>18</v>
      </c>
      <c r="M976" s="22">
        <f>_xlfn.CEILING.MATH(F976*2)</f>
        <v>1783</v>
      </c>
      <c r="N976" s="22">
        <f>H976*1.18</f>
        <v>1051.97</v>
      </c>
      <c r="O976" s="22">
        <f>_xlfn.CEILING.MATH(F976*1.56)-1</f>
        <v>1390</v>
      </c>
    </row>
    <row r="977" spans="1:15" s="22" customFormat="1">
      <c r="A977" s="22">
        <v>761</v>
      </c>
      <c r="B977" s="22" t="s">
        <v>2228</v>
      </c>
      <c r="C977" s="22" t="s">
        <v>2229</v>
      </c>
      <c r="E977" s="22">
        <v>1</v>
      </c>
      <c r="F977" s="22">
        <v>405</v>
      </c>
      <c r="G977" s="30">
        <f>IF(OR(M977="",O977="",M977=0),"",(M977-O977)/M977)</f>
        <v>0.22098765432098766</v>
      </c>
      <c r="H977" s="22">
        <v>405</v>
      </c>
      <c r="I977" s="22">
        <v>0</v>
      </c>
      <c r="J977" s="22">
        <v>1</v>
      </c>
      <c r="K977" s="22">
        <v>15</v>
      </c>
      <c r="L977" s="22">
        <v>18</v>
      </c>
      <c r="M977" s="22">
        <f>_xlfn.CEILING.MATH(F977*2)</f>
        <v>810</v>
      </c>
      <c r="N977" s="22">
        <f>H977*1.18</f>
        <v>477.9</v>
      </c>
      <c r="O977" s="22">
        <f>_xlfn.CEILING.MATH(F977*1.56)-1</f>
        <v>631</v>
      </c>
    </row>
    <row r="978" spans="1:15" s="22" customFormat="1">
      <c r="A978" s="22">
        <v>762</v>
      </c>
      <c r="B978" s="22" t="s">
        <v>987</v>
      </c>
      <c r="C978" s="22" t="s">
        <v>2230</v>
      </c>
      <c r="E978" s="22">
        <v>1</v>
      </c>
      <c r="F978" s="22">
        <v>262.5</v>
      </c>
      <c r="G978" s="30">
        <f>IF(OR(M978="",O978="",M978=0),"",(M978-O978)/M978)</f>
        <v>0.22095238095238096</v>
      </c>
      <c r="H978" s="22">
        <v>262.5</v>
      </c>
      <c r="I978" s="22">
        <v>0</v>
      </c>
      <c r="J978" s="22">
        <v>5</v>
      </c>
      <c r="K978" s="22">
        <v>20</v>
      </c>
      <c r="L978" s="22">
        <v>18</v>
      </c>
      <c r="M978" s="22">
        <f>_xlfn.CEILING.MATH(F978*2)</f>
        <v>525</v>
      </c>
      <c r="N978" s="22">
        <f>H978*1.18</f>
        <v>309.75</v>
      </c>
      <c r="O978" s="22">
        <f>_xlfn.CEILING.MATH(F978*1.56)-1</f>
        <v>409</v>
      </c>
    </row>
    <row r="979" spans="1:15" s="22" customFormat="1">
      <c r="A979" s="22">
        <v>763</v>
      </c>
      <c r="B979" s="22" t="s">
        <v>988</v>
      </c>
      <c r="C979" s="22" t="s">
        <v>2231</v>
      </c>
      <c r="E979" s="22">
        <v>1</v>
      </c>
      <c r="F979" s="22">
        <v>652.5</v>
      </c>
      <c r="G979" s="30">
        <f>IF(OR(M979="",O979="",M979=0),"",(M979-O979)/M979)</f>
        <v>0.22068965517241379</v>
      </c>
      <c r="H979" s="22">
        <v>652.5</v>
      </c>
      <c r="I979" s="22">
        <v>0</v>
      </c>
      <c r="J979" s="22">
        <v>1</v>
      </c>
      <c r="K979" s="22">
        <v>10</v>
      </c>
      <c r="L979" s="22">
        <v>18</v>
      </c>
      <c r="M979" s="22">
        <f>_xlfn.CEILING.MATH(F979*2)</f>
        <v>1305</v>
      </c>
      <c r="N979" s="22">
        <f>H979*1.18</f>
        <v>769.94999999999993</v>
      </c>
      <c r="O979" s="22">
        <f>_xlfn.CEILING.MATH(F979*1.56)-1</f>
        <v>1017</v>
      </c>
    </row>
    <row r="980" spans="1:15" s="22" customFormat="1">
      <c r="A980" s="22">
        <v>764</v>
      </c>
      <c r="B980" s="22" t="s">
        <v>989</v>
      </c>
      <c r="C980" s="22" t="s">
        <v>2232</v>
      </c>
      <c r="E980" s="22">
        <v>1</v>
      </c>
      <c r="F980" s="22">
        <v>27.5</v>
      </c>
      <c r="G980" s="30">
        <f>IF(OR(M980="",O980="",M980=0),"",(M980-O980)/M980)</f>
        <v>0.23636363636363636</v>
      </c>
      <c r="H980" s="22">
        <v>27.5</v>
      </c>
      <c r="I980" s="22">
        <v>2879</v>
      </c>
      <c r="J980" s="22">
        <v>10</v>
      </c>
      <c r="K980" s="22">
        <v>300</v>
      </c>
      <c r="L980" s="22">
        <v>18</v>
      </c>
      <c r="M980" s="22">
        <f>_xlfn.CEILING.MATH(F980*2)</f>
        <v>55</v>
      </c>
      <c r="N980" s="22">
        <f>H980*1.18</f>
        <v>32.449999999999996</v>
      </c>
      <c r="O980" s="22">
        <f>_xlfn.CEILING.MATH(F980*1.56)-1</f>
        <v>42</v>
      </c>
    </row>
    <row r="981" spans="1:15" s="22" customFormat="1">
      <c r="A981" s="22">
        <v>765</v>
      </c>
      <c r="B981" s="22" t="s">
        <v>990</v>
      </c>
      <c r="C981" s="22" t="s">
        <v>2233</v>
      </c>
      <c r="E981" s="22">
        <v>1</v>
      </c>
      <c r="F981" s="22">
        <v>37.5</v>
      </c>
      <c r="G981" s="30">
        <f>IF(OR(M981="",O981="",M981=0),"",(M981-O981)/M981)</f>
        <v>0.22666666666666666</v>
      </c>
      <c r="H981" s="22">
        <v>37.5</v>
      </c>
      <c r="I981" s="22">
        <v>4582</v>
      </c>
      <c r="J981" s="22">
        <v>10</v>
      </c>
      <c r="K981" s="22">
        <v>300</v>
      </c>
      <c r="L981" s="22">
        <v>18</v>
      </c>
      <c r="M981" s="22">
        <f>_xlfn.CEILING.MATH(F981*2)</f>
        <v>75</v>
      </c>
      <c r="N981" s="22">
        <f>H981*1.18</f>
        <v>44.25</v>
      </c>
      <c r="O981" s="22">
        <f>_xlfn.CEILING.MATH(F981*1.56)-1</f>
        <v>58</v>
      </c>
    </row>
    <row r="982" spans="1:15" s="22" customFormat="1">
      <c r="A982" s="22">
        <v>766</v>
      </c>
      <c r="B982" s="22" t="s">
        <v>2234</v>
      </c>
      <c r="C982" s="22" t="s">
        <v>2235</v>
      </c>
      <c r="E982" s="22">
        <v>1</v>
      </c>
      <c r="F982" s="22">
        <v>1590</v>
      </c>
      <c r="G982" s="30">
        <f>IF(OR(M982="",O982="",M982=0),"",(M982-O982)/M982)</f>
        <v>0.22012578616352202</v>
      </c>
      <c r="H982" s="22">
        <v>1590</v>
      </c>
      <c r="I982" s="22">
        <v>0</v>
      </c>
      <c r="J982" s="22">
        <v>1</v>
      </c>
      <c r="K982" s="22">
        <v>10</v>
      </c>
      <c r="L982" s="22">
        <v>18</v>
      </c>
      <c r="M982" s="22">
        <f>_xlfn.CEILING.MATH(F982*2)</f>
        <v>3180</v>
      </c>
      <c r="N982" s="22">
        <f>H982*1.18</f>
        <v>1876.1999999999998</v>
      </c>
      <c r="O982" s="22">
        <f>_xlfn.CEILING.MATH(F982*1.56)-1</f>
        <v>2480</v>
      </c>
    </row>
    <row r="983" spans="1:15" s="22" customFormat="1">
      <c r="A983" s="22">
        <v>767</v>
      </c>
      <c r="B983" s="22" t="s">
        <v>991</v>
      </c>
      <c r="C983" s="22" t="s">
        <v>2236</v>
      </c>
      <c r="E983" s="22">
        <v>1</v>
      </c>
      <c r="F983" s="22">
        <v>87</v>
      </c>
      <c r="G983" s="30">
        <f>IF(OR(M983="",O983="",M983=0),"",(M983-O983)/M983)</f>
        <v>0.22413793103448276</v>
      </c>
      <c r="H983" s="22">
        <v>87</v>
      </c>
      <c r="I983" s="22">
        <v>1763</v>
      </c>
      <c r="J983" s="22">
        <v>5</v>
      </c>
      <c r="K983" s="22">
        <v>100</v>
      </c>
      <c r="L983" s="22">
        <v>18</v>
      </c>
      <c r="M983" s="22">
        <f>_xlfn.CEILING.MATH(F983*2)</f>
        <v>174</v>
      </c>
      <c r="N983" s="22">
        <f>H983*1.18</f>
        <v>102.66</v>
      </c>
      <c r="O983" s="22">
        <f>_xlfn.CEILING.MATH(F983*1.56)-1</f>
        <v>135</v>
      </c>
    </row>
    <row r="984" spans="1:15" s="22" customFormat="1">
      <c r="A984" s="22">
        <v>768</v>
      </c>
      <c r="B984" s="22" t="s">
        <v>992</v>
      </c>
      <c r="C984" s="22" t="s">
        <v>2237</v>
      </c>
      <c r="E984" s="22">
        <v>1</v>
      </c>
      <c r="F984" s="22">
        <v>115.5</v>
      </c>
      <c r="G984" s="30">
        <f>IF(OR(M984="",O984="",M984=0),"",(M984-O984)/M984)</f>
        <v>0.22077922077922077</v>
      </c>
      <c r="H984" s="22">
        <v>115.5</v>
      </c>
      <c r="I984" s="22">
        <v>660</v>
      </c>
      <c r="J984" s="22">
        <v>5</v>
      </c>
      <c r="K984" s="22">
        <v>40</v>
      </c>
      <c r="L984" s="22">
        <v>18</v>
      </c>
      <c r="M984" s="22">
        <f>_xlfn.CEILING.MATH(F984*2)</f>
        <v>231</v>
      </c>
      <c r="N984" s="22">
        <f>H984*1.18</f>
        <v>136.29</v>
      </c>
      <c r="O984" s="22">
        <f>_xlfn.CEILING.MATH(F984*1.56)-1</f>
        <v>180</v>
      </c>
    </row>
    <row r="985" spans="1:15" s="22" customFormat="1">
      <c r="A985" s="22">
        <v>769</v>
      </c>
      <c r="B985" s="22" t="s">
        <v>993</v>
      </c>
      <c r="C985" s="22" t="s">
        <v>2238</v>
      </c>
      <c r="E985" s="22">
        <v>1</v>
      </c>
      <c r="F985" s="22">
        <v>42</v>
      </c>
      <c r="G985" s="30">
        <f>IF(OR(M985="",O985="",M985=0),"",(M985-O985)/M985)</f>
        <v>0.22619047619047619</v>
      </c>
      <c r="H985" s="22">
        <v>42</v>
      </c>
      <c r="I985" s="22">
        <v>2886</v>
      </c>
      <c r="J985" s="22">
        <v>5</v>
      </c>
      <c r="K985" s="22">
        <v>150</v>
      </c>
      <c r="L985" s="22">
        <v>18</v>
      </c>
      <c r="M985" s="22">
        <f>_xlfn.CEILING.MATH(F985*2)</f>
        <v>84</v>
      </c>
      <c r="N985" s="22">
        <f>H985*1.18</f>
        <v>49.559999999999995</v>
      </c>
      <c r="O985" s="22">
        <f>_xlfn.CEILING.MATH(F985*1.56)-1</f>
        <v>65</v>
      </c>
    </row>
    <row r="986" spans="1:15" s="22" customFormat="1">
      <c r="A986" s="22">
        <v>770</v>
      </c>
      <c r="B986" s="22" t="s">
        <v>994</v>
      </c>
      <c r="C986" s="22" t="s">
        <v>2239</v>
      </c>
      <c r="E986" s="22">
        <v>1</v>
      </c>
      <c r="F986" s="22">
        <v>40.5</v>
      </c>
      <c r="G986" s="30">
        <f>IF(OR(M986="",O986="",M986=0),"",(M986-O986)/M986)</f>
        <v>0.22222222222222221</v>
      </c>
      <c r="H986" s="22">
        <v>40.5</v>
      </c>
      <c r="I986" s="22">
        <v>1088</v>
      </c>
      <c r="J986" s="22">
        <v>10</v>
      </c>
      <c r="K986" s="22">
        <v>300</v>
      </c>
      <c r="L986" s="22">
        <v>18</v>
      </c>
      <c r="M986" s="22">
        <f>_xlfn.CEILING.MATH(F986*2)</f>
        <v>81</v>
      </c>
      <c r="N986" s="22">
        <f>H986*1.18</f>
        <v>47.79</v>
      </c>
      <c r="O986" s="22">
        <f>_xlfn.CEILING.MATH(F986*1.56)-1</f>
        <v>63</v>
      </c>
    </row>
    <row r="987" spans="1:15" s="22" customFormat="1">
      <c r="A987" s="22">
        <v>771</v>
      </c>
      <c r="B987" s="22" t="s">
        <v>995</v>
      </c>
      <c r="C987" s="22" t="s">
        <v>2240</v>
      </c>
      <c r="E987" s="22">
        <v>1</v>
      </c>
      <c r="F987" s="22">
        <v>40.5</v>
      </c>
      <c r="G987" s="30">
        <f>IF(OR(M987="",O987="",M987=0),"",(M987-O987)/M987)</f>
        <v>0.22222222222222221</v>
      </c>
      <c r="H987" s="22">
        <v>40.5</v>
      </c>
      <c r="I987" s="22">
        <v>2283</v>
      </c>
      <c r="J987" s="22">
        <v>10</v>
      </c>
      <c r="K987" s="22">
        <v>250</v>
      </c>
      <c r="L987" s="22">
        <v>18</v>
      </c>
      <c r="M987" s="22">
        <f>_xlfn.CEILING.MATH(F987*2)</f>
        <v>81</v>
      </c>
      <c r="N987" s="22">
        <f>H987*1.18</f>
        <v>47.79</v>
      </c>
      <c r="O987" s="22">
        <f>_xlfn.CEILING.MATH(F987*1.56)-1</f>
        <v>63</v>
      </c>
    </row>
    <row r="988" spans="1:15" s="22" customFormat="1">
      <c r="A988" s="22">
        <v>772</v>
      </c>
      <c r="B988" s="22" t="s">
        <v>996</v>
      </c>
      <c r="C988" s="22" t="s">
        <v>2241</v>
      </c>
      <c r="E988" s="22">
        <v>1</v>
      </c>
      <c r="F988" s="22">
        <v>43</v>
      </c>
      <c r="G988" s="30">
        <f>IF(OR(M988="",O988="",M988=0),"",(M988-O988)/M988)</f>
        <v>0.22093023255813954</v>
      </c>
      <c r="H988" s="22">
        <v>43</v>
      </c>
      <c r="I988" s="22">
        <v>1426</v>
      </c>
      <c r="J988" s="22">
        <v>5</v>
      </c>
      <c r="K988" s="22">
        <v>150</v>
      </c>
      <c r="L988" s="22">
        <v>18</v>
      </c>
      <c r="M988" s="22">
        <f>_xlfn.CEILING.MATH(F988*2)</f>
        <v>86</v>
      </c>
      <c r="N988" s="22">
        <f>H988*1.18</f>
        <v>50.739999999999995</v>
      </c>
      <c r="O988" s="22">
        <f>_xlfn.CEILING.MATH(F988*1.56)-1</f>
        <v>67</v>
      </c>
    </row>
    <row r="989" spans="1:15" s="22" customFormat="1">
      <c r="A989" s="22">
        <v>773</v>
      </c>
      <c r="B989" s="22" t="s">
        <v>997</v>
      </c>
      <c r="C989" s="22" t="s">
        <v>2242</v>
      </c>
      <c r="E989" s="22">
        <v>1</v>
      </c>
      <c r="F989" s="22">
        <v>46</v>
      </c>
      <c r="G989" s="30">
        <f>IF(OR(M989="",O989="",M989=0),"",(M989-O989)/M989)</f>
        <v>0.22826086956521738</v>
      </c>
      <c r="H989" s="22">
        <v>46</v>
      </c>
      <c r="I989" s="22">
        <v>523</v>
      </c>
      <c r="J989" s="22">
        <v>5</v>
      </c>
      <c r="K989" s="22">
        <v>150</v>
      </c>
      <c r="L989" s="22">
        <v>18</v>
      </c>
      <c r="M989" s="22">
        <f>_xlfn.CEILING.MATH(F989*2)</f>
        <v>92</v>
      </c>
      <c r="N989" s="22">
        <f>H989*1.18</f>
        <v>54.279999999999994</v>
      </c>
      <c r="O989" s="22">
        <f>_xlfn.CEILING.MATH(F989*1.56)-1</f>
        <v>71</v>
      </c>
    </row>
    <row r="990" spans="1:15" s="22" customFormat="1">
      <c r="A990" s="22">
        <v>774</v>
      </c>
      <c r="B990" s="22" t="s">
        <v>998</v>
      </c>
      <c r="C990" s="22" t="s">
        <v>2243</v>
      </c>
      <c r="E990" s="22">
        <v>1</v>
      </c>
      <c r="F990" s="22">
        <v>60</v>
      </c>
      <c r="G990" s="30">
        <f>IF(OR(M990="",O990="",M990=0),"",(M990-O990)/M990)</f>
        <v>0.22500000000000001</v>
      </c>
      <c r="H990" s="22">
        <v>60</v>
      </c>
      <c r="I990" s="22">
        <v>16</v>
      </c>
      <c r="J990" s="22">
        <v>5</v>
      </c>
      <c r="K990" s="22">
        <v>150</v>
      </c>
      <c r="L990" s="22">
        <v>18</v>
      </c>
      <c r="M990" s="22">
        <f>_xlfn.CEILING.MATH(F990*2)</f>
        <v>120</v>
      </c>
      <c r="N990" s="22">
        <f>H990*1.18</f>
        <v>70.8</v>
      </c>
      <c r="O990" s="22">
        <f>_xlfn.CEILING.MATH(F990*1.56)-1</f>
        <v>93</v>
      </c>
    </row>
    <row r="991" spans="1:15" s="22" customFormat="1">
      <c r="A991" s="22">
        <v>775</v>
      </c>
      <c r="B991" s="22" t="s">
        <v>999</v>
      </c>
      <c r="C991" s="22" t="s">
        <v>2244</v>
      </c>
      <c r="E991" s="22">
        <v>1</v>
      </c>
      <c r="F991" s="22">
        <v>76.5</v>
      </c>
      <c r="G991" s="30">
        <f>IF(OR(M991="",O991="",M991=0),"",(M991-O991)/M991)</f>
        <v>0.22222222222222221</v>
      </c>
      <c r="H991" s="22">
        <v>76.5</v>
      </c>
      <c r="I991" s="22">
        <v>0</v>
      </c>
      <c r="J991" s="22">
        <v>5</v>
      </c>
      <c r="K991" s="22">
        <v>100</v>
      </c>
      <c r="L991" s="22">
        <v>18</v>
      </c>
      <c r="M991" s="22">
        <f>_xlfn.CEILING.MATH(F991*2)</f>
        <v>153</v>
      </c>
      <c r="N991" s="22">
        <f>H991*1.18</f>
        <v>90.27</v>
      </c>
      <c r="O991" s="22">
        <f>_xlfn.CEILING.MATH(F991*1.56)-1</f>
        <v>119</v>
      </c>
    </row>
    <row r="992" spans="1:15" s="22" customFormat="1">
      <c r="A992" s="22">
        <v>776</v>
      </c>
      <c r="B992" s="22" t="s">
        <v>1000</v>
      </c>
      <c r="C992" s="22" t="s">
        <v>2245</v>
      </c>
      <c r="E992" s="22">
        <v>1</v>
      </c>
      <c r="F992" s="22">
        <v>70.5</v>
      </c>
      <c r="G992" s="30">
        <f>IF(OR(M992="",O992="",M992=0),"",(M992-O992)/M992)</f>
        <v>0.22695035460992907</v>
      </c>
      <c r="H992" s="22">
        <v>70.5</v>
      </c>
      <c r="I992" s="22">
        <v>0</v>
      </c>
      <c r="J992" s="22">
        <v>5</v>
      </c>
      <c r="K992" s="22">
        <v>100</v>
      </c>
      <c r="L992" s="22">
        <v>18</v>
      </c>
      <c r="M992" s="22">
        <f>_xlfn.CEILING.MATH(F992*2)</f>
        <v>141</v>
      </c>
      <c r="N992" s="22">
        <f>H992*1.18</f>
        <v>83.19</v>
      </c>
      <c r="O992" s="22">
        <f>_xlfn.CEILING.MATH(F992*1.56)-1</f>
        <v>109</v>
      </c>
    </row>
    <row r="993" spans="1:15" s="22" customFormat="1">
      <c r="A993" s="22">
        <v>777</v>
      </c>
      <c r="B993" s="22" t="s">
        <v>1001</v>
      </c>
      <c r="C993" s="22" t="s">
        <v>2246</v>
      </c>
      <c r="E993" s="22">
        <v>1</v>
      </c>
      <c r="F993" s="22">
        <v>85.5</v>
      </c>
      <c r="G993" s="30">
        <f>IF(OR(M993="",O993="",M993=0),"",(M993-O993)/M993)</f>
        <v>0.22222222222222221</v>
      </c>
      <c r="H993" s="22">
        <v>85.5</v>
      </c>
      <c r="I993" s="22">
        <v>3966</v>
      </c>
      <c r="J993" s="22">
        <v>5</v>
      </c>
      <c r="K993" s="22">
        <v>100</v>
      </c>
      <c r="L993" s="22">
        <v>18</v>
      </c>
      <c r="M993" s="22">
        <f>_xlfn.CEILING.MATH(F993*2)</f>
        <v>171</v>
      </c>
      <c r="N993" s="22">
        <f>H993*1.18</f>
        <v>100.89</v>
      </c>
      <c r="O993" s="22">
        <f>_xlfn.CEILING.MATH(F993*1.56)-1</f>
        <v>133</v>
      </c>
    </row>
    <row r="994" spans="1:15" s="22" customFormat="1">
      <c r="A994" s="22">
        <v>778</v>
      </c>
      <c r="B994" s="22" t="s">
        <v>1002</v>
      </c>
      <c r="C994" s="22" t="s">
        <v>2247</v>
      </c>
      <c r="E994" s="22">
        <v>1</v>
      </c>
      <c r="F994" s="22">
        <v>1300</v>
      </c>
      <c r="G994" s="30">
        <f>IF(OR(M994="",O994="",M994=0),"",(M994-O994)/M994)</f>
        <v>0.22038461538461537</v>
      </c>
      <c r="H994" s="22">
        <v>1300</v>
      </c>
      <c r="I994" s="22">
        <v>0</v>
      </c>
      <c r="J994" s="22">
        <v>1</v>
      </c>
      <c r="K994" s="22">
        <v>10</v>
      </c>
      <c r="L994" s="22">
        <v>18</v>
      </c>
      <c r="M994" s="22">
        <f>_xlfn.CEILING.MATH(F994*2)</f>
        <v>2600</v>
      </c>
      <c r="N994" s="22">
        <f>H994*1.18</f>
        <v>1534</v>
      </c>
      <c r="O994" s="22">
        <f>_xlfn.CEILING.MATH(F994*1.56)-1</f>
        <v>2027</v>
      </c>
    </row>
    <row r="995" spans="1:15" s="22" customFormat="1">
      <c r="A995" s="22">
        <v>779</v>
      </c>
      <c r="B995" s="22" t="s">
        <v>1003</v>
      </c>
      <c r="C995" s="22" t="s">
        <v>2248</v>
      </c>
      <c r="E995" s="22">
        <v>1</v>
      </c>
      <c r="F995" s="22">
        <v>460</v>
      </c>
      <c r="G995" s="30">
        <f>IF(OR(M995="",O995="",M995=0),"",(M995-O995)/M995)</f>
        <v>0.22065217391304348</v>
      </c>
      <c r="H995" s="22">
        <v>460</v>
      </c>
      <c r="I995" s="22">
        <v>0</v>
      </c>
      <c r="J995" s="22">
        <v>1</v>
      </c>
      <c r="K995" s="22">
        <v>10</v>
      </c>
      <c r="L995" s="22">
        <v>18</v>
      </c>
      <c r="M995" s="22">
        <f>_xlfn.CEILING.MATH(F995*2)</f>
        <v>920</v>
      </c>
      <c r="N995" s="22">
        <f>H995*1.18</f>
        <v>542.79999999999995</v>
      </c>
      <c r="O995" s="22">
        <f>_xlfn.CEILING.MATH(F995*1.56)-1</f>
        <v>717</v>
      </c>
    </row>
    <row r="996" spans="1:15" s="22" customFormat="1">
      <c r="A996" s="22">
        <v>780</v>
      </c>
      <c r="B996" s="22" t="s">
        <v>1004</v>
      </c>
      <c r="C996" s="22" t="s">
        <v>2249</v>
      </c>
      <c r="E996" s="22">
        <v>1</v>
      </c>
      <c r="F996" s="22">
        <v>85.5</v>
      </c>
      <c r="G996" s="30">
        <f>IF(OR(M996="",O996="",M996=0),"",(M996-O996)/M996)</f>
        <v>0.22222222222222221</v>
      </c>
      <c r="H996" s="22">
        <v>85.5</v>
      </c>
      <c r="I996" s="22">
        <v>2892</v>
      </c>
      <c r="J996" s="22">
        <v>5</v>
      </c>
      <c r="K996" s="22">
        <v>100</v>
      </c>
      <c r="L996" s="22">
        <v>18</v>
      </c>
      <c r="M996" s="22">
        <f>_xlfn.CEILING.MATH(F996*2)</f>
        <v>171</v>
      </c>
      <c r="N996" s="22">
        <f>H996*1.18</f>
        <v>100.89</v>
      </c>
      <c r="O996" s="22">
        <f>_xlfn.CEILING.MATH(F996*1.56)-1</f>
        <v>133</v>
      </c>
    </row>
    <row r="997" spans="1:15" s="22" customFormat="1">
      <c r="A997" s="22">
        <v>781</v>
      </c>
      <c r="B997" s="22" t="s">
        <v>1005</v>
      </c>
      <c r="C997" s="22" t="s">
        <v>2250</v>
      </c>
      <c r="E997" s="22">
        <v>1</v>
      </c>
      <c r="F997" s="22">
        <v>103.5</v>
      </c>
      <c r="G997" s="30">
        <f>IF(OR(M997="",O997="",M997=0),"",(M997-O997)/M997)</f>
        <v>0.22222222222222221</v>
      </c>
      <c r="H997" s="22">
        <v>103.5</v>
      </c>
      <c r="I997" s="22">
        <v>71</v>
      </c>
      <c r="J997" s="22">
        <v>5</v>
      </c>
      <c r="K997" s="22">
        <v>50</v>
      </c>
      <c r="L997" s="22">
        <v>18</v>
      </c>
      <c r="M997" s="22">
        <f>_xlfn.CEILING.MATH(F997*2)</f>
        <v>207</v>
      </c>
      <c r="N997" s="22">
        <f>H997*1.18</f>
        <v>122.13</v>
      </c>
      <c r="O997" s="22">
        <f>_xlfn.CEILING.MATH(F997*1.56)-1</f>
        <v>161</v>
      </c>
    </row>
    <row r="998" spans="1:15" s="22" customFormat="1">
      <c r="A998" s="22">
        <v>782</v>
      </c>
      <c r="B998" s="22" t="s">
        <v>1006</v>
      </c>
      <c r="C998" s="22" t="s">
        <v>2251</v>
      </c>
      <c r="E998" s="22">
        <v>1</v>
      </c>
      <c r="F998" s="22">
        <v>115.5</v>
      </c>
      <c r="G998" s="30">
        <f>IF(OR(M998="",O998="",M998=0),"",(M998-O998)/M998)</f>
        <v>0.22077922077922077</v>
      </c>
      <c r="H998" s="22">
        <v>115.5</v>
      </c>
      <c r="I998" s="22">
        <v>240</v>
      </c>
      <c r="J998" s="22">
        <v>5</v>
      </c>
      <c r="K998" s="22">
        <v>50</v>
      </c>
      <c r="L998" s="22">
        <v>18</v>
      </c>
      <c r="M998" s="22">
        <f>_xlfn.CEILING.MATH(F998*2)</f>
        <v>231</v>
      </c>
      <c r="N998" s="22">
        <f>H998*1.18</f>
        <v>136.29</v>
      </c>
      <c r="O998" s="22">
        <f>_xlfn.CEILING.MATH(F998*1.56)-1</f>
        <v>180</v>
      </c>
    </row>
    <row r="999" spans="1:15" s="22" customFormat="1">
      <c r="A999" s="22">
        <v>783</v>
      </c>
      <c r="B999" s="22" t="s">
        <v>1007</v>
      </c>
      <c r="C999" s="22" t="s">
        <v>2252</v>
      </c>
      <c r="E999" s="22">
        <v>1</v>
      </c>
      <c r="F999" s="22">
        <v>115.5</v>
      </c>
      <c r="G999" s="30">
        <f>IF(OR(M999="",O999="",M999=0),"",(M999-O999)/M999)</f>
        <v>0.22077922077922077</v>
      </c>
      <c r="H999" s="22">
        <v>115.5</v>
      </c>
      <c r="I999" s="22">
        <v>2817</v>
      </c>
      <c r="J999" s="22">
        <v>5</v>
      </c>
      <c r="K999" s="22">
        <v>50</v>
      </c>
      <c r="L999" s="22">
        <v>18</v>
      </c>
      <c r="M999" s="22">
        <f>_xlfn.CEILING.MATH(F999*2)</f>
        <v>231</v>
      </c>
      <c r="N999" s="22">
        <f>H999*1.18</f>
        <v>136.29</v>
      </c>
      <c r="O999" s="22">
        <f>_xlfn.CEILING.MATH(F999*1.56)-1</f>
        <v>180</v>
      </c>
    </row>
    <row r="1000" spans="1:15" s="22" customFormat="1">
      <c r="A1000" s="22">
        <v>784</v>
      </c>
      <c r="B1000" s="22" t="s">
        <v>1008</v>
      </c>
      <c r="C1000" s="22" t="s">
        <v>2253</v>
      </c>
      <c r="E1000" s="22">
        <v>1</v>
      </c>
      <c r="F1000" s="22">
        <v>144</v>
      </c>
      <c r="G1000" s="30">
        <f>IF(OR(M1000="",O1000="",M1000=0),"",(M1000-O1000)/M1000)</f>
        <v>0.22222222222222221</v>
      </c>
      <c r="H1000" s="22">
        <v>144</v>
      </c>
      <c r="I1000" s="22">
        <v>3040</v>
      </c>
      <c r="J1000" s="22">
        <v>5</v>
      </c>
      <c r="K1000" s="22">
        <v>50</v>
      </c>
      <c r="L1000" s="22">
        <v>18</v>
      </c>
      <c r="M1000" s="22">
        <f>_xlfn.CEILING.MATH(F1000*2)</f>
        <v>288</v>
      </c>
      <c r="N1000" s="22">
        <f>H1000*1.18</f>
        <v>169.92</v>
      </c>
      <c r="O1000" s="22">
        <f>_xlfn.CEILING.MATH(F1000*1.56)-1</f>
        <v>224</v>
      </c>
    </row>
    <row r="1001" spans="1:15" s="22" customFormat="1">
      <c r="A1001" s="22">
        <v>785</v>
      </c>
      <c r="B1001" s="22" t="s">
        <v>1009</v>
      </c>
      <c r="C1001" s="22" t="s">
        <v>2254</v>
      </c>
      <c r="E1001" s="22">
        <v>1</v>
      </c>
      <c r="F1001" s="22">
        <v>61.5</v>
      </c>
      <c r="G1001" s="30">
        <f>IF(OR(M1001="",O1001="",M1001=0),"",(M1001-O1001)/M1001)</f>
        <v>0.22764227642276422</v>
      </c>
      <c r="H1001" s="22">
        <v>61.5</v>
      </c>
      <c r="I1001" s="22">
        <v>2911</v>
      </c>
      <c r="J1001" s="22">
        <v>5</v>
      </c>
      <c r="K1001" s="22">
        <v>150</v>
      </c>
      <c r="L1001" s="22">
        <v>18</v>
      </c>
      <c r="M1001" s="22">
        <f>_xlfn.CEILING.MATH(F1001*2)</f>
        <v>123</v>
      </c>
      <c r="N1001" s="22">
        <f>H1001*1.18</f>
        <v>72.569999999999993</v>
      </c>
      <c r="O1001" s="22">
        <f>_xlfn.CEILING.MATH(F1001*1.56)-1</f>
        <v>95</v>
      </c>
    </row>
    <row r="1002" spans="1:15" s="22" customFormat="1">
      <c r="A1002" s="22">
        <v>786</v>
      </c>
      <c r="B1002" s="22" t="s">
        <v>1010</v>
      </c>
      <c r="C1002" s="22" t="s">
        <v>2255</v>
      </c>
      <c r="E1002" s="22">
        <v>1</v>
      </c>
      <c r="F1002" s="22">
        <v>84</v>
      </c>
      <c r="G1002" s="30">
        <f>IF(OR(M1002="",O1002="",M1002=0),"",(M1002-O1002)/M1002)</f>
        <v>0.22023809523809523</v>
      </c>
      <c r="H1002" s="22">
        <v>84</v>
      </c>
      <c r="I1002" s="22">
        <v>4637</v>
      </c>
      <c r="J1002" s="22">
        <v>5</v>
      </c>
      <c r="K1002" s="22">
        <v>100</v>
      </c>
      <c r="L1002" s="22">
        <v>18</v>
      </c>
      <c r="M1002" s="22">
        <f>_xlfn.CEILING.MATH(F1002*2)</f>
        <v>168</v>
      </c>
      <c r="N1002" s="22">
        <f>H1002*1.18</f>
        <v>99.11999999999999</v>
      </c>
      <c r="O1002" s="22">
        <f>_xlfn.CEILING.MATH(F1002*1.56)-1</f>
        <v>131</v>
      </c>
    </row>
    <row r="1003" spans="1:15" s="22" customFormat="1">
      <c r="A1003" s="22">
        <v>787</v>
      </c>
      <c r="B1003" s="22" t="s">
        <v>1011</v>
      </c>
      <c r="C1003" s="22" t="s">
        <v>2256</v>
      </c>
      <c r="E1003" s="22">
        <v>1</v>
      </c>
      <c r="F1003" s="22">
        <v>189</v>
      </c>
      <c r="G1003" s="30">
        <f>IF(OR(M1003="",O1003="",M1003=0),"",(M1003-O1003)/M1003)</f>
        <v>0.22222222222222221</v>
      </c>
      <c r="H1003" s="22">
        <v>189</v>
      </c>
      <c r="I1003" s="22">
        <v>695</v>
      </c>
      <c r="J1003" s="22">
        <v>5</v>
      </c>
      <c r="K1003" s="22">
        <v>40</v>
      </c>
      <c r="L1003" s="22">
        <v>18</v>
      </c>
      <c r="M1003" s="22">
        <f>_xlfn.CEILING.MATH(F1003*2)</f>
        <v>378</v>
      </c>
      <c r="N1003" s="22">
        <f>H1003*1.18</f>
        <v>223.01999999999998</v>
      </c>
      <c r="O1003" s="22">
        <f>_xlfn.CEILING.MATH(F1003*1.56)-1</f>
        <v>294</v>
      </c>
    </row>
    <row r="1004" spans="1:15" s="22" customFormat="1">
      <c r="A1004" s="22">
        <v>788</v>
      </c>
      <c r="B1004" s="22" t="s">
        <v>1012</v>
      </c>
      <c r="C1004" s="22" t="s">
        <v>2257</v>
      </c>
      <c r="E1004" s="22">
        <v>1</v>
      </c>
      <c r="F1004" s="22">
        <v>84</v>
      </c>
      <c r="G1004" s="30">
        <f>IF(OR(M1004="",O1004="",M1004=0),"",(M1004-O1004)/M1004)</f>
        <v>0.22023809523809523</v>
      </c>
      <c r="H1004" s="22">
        <v>84</v>
      </c>
      <c r="I1004" s="22">
        <v>893</v>
      </c>
      <c r="J1004" s="22">
        <v>5</v>
      </c>
      <c r="K1004" s="22">
        <v>100</v>
      </c>
      <c r="L1004" s="22">
        <v>18</v>
      </c>
      <c r="M1004" s="22">
        <f>_xlfn.CEILING.MATH(F1004*2)</f>
        <v>168</v>
      </c>
      <c r="N1004" s="22">
        <f>H1004*1.18</f>
        <v>99.11999999999999</v>
      </c>
      <c r="O1004" s="22">
        <f>_xlfn.CEILING.MATH(F1004*1.56)-1</f>
        <v>131</v>
      </c>
    </row>
    <row r="1005" spans="1:15" s="22" customFormat="1">
      <c r="A1005" s="22">
        <v>789</v>
      </c>
      <c r="B1005" s="22" t="s">
        <v>1013</v>
      </c>
      <c r="C1005" s="22" t="s">
        <v>2258</v>
      </c>
      <c r="E1005" s="22">
        <v>1</v>
      </c>
      <c r="F1005" s="22">
        <v>187.5</v>
      </c>
      <c r="G1005" s="30">
        <f>IF(OR(M1005="",O1005="",M1005=0),"",(M1005-O1005)/M1005)</f>
        <v>0.22133333333333333</v>
      </c>
      <c r="H1005" s="22">
        <v>187.5</v>
      </c>
      <c r="I1005" s="22">
        <v>218</v>
      </c>
      <c r="J1005" s="22">
        <v>5</v>
      </c>
      <c r="K1005" s="22">
        <v>40</v>
      </c>
      <c r="L1005" s="22">
        <v>18</v>
      </c>
      <c r="M1005" s="22">
        <f>_xlfn.CEILING.MATH(F1005*2)</f>
        <v>375</v>
      </c>
      <c r="N1005" s="22">
        <f>H1005*1.18</f>
        <v>221.25</v>
      </c>
      <c r="O1005" s="22">
        <f>_xlfn.CEILING.MATH(F1005*1.56)-1</f>
        <v>292</v>
      </c>
    </row>
    <row r="1006" spans="1:15" s="22" customFormat="1">
      <c r="A1006" s="22">
        <v>790</v>
      </c>
      <c r="B1006" s="22" t="s">
        <v>1014</v>
      </c>
      <c r="C1006" s="22" t="s">
        <v>2259</v>
      </c>
      <c r="E1006" s="22">
        <v>1</v>
      </c>
      <c r="F1006" s="22">
        <v>147</v>
      </c>
      <c r="G1006" s="30">
        <f>IF(OR(M1006="",O1006="",M1006=0),"",(M1006-O1006)/M1006)</f>
        <v>0.22108843537414966</v>
      </c>
      <c r="H1006" s="22">
        <v>147</v>
      </c>
      <c r="I1006" s="22">
        <v>8</v>
      </c>
      <c r="J1006" s="22">
        <v>5</v>
      </c>
      <c r="K1006" s="22">
        <v>50</v>
      </c>
      <c r="L1006" s="22">
        <v>18</v>
      </c>
      <c r="M1006" s="22">
        <f>_xlfn.CEILING.MATH(F1006*2)</f>
        <v>294</v>
      </c>
      <c r="N1006" s="22">
        <f>H1006*1.18</f>
        <v>173.45999999999998</v>
      </c>
      <c r="O1006" s="22">
        <f>_xlfn.CEILING.MATH(F1006*1.56)-1</f>
        <v>229</v>
      </c>
    </row>
    <row r="1007" spans="1:15" s="22" customFormat="1">
      <c r="A1007" s="22">
        <v>791</v>
      </c>
      <c r="B1007" s="22" t="s">
        <v>1015</v>
      </c>
      <c r="C1007" s="22" t="s">
        <v>2260</v>
      </c>
      <c r="E1007" s="22">
        <v>1</v>
      </c>
      <c r="F1007" s="22">
        <v>108</v>
      </c>
      <c r="G1007" s="30">
        <f>IF(OR(M1007="",O1007="",M1007=0),"",(M1007-O1007)/M1007)</f>
        <v>0.22222222222222221</v>
      </c>
      <c r="H1007" s="22">
        <v>108</v>
      </c>
      <c r="I1007" s="22">
        <v>389</v>
      </c>
      <c r="J1007" s="22">
        <v>5</v>
      </c>
      <c r="K1007" s="22">
        <v>50</v>
      </c>
      <c r="L1007" s="22">
        <v>18</v>
      </c>
      <c r="M1007" s="22">
        <f>_xlfn.CEILING.MATH(F1007*2)</f>
        <v>216</v>
      </c>
      <c r="N1007" s="22">
        <f>H1007*1.18</f>
        <v>127.44</v>
      </c>
      <c r="O1007" s="22">
        <f>_xlfn.CEILING.MATH(F1007*1.56)-1</f>
        <v>168</v>
      </c>
    </row>
    <row r="1008" spans="1:15" s="22" customFormat="1">
      <c r="A1008" s="22">
        <v>792</v>
      </c>
      <c r="B1008" s="22" t="s">
        <v>1016</v>
      </c>
      <c r="C1008" s="22" t="s">
        <v>2261</v>
      </c>
      <c r="E1008" s="22">
        <v>1</v>
      </c>
      <c r="F1008" s="22">
        <v>189</v>
      </c>
      <c r="G1008" s="30">
        <f>IF(OR(M1008="",O1008="",M1008=0),"",(M1008-O1008)/M1008)</f>
        <v>0.22222222222222221</v>
      </c>
      <c r="H1008" s="22">
        <v>189</v>
      </c>
      <c r="I1008" s="22">
        <v>581</v>
      </c>
      <c r="J1008" s="22">
        <v>5</v>
      </c>
      <c r="K1008" s="22">
        <v>40</v>
      </c>
      <c r="L1008" s="22">
        <v>18</v>
      </c>
      <c r="M1008" s="22">
        <f>_xlfn.CEILING.MATH(F1008*2)</f>
        <v>378</v>
      </c>
      <c r="N1008" s="22">
        <f>H1008*1.18</f>
        <v>223.01999999999998</v>
      </c>
      <c r="O1008" s="22">
        <f>_xlfn.CEILING.MATH(F1008*1.56)-1</f>
        <v>294</v>
      </c>
    </row>
    <row r="1009" spans="1:15" s="22" customFormat="1">
      <c r="A1009" s="22">
        <v>793</v>
      </c>
      <c r="B1009" s="22" t="s">
        <v>1017</v>
      </c>
      <c r="C1009" s="22" t="s">
        <v>2262</v>
      </c>
      <c r="E1009" s="22">
        <v>1</v>
      </c>
      <c r="F1009" s="22">
        <v>999</v>
      </c>
      <c r="G1009" s="30">
        <f>IF(OR(M1009="",O1009="",M1009=0),"",(M1009-O1009)/M1009)</f>
        <v>0.22022022022022023</v>
      </c>
      <c r="H1009" s="22">
        <v>999</v>
      </c>
      <c r="I1009" s="22">
        <v>0</v>
      </c>
      <c r="J1009" s="22">
        <v>1</v>
      </c>
      <c r="K1009" s="22">
        <v>8</v>
      </c>
      <c r="L1009" s="22">
        <v>18</v>
      </c>
      <c r="M1009" s="22">
        <f>_xlfn.CEILING.MATH(F1009*2)</f>
        <v>1998</v>
      </c>
      <c r="N1009" s="22">
        <f>H1009*1.18</f>
        <v>1178.82</v>
      </c>
      <c r="O1009" s="22">
        <f>_xlfn.CEILING.MATH(F1009*1.56)-1</f>
        <v>1558</v>
      </c>
    </row>
    <row r="1010" spans="1:15" s="22" customFormat="1">
      <c r="A1010" s="22">
        <v>794</v>
      </c>
      <c r="B1010" s="22" t="s">
        <v>1018</v>
      </c>
      <c r="C1010" s="22" t="s">
        <v>2263</v>
      </c>
      <c r="E1010" s="22">
        <v>1</v>
      </c>
      <c r="F1010" s="22">
        <v>649.5</v>
      </c>
      <c r="G1010" s="30">
        <f>IF(OR(M1010="",O1010="",M1010=0),"",(M1010-O1010)/M1010)</f>
        <v>0.22016936104695919</v>
      </c>
      <c r="H1010" s="22">
        <v>649.5</v>
      </c>
      <c r="I1010" s="22">
        <v>10</v>
      </c>
      <c r="J1010" s="22">
        <v>1</v>
      </c>
      <c r="K1010" s="22">
        <v>8</v>
      </c>
      <c r="L1010" s="22">
        <v>18</v>
      </c>
      <c r="M1010" s="22">
        <f>_xlfn.CEILING.MATH(F1010*2)</f>
        <v>1299</v>
      </c>
      <c r="N1010" s="22">
        <f>H1010*1.18</f>
        <v>766.41</v>
      </c>
      <c r="O1010" s="22">
        <f>_xlfn.CEILING.MATH(F1010*1.56)-1</f>
        <v>1013</v>
      </c>
    </row>
    <row r="1011" spans="1:15" s="22" customFormat="1">
      <c r="A1011" s="22">
        <v>795</v>
      </c>
      <c r="B1011" s="22" t="s">
        <v>1019</v>
      </c>
      <c r="C1011" s="22" t="s">
        <v>2264</v>
      </c>
      <c r="E1011" s="22">
        <v>1</v>
      </c>
      <c r="F1011" s="22">
        <v>46.5</v>
      </c>
      <c r="G1011" s="30">
        <f>IF(OR(M1011="",O1011="",M1011=0),"",(M1011-O1011)/M1011)</f>
        <v>0.22580645161290322</v>
      </c>
      <c r="H1011" s="22">
        <v>46.5</v>
      </c>
      <c r="I1011" s="22">
        <v>2142</v>
      </c>
      <c r="J1011" s="22">
        <v>5</v>
      </c>
      <c r="K1011" s="22">
        <v>150</v>
      </c>
      <c r="L1011" s="22">
        <v>18</v>
      </c>
      <c r="M1011" s="22">
        <f>_xlfn.CEILING.MATH(F1011*2)</f>
        <v>93</v>
      </c>
      <c r="N1011" s="22">
        <f>H1011*1.18</f>
        <v>54.87</v>
      </c>
      <c r="O1011" s="22">
        <f>_xlfn.CEILING.MATH(F1011*1.56)-1</f>
        <v>72</v>
      </c>
    </row>
    <row r="1012" spans="1:15" s="22" customFormat="1">
      <c r="A1012" s="22">
        <v>796</v>
      </c>
      <c r="B1012" s="22" t="s">
        <v>1020</v>
      </c>
      <c r="C1012" s="22" t="s">
        <v>2265</v>
      </c>
      <c r="E1012" s="22">
        <v>1</v>
      </c>
      <c r="F1012" s="22">
        <v>351</v>
      </c>
      <c r="G1012" s="30">
        <f>IF(OR(M1012="",O1012="",M1012=0),"",(M1012-O1012)/M1012)</f>
        <v>0.22079772079772081</v>
      </c>
      <c r="H1012" s="22">
        <v>351</v>
      </c>
      <c r="I1012" s="22">
        <v>0</v>
      </c>
      <c r="J1012" s="22">
        <v>1</v>
      </c>
      <c r="K1012" s="22">
        <v>15</v>
      </c>
      <c r="L1012" s="22">
        <v>18</v>
      </c>
      <c r="M1012" s="22">
        <f>_xlfn.CEILING.MATH(F1012*2)</f>
        <v>702</v>
      </c>
      <c r="N1012" s="22">
        <f>H1012*1.18</f>
        <v>414.17999999999995</v>
      </c>
      <c r="O1012" s="22">
        <f>_xlfn.CEILING.MATH(F1012*1.56)-1</f>
        <v>547</v>
      </c>
    </row>
    <row r="1013" spans="1:15" s="22" customFormat="1">
      <c r="A1013" s="22">
        <v>797</v>
      </c>
      <c r="B1013" s="22" t="s">
        <v>1021</v>
      </c>
      <c r="C1013" s="22" t="s">
        <v>2266</v>
      </c>
      <c r="E1013" s="22">
        <v>1</v>
      </c>
      <c r="F1013" s="22">
        <v>793.5</v>
      </c>
      <c r="G1013" s="30">
        <f>IF(OR(M1013="",O1013="",M1013=0),"",(M1013-O1013)/M1013)</f>
        <v>0.2205419029615627</v>
      </c>
      <c r="H1013" s="22">
        <v>793.5</v>
      </c>
      <c r="I1013" s="22">
        <v>2</v>
      </c>
      <c r="J1013" s="22">
        <v>1</v>
      </c>
      <c r="K1013" s="22">
        <v>8</v>
      </c>
      <c r="L1013" s="22">
        <v>18</v>
      </c>
      <c r="M1013" s="22">
        <f>_xlfn.CEILING.MATH(F1013*2)</f>
        <v>1587</v>
      </c>
      <c r="N1013" s="22">
        <f>H1013*1.18</f>
        <v>936.32999999999993</v>
      </c>
      <c r="O1013" s="22">
        <f>_xlfn.CEILING.MATH(F1013*1.56)-1</f>
        <v>1237</v>
      </c>
    </row>
    <row r="1014" spans="1:15" s="22" customFormat="1">
      <c r="A1014" s="22">
        <v>798</v>
      </c>
      <c r="B1014" s="22" t="s">
        <v>1022</v>
      </c>
      <c r="C1014" s="22" t="s">
        <v>2267</v>
      </c>
      <c r="E1014" s="22">
        <v>1</v>
      </c>
      <c r="F1014" s="22">
        <v>96</v>
      </c>
      <c r="G1014" s="30">
        <f>IF(OR(M1014="",O1014="",M1014=0),"",(M1014-O1014)/M1014)</f>
        <v>0.22395833333333334</v>
      </c>
      <c r="H1014" s="22">
        <v>96</v>
      </c>
      <c r="I1014" s="22">
        <v>3</v>
      </c>
      <c r="J1014" s="22">
        <v>10</v>
      </c>
      <c r="K1014" s="22">
        <v>100</v>
      </c>
      <c r="L1014" s="22">
        <v>18</v>
      </c>
      <c r="M1014" s="22">
        <f>_xlfn.CEILING.MATH(F1014*2)</f>
        <v>192</v>
      </c>
      <c r="N1014" s="22">
        <f>H1014*1.18</f>
        <v>113.28</v>
      </c>
      <c r="O1014" s="22">
        <f>_xlfn.CEILING.MATH(F1014*1.56)-1</f>
        <v>149</v>
      </c>
    </row>
    <row r="1015" spans="1:15" s="22" customFormat="1">
      <c r="A1015" s="22">
        <v>799</v>
      </c>
      <c r="B1015" s="22" t="s">
        <v>1023</v>
      </c>
      <c r="C1015" s="22" t="s">
        <v>2268</v>
      </c>
      <c r="E1015" s="22">
        <v>1</v>
      </c>
      <c r="F1015" s="22">
        <v>111</v>
      </c>
      <c r="G1015" s="30">
        <f>IF(OR(M1015="",O1015="",M1015=0),"",(M1015-O1015)/M1015)</f>
        <v>0.22072072072072071</v>
      </c>
      <c r="H1015" s="22">
        <v>111</v>
      </c>
      <c r="I1015" s="22">
        <v>98</v>
      </c>
      <c r="J1015" s="22">
        <v>10</v>
      </c>
      <c r="K1015" s="22">
        <v>100</v>
      </c>
      <c r="L1015" s="22">
        <v>18</v>
      </c>
      <c r="M1015" s="22">
        <f>_xlfn.CEILING.MATH(F1015*2)</f>
        <v>222</v>
      </c>
      <c r="N1015" s="22">
        <f>H1015*1.18</f>
        <v>130.97999999999999</v>
      </c>
      <c r="O1015" s="22">
        <f>_xlfn.CEILING.MATH(F1015*1.56)-1</f>
        <v>173</v>
      </c>
    </row>
    <row r="1016" spans="1:15" s="22" customFormat="1">
      <c r="A1016" s="22">
        <v>800</v>
      </c>
      <c r="B1016" s="22" t="s">
        <v>1024</v>
      </c>
      <c r="C1016" s="22" t="s">
        <v>2269</v>
      </c>
      <c r="E1016" s="22">
        <v>1</v>
      </c>
      <c r="F1016" s="22">
        <v>151.5</v>
      </c>
      <c r="G1016" s="30">
        <f>IF(OR(M1016="",O1016="",M1016=0),"",(M1016-O1016)/M1016)</f>
        <v>0.22112211221122113</v>
      </c>
      <c r="H1016" s="22">
        <v>151.5</v>
      </c>
      <c r="I1016" s="22">
        <v>65</v>
      </c>
      <c r="J1016" s="22">
        <v>10</v>
      </c>
      <c r="K1016" s="22">
        <v>100</v>
      </c>
      <c r="L1016" s="22">
        <v>18</v>
      </c>
      <c r="M1016" s="22">
        <f>_xlfn.CEILING.MATH(F1016*2)</f>
        <v>303</v>
      </c>
      <c r="N1016" s="22">
        <f>H1016*1.18</f>
        <v>178.76999999999998</v>
      </c>
      <c r="O1016" s="22">
        <f>_xlfn.CEILING.MATH(F1016*1.56)-1</f>
        <v>236</v>
      </c>
    </row>
    <row r="1017" spans="1:15" s="22" customFormat="1">
      <c r="A1017" s="22">
        <v>801</v>
      </c>
      <c r="B1017" s="22" t="s">
        <v>1025</v>
      </c>
      <c r="C1017" s="22" t="s">
        <v>2270</v>
      </c>
      <c r="E1017" s="22">
        <v>1</v>
      </c>
      <c r="F1017" s="22">
        <v>175.5</v>
      </c>
      <c r="G1017" s="30">
        <f>IF(OR(M1017="",O1017="",M1017=0),"",(M1017-O1017)/M1017)</f>
        <v>0.22222222222222221</v>
      </c>
      <c r="H1017" s="22">
        <v>175.5</v>
      </c>
      <c r="I1017" s="22">
        <v>0</v>
      </c>
      <c r="J1017" s="22">
        <v>5</v>
      </c>
      <c r="K1017" s="22">
        <v>50</v>
      </c>
      <c r="L1017" s="22">
        <v>18</v>
      </c>
      <c r="M1017" s="22">
        <f>_xlfn.CEILING.MATH(F1017*2)</f>
        <v>351</v>
      </c>
      <c r="N1017" s="22">
        <f>H1017*1.18</f>
        <v>207.08999999999997</v>
      </c>
      <c r="O1017" s="22">
        <f>_xlfn.CEILING.MATH(F1017*1.56)-1</f>
        <v>273</v>
      </c>
    </row>
    <row r="1018" spans="1:15" s="22" customFormat="1">
      <c r="A1018" s="22">
        <v>802</v>
      </c>
      <c r="B1018" s="22" t="s">
        <v>1026</v>
      </c>
      <c r="C1018" s="22" t="s">
        <v>2271</v>
      </c>
      <c r="E1018" s="22">
        <v>1</v>
      </c>
      <c r="F1018" s="22">
        <v>207</v>
      </c>
      <c r="G1018" s="30">
        <f>IF(OR(M1018="",O1018="",M1018=0),"",(M1018-O1018)/M1018)</f>
        <v>0.22222222222222221</v>
      </c>
      <c r="H1018" s="22">
        <v>207</v>
      </c>
      <c r="I1018" s="22">
        <v>32</v>
      </c>
      <c r="J1018" s="22">
        <v>5</v>
      </c>
      <c r="K1018" s="22">
        <v>50</v>
      </c>
      <c r="L1018" s="22">
        <v>18</v>
      </c>
      <c r="M1018" s="22">
        <f>_xlfn.CEILING.MATH(F1018*2)</f>
        <v>414</v>
      </c>
      <c r="N1018" s="22">
        <f>H1018*1.18</f>
        <v>244.26</v>
      </c>
      <c r="O1018" s="22">
        <f>_xlfn.CEILING.MATH(F1018*1.56)-1</f>
        <v>322</v>
      </c>
    </row>
    <row r="1019" spans="1:15" s="22" customFormat="1">
      <c r="A1019" s="22">
        <v>803</v>
      </c>
      <c r="B1019" s="22" t="s">
        <v>1027</v>
      </c>
      <c r="C1019" s="22" t="s">
        <v>2272</v>
      </c>
      <c r="E1019" s="22">
        <v>1</v>
      </c>
      <c r="F1019" s="22">
        <v>1575</v>
      </c>
      <c r="G1019" s="30">
        <f>IF(OR(M1019="",O1019="",M1019=0),"",(M1019-O1019)/M1019)</f>
        <v>0.22031746031746033</v>
      </c>
      <c r="H1019" s="22">
        <v>1575</v>
      </c>
      <c r="I1019" s="22">
        <v>42</v>
      </c>
      <c r="J1019" s="22">
        <v>1</v>
      </c>
      <c r="K1019" s="22">
        <v>2</v>
      </c>
      <c r="L1019" s="22">
        <v>18</v>
      </c>
      <c r="M1019" s="22">
        <f>_xlfn.CEILING.MATH(F1019*2)</f>
        <v>3150</v>
      </c>
      <c r="N1019" s="22">
        <f>H1019*1.18</f>
        <v>1858.5</v>
      </c>
      <c r="O1019" s="22">
        <f>_xlfn.CEILING.MATH(F1019*1.56)-1</f>
        <v>2456</v>
      </c>
    </row>
    <row r="1020" spans="1:15" s="22" customFormat="1">
      <c r="A1020" s="22">
        <v>804</v>
      </c>
      <c r="B1020" s="22" t="s">
        <v>1028</v>
      </c>
      <c r="C1020" s="22" t="s">
        <v>2273</v>
      </c>
      <c r="E1020" s="22">
        <v>1</v>
      </c>
      <c r="F1020" s="22">
        <v>1950</v>
      </c>
      <c r="G1020" s="30">
        <f>IF(OR(M1020="",O1020="",M1020=0),"",(M1020-O1020)/M1020)</f>
        <v>0.22025641025641027</v>
      </c>
      <c r="H1020" s="22">
        <v>1950</v>
      </c>
      <c r="I1020" s="22">
        <v>5</v>
      </c>
      <c r="J1020" s="22">
        <v>1</v>
      </c>
      <c r="K1020" s="22">
        <v>2</v>
      </c>
      <c r="L1020" s="22">
        <v>18</v>
      </c>
      <c r="M1020" s="22">
        <f>_xlfn.CEILING.MATH(F1020*2)</f>
        <v>3900</v>
      </c>
      <c r="N1020" s="22">
        <f>H1020*1.18</f>
        <v>2301</v>
      </c>
      <c r="O1020" s="22">
        <f>_xlfn.CEILING.MATH(F1020*1.56)-1</f>
        <v>3041</v>
      </c>
    </row>
    <row r="1021" spans="1:15" s="22" customFormat="1">
      <c r="A1021" s="22">
        <v>805</v>
      </c>
      <c r="B1021" s="22" t="s">
        <v>1029</v>
      </c>
      <c r="C1021" s="22" t="s">
        <v>2274</v>
      </c>
      <c r="E1021" s="22">
        <v>1</v>
      </c>
      <c r="F1021" s="22">
        <v>3150</v>
      </c>
      <c r="G1021" s="30">
        <f>IF(OR(M1021="",O1021="",M1021=0),"",(M1021-O1021)/M1021)</f>
        <v>0.22015873015873016</v>
      </c>
      <c r="H1021" s="22">
        <v>3150</v>
      </c>
      <c r="I1021" s="22">
        <v>0</v>
      </c>
      <c r="J1021" s="22">
        <v>1</v>
      </c>
      <c r="K1021" s="22">
        <v>1</v>
      </c>
      <c r="L1021" s="22">
        <v>18</v>
      </c>
      <c r="M1021" s="22">
        <f>_xlfn.CEILING.MATH(F1021*2)</f>
        <v>6300</v>
      </c>
      <c r="N1021" s="22">
        <f>H1021*1.18</f>
        <v>3717</v>
      </c>
      <c r="O1021" s="22">
        <f>_xlfn.CEILING.MATH(F1021*1.56)-1</f>
        <v>4913</v>
      </c>
    </row>
    <row r="1022" spans="1:15" s="22" customFormat="1">
      <c r="A1022" s="22">
        <v>806</v>
      </c>
      <c r="B1022" s="22" t="s">
        <v>1030</v>
      </c>
      <c r="C1022" s="22" t="s">
        <v>2275</v>
      </c>
      <c r="E1022" s="22">
        <v>1</v>
      </c>
      <c r="F1022" s="22">
        <v>3960</v>
      </c>
      <c r="G1022" s="30">
        <f>IF(OR(M1022="",O1022="",M1022=0),"",(M1022-O1022)/M1022)</f>
        <v>0.22007575757575756</v>
      </c>
      <c r="H1022" s="22">
        <v>3960</v>
      </c>
      <c r="I1022" s="22">
        <v>11</v>
      </c>
      <c r="J1022" s="22">
        <v>1</v>
      </c>
      <c r="K1022" s="22">
        <v>1</v>
      </c>
      <c r="L1022" s="22">
        <v>18</v>
      </c>
      <c r="M1022" s="22">
        <f>_xlfn.CEILING.MATH(F1022*2)</f>
        <v>7920</v>
      </c>
      <c r="N1022" s="22">
        <f>H1022*1.18</f>
        <v>4672.8</v>
      </c>
      <c r="O1022" s="22">
        <f>_xlfn.CEILING.MATH(F1022*1.56)-1</f>
        <v>6177</v>
      </c>
    </row>
    <row r="1023" spans="1:15" s="22" customFormat="1">
      <c r="A1023" s="22">
        <v>807</v>
      </c>
      <c r="B1023" s="22" t="s">
        <v>1031</v>
      </c>
      <c r="C1023" s="22" t="s">
        <v>2276</v>
      </c>
      <c r="E1023" s="22">
        <v>1</v>
      </c>
      <c r="F1023" s="22">
        <v>42.5</v>
      </c>
      <c r="G1023" s="30">
        <f>IF(OR(M1023="",O1023="",M1023=0),"",(M1023-O1023)/M1023)</f>
        <v>0.22352941176470589</v>
      </c>
      <c r="H1023" s="22">
        <v>42.5</v>
      </c>
      <c r="I1023" s="22">
        <v>330</v>
      </c>
      <c r="J1023" s="22">
        <v>20</v>
      </c>
      <c r="K1023" s="22">
        <v>200</v>
      </c>
      <c r="L1023" s="22">
        <v>18</v>
      </c>
      <c r="M1023" s="22">
        <f>_xlfn.CEILING.MATH(F1023*2)</f>
        <v>85</v>
      </c>
      <c r="N1023" s="22">
        <f>H1023*1.18</f>
        <v>50.15</v>
      </c>
      <c r="O1023" s="22">
        <f>_xlfn.CEILING.MATH(F1023*1.56)-1</f>
        <v>66</v>
      </c>
    </row>
    <row r="1024" spans="1:15" s="22" customFormat="1">
      <c r="A1024" s="22">
        <v>808</v>
      </c>
      <c r="B1024" s="22" t="s">
        <v>1032</v>
      </c>
      <c r="C1024" s="22" t="s">
        <v>2277</v>
      </c>
      <c r="E1024" s="22">
        <v>1</v>
      </c>
      <c r="F1024" s="22">
        <v>47.5</v>
      </c>
      <c r="G1024" s="30">
        <f>IF(OR(M1024="",O1024="",M1024=0),"",(M1024-O1024)/M1024)</f>
        <v>0.22105263157894736</v>
      </c>
      <c r="H1024" s="22">
        <v>47.5</v>
      </c>
      <c r="I1024" s="22">
        <v>360</v>
      </c>
      <c r="J1024" s="22">
        <v>20</v>
      </c>
      <c r="K1024" s="22">
        <v>200</v>
      </c>
      <c r="L1024" s="22">
        <v>18</v>
      </c>
      <c r="M1024" s="22">
        <f>_xlfn.CEILING.MATH(F1024*2)</f>
        <v>95</v>
      </c>
      <c r="N1024" s="22">
        <f>H1024*1.18</f>
        <v>56.05</v>
      </c>
      <c r="O1024" s="22">
        <f>_xlfn.CEILING.MATH(F1024*1.56)-1</f>
        <v>74</v>
      </c>
    </row>
    <row r="1025" spans="1:15" s="22" customFormat="1">
      <c r="A1025" s="22">
        <v>809</v>
      </c>
      <c r="B1025" s="22" t="s">
        <v>1033</v>
      </c>
      <c r="C1025" s="22" t="s">
        <v>2278</v>
      </c>
      <c r="E1025" s="22">
        <v>1</v>
      </c>
      <c r="F1025" s="22">
        <v>50.5</v>
      </c>
      <c r="G1025" s="30">
        <f>IF(OR(M1025="",O1025="",M1025=0),"",(M1025-O1025)/M1025)</f>
        <v>0.22772277227722773</v>
      </c>
      <c r="H1025" s="22">
        <v>50.5</v>
      </c>
      <c r="I1025" s="22">
        <v>600</v>
      </c>
      <c r="J1025" s="22">
        <v>20</v>
      </c>
      <c r="K1025" s="22">
        <v>200</v>
      </c>
      <c r="L1025" s="22">
        <v>18</v>
      </c>
      <c r="M1025" s="22">
        <f>_xlfn.CEILING.MATH(F1025*2)</f>
        <v>101</v>
      </c>
      <c r="N1025" s="22">
        <f>H1025*1.18</f>
        <v>59.589999999999996</v>
      </c>
      <c r="O1025" s="22">
        <f>_xlfn.CEILING.MATH(F1025*1.56)-1</f>
        <v>78</v>
      </c>
    </row>
    <row r="1026" spans="1:15" s="22" customFormat="1">
      <c r="A1026" s="22">
        <v>810</v>
      </c>
      <c r="B1026" s="22" t="s">
        <v>1034</v>
      </c>
      <c r="C1026" s="22" t="s">
        <v>2279</v>
      </c>
      <c r="E1026" s="22">
        <v>1</v>
      </c>
      <c r="F1026" s="22">
        <v>142</v>
      </c>
      <c r="G1026" s="30">
        <f>IF(OR(M1026="",O1026="",M1026=0),"",(M1026-O1026)/M1026)</f>
        <v>0.22183098591549297</v>
      </c>
      <c r="H1026" s="22">
        <v>142</v>
      </c>
      <c r="I1026" s="22">
        <v>480</v>
      </c>
      <c r="J1026" s="22">
        <v>6</v>
      </c>
      <c r="K1026" s="22">
        <v>60</v>
      </c>
      <c r="L1026" s="22">
        <v>18</v>
      </c>
      <c r="M1026" s="22">
        <f>_xlfn.CEILING.MATH(F1026*2)</f>
        <v>284</v>
      </c>
      <c r="N1026" s="22">
        <f>H1026*1.18</f>
        <v>167.56</v>
      </c>
      <c r="O1026" s="22">
        <f>_xlfn.CEILING.MATH(F1026*1.56)-1</f>
        <v>221</v>
      </c>
    </row>
    <row r="1027" spans="1:15" s="22" customFormat="1">
      <c r="A1027" s="22">
        <v>811</v>
      </c>
      <c r="B1027" s="22" t="s">
        <v>1035</v>
      </c>
      <c r="C1027" s="22" t="s">
        <v>2280</v>
      </c>
      <c r="E1027" s="22">
        <v>1</v>
      </c>
      <c r="F1027" s="22">
        <v>151</v>
      </c>
      <c r="G1027" s="30">
        <f>IF(OR(M1027="",O1027="",M1027=0),"",(M1027-O1027)/M1027)</f>
        <v>0.22185430463576158</v>
      </c>
      <c r="H1027" s="22">
        <v>151</v>
      </c>
      <c r="I1027" s="22">
        <v>1446</v>
      </c>
      <c r="J1027" s="22">
        <v>6</v>
      </c>
      <c r="K1027" s="22">
        <v>60</v>
      </c>
      <c r="L1027" s="22">
        <v>18</v>
      </c>
      <c r="M1027" s="22">
        <f>_xlfn.CEILING.MATH(F1027*2)</f>
        <v>302</v>
      </c>
      <c r="N1027" s="22">
        <f>H1027*1.18</f>
        <v>178.17999999999998</v>
      </c>
      <c r="O1027" s="22">
        <f>_xlfn.CEILING.MATH(F1027*1.56)-1</f>
        <v>235</v>
      </c>
    </row>
    <row r="1028" spans="1:15" s="22" customFormat="1">
      <c r="A1028" s="22">
        <v>812</v>
      </c>
      <c r="B1028" s="22" t="s">
        <v>1036</v>
      </c>
      <c r="C1028" s="22" t="s">
        <v>2281</v>
      </c>
      <c r="E1028" s="22">
        <v>1</v>
      </c>
      <c r="F1028" s="22">
        <v>41</v>
      </c>
      <c r="G1028" s="30">
        <f>IF(OR(M1028="",O1028="",M1028=0),"",(M1028-O1028)/M1028)</f>
        <v>0.23170731707317074</v>
      </c>
      <c r="H1028" s="22">
        <v>41</v>
      </c>
      <c r="I1028" s="22">
        <v>292</v>
      </c>
      <c r="J1028" s="22">
        <v>20</v>
      </c>
      <c r="K1028" s="22">
        <v>200</v>
      </c>
      <c r="L1028" s="22">
        <v>18</v>
      </c>
      <c r="M1028" s="22">
        <f>_xlfn.CEILING.MATH(F1028*2)</f>
        <v>82</v>
      </c>
      <c r="N1028" s="22">
        <f>H1028*1.18</f>
        <v>48.379999999999995</v>
      </c>
      <c r="O1028" s="22">
        <f>_xlfn.CEILING.MATH(F1028*1.56)-1</f>
        <v>63</v>
      </c>
    </row>
    <row r="1029" spans="1:15" s="22" customFormat="1">
      <c r="A1029" s="22">
        <v>813</v>
      </c>
      <c r="B1029" s="22" t="s">
        <v>1037</v>
      </c>
      <c r="C1029" s="22" t="s">
        <v>2282</v>
      </c>
      <c r="E1029" s="22">
        <v>1</v>
      </c>
      <c r="F1029" s="22">
        <v>49</v>
      </c>
      <c r="G1029" s="30">
        <f>IF(OR(M1029="",O1029="",M1029=0),"",(M1029-O1029)/M1029)</f>
        <v>0.22448979591836735</v>
      </c>
      <c r="H1029" s="22">
        <v>49</v>
      </c>
      <c r="I1029" s="22">
        <v>359</v>
      </c>
      <c r="J1029" s="22">
        <v>20</v>
      </c>
      <c r="K1029" s="22">
        <v>200</v>
      </c>
      <c r="L1029" s="22">
        <v>18</v>
      </c>
      <c r="M1029" s="22">
        <f>_xlfn.CEILING.MATH(F1029*2)</f>
        <v>98</v>
      </c>
      <c r="N1029" s="22">
        <f>H1029*1.18</f>
        <v>57.82</v>
      </c>
      <c r="O1029" s="22">
        <f>_xlfn.CEILING.MATH(F1029*1.56)-1</f>
        <v>76</v>
      </c>
    </row>
    <row r="1030" spans="1:15" s="22" customFormat="1">
      <c r="A1030" s="22">
        <v>814</v>
      </c>
      <c r="B1030" s="22" t="s">
        <v>1038</v>
      </c>
      <c r="C1030" s="22" t="s">
        <v>2283</v>
      </c>
      <c r="E1030" s="22">
        <v>1</v>
      </c>
      <c r="F1030" s="22">
        <v>50.5</v>
      </c>
      <c r="G1030" s="30">
        <f>IF(OR(M1030="",O1030="",M1030=0),"",(M1030-O1030)/M1030)</f>
        <v>0.22772277227722773</v>
      </c>
      <c r="H1030" s="22">
        <v>50.5</v>
      </c>
      <c r="I1030" s="22">
        <v>199</v>
      </c>
      <c r="J1030" s="22">
        <v>20</v>
      </c>
      <c r="K1030" s="22">
        <v>200</v>
      </c>
      <c r="L1030" s="22">
        <v>18</v>
      </c>
      <c r="M1030" s="22">
        <f>_xlfn.CEILING.MATH(F1030*2)</f>
        <v>101</v>
      </c>
      <c r="N1030" s="22">
        <f>H1030*1.18</f>
        <v>59.589999999999996</v>
      </c>
      <c r="O1030" s="22">
        <f>_xlfn.CEILING.MATH(F1030*1.56)-1</f>
        <v>78</v>
      </c>
    </row>
    <row r="1031" spans="1:15" s="22" customFormat="1">
      <c r="A1031" s="22">
        <v>815</v>
      </c>
      <c r="B1031" s="22" t="s">
        <v>1039</v>
      </c>
      <c r="C1031" s="22" t="s">
        <v>2284</v>
      </c>
      <c r="E1031" s="22">
        <v>1</v>
      </c>
      <c r="F1031" s="22">
        <v>56.5</v>
      </c>
      <c r="G1031" s="30">
        <f>IF(OR(M1031="",O1031="",M1031=0),"",(M1031-O1031)/M1031)</f>
        <v>0.22123893805309736</v>
      </c>
      <c r="H1031" s="22">
        <v>56.5</v>
      </c>
      <c r="I1031" s="22">
        <v>121</v>
      </c>
      <c r="J1031" s="22">
        <v>20</v>
      </c>
      <c r="K1031" s="22">
        <v>200</v>
      </c>
      <c r="L1031" s="22">
        <v>18</v>
      </c>
      <c r="M1031" s="22">
        <f>_xlfn.CEILING.MATH(F1031*2)</f>
        <v>113</v>
      </c>
      <c r="N1031" s="22">
        <f>H1031*1.18</f>
        <v>66.67</v>
      </c>
      <c r="O1031" s="22">
        <f>_xlfn.CEILING.MATH(F1031*1.56)-1</f>
        <v>88</v>
      </c>
    </row>
    <row r="1032" spans="1:15" s="22" customFormat="1">
      <c r="A1032" s="22">
        <v>816</v>
      </c>
      <c r="B1032" s="22" t="s">
        <v>1040</v>
      </c>
      <c r="C1032" s="22" t="s">
        <v>2285</v>
      </c>
      <c r="E1032" s="22">
        <v>1</v>
      </c>
      <c r="F1032" s="22">
        <v>66</v>
      </c>
      <c r="G1032" s="30">
        <f>IF(OR(M1032="",O1032="",M1032=0),"",(M1032-O1032)/M1032)</f>
        <v>0.22727272727272727</v>
      </c>
      <c r="H1032" s="22">
        <v>66</v>
      </c>
      <c r="I1032" s="22">
        <v>490</v>
      </c>
      <c r="J1032" s="22">
        <v>10</v>
      </c>
      <c r="K1032" s="22">
        <v>100</v>
      </c>
      <c r="L1032" s="22">
        <v>18</v>
      </c>
      <c r="M1032" s="22">
        <f>_xlfn.CEILING.MATH(F1032*2)</f>
        <v>132</v>
      </c>
      <c r="N1032" s="22">
        <f>H1032*1.18</f>
        <v>77.88</v>
      </c>
      <c r="O1032" s="22">
        <f>_xlfn.CEILING.MATH(F1032*1.56)-1</f>
        <v>102</v>
      </c>
    </row>
    <row r="1033" spans="1:15" s="22" customFormat="1">
      <c r="A1033" s="22">
        <v>817</v>
      </c>
      <c r="B1033" s="22" t="s">
        <v>1041</v>
      </c>
      <c r="C1033" s="22" t="s">
        <v>2286</v>
      </c>
      <c r="E1033" s="22">
        <v>1</v>
      </c>
      <c r="F1033" s="22">
        <v>67.5</v>
      </c>
      <c r="G1033" s="30">
        <f>IF(OR(M1033="",O1033="",M1033=0),"",(M1033-O1033)/M1033)</f>
        <v>0.22222222222222221</v>
      </c>
      <c r="H1033" s="22">
        <v>67.5</v>
      </c>
      <c r="I1033" s="22">
        <v>415</v>
      </c>
      <c r="J1033" s="22">
        <v>10</v>
      </c>
      <c r="K1033" s="22">
        <v>100</v>
      </c>
      <c r="L1033" s="22">
        <v>18</v>
      </c>
      <c r="M1033" s="22">
        <f>_xlfn.CEILING.MATH(F1033*2)</f>
        <v>135</v>
      </c>
      <c r="N1033" s="22">
        <f>H1033*1.18</f>
        <v>79.649999999999991</v>
      </c>
      <c r="O1033" s="22">
        <f>_xlfn.CEILING.MATH(F1033*1.56)-1</f>
        <v>105</v>
      </c>
    </row>
    <row r="1034" spans="1:15" s="22" customFormat="1">
      <c r="A1034" s="22">
        <v>818</v>
      </c>
      <c r="B1034" s="22" t="s">
        <v>1042</v>
      </c>
      <c r="C1034" s="22" t="s">
        <v>2287</v>
      </c>
      <c r="E1034" s="22">
        <v>1</v>
      </c>
      <c r="F1034" s="22">
        <v>72.5</v>
      </c>
      <c r="G1034" s="30">
        <f>IF(OR(M1034="",O1034="",M1034=0),"",(M1034-O1034)/M1034)</f>
        <v>0.22068965517241379</v>
      </c>
      <c r="H1034" s="22">
        <v>72.5</v>
      </c>
      <c r="I1034" s="22">
        <v>445</v>
      </c>
      <c r="J1034" s="22">
        <v>10</v>
      </c>
      <c r="K1034" s="22">
        <v>100</v>
      </c>
      <c r="L1034" s="22">
        <v>18</v>
      </c>
      <c r="M1034" s="22">
        <f>_xlfn.CEILING.MATH(F1034*2)</f>
        <v>145</v>
      </c>
      <c r="N1034" s="22">
        <f>H1034*1.18</f>
        <v>85.55</v>
      </c>
      <c r="O1034" s="22">
        <f>_xlfn.CEILING.MATH(F1034*1.56)-1</f>
        <v>113</v>
      </c>
    </row>
    <row r="1035" spans="1:15" s="22" customFormat="1">
      <c r="A1035" s="22">
        <v>819</v>
      </c>
      <c r="B1035" s="22" t="s">
        <v>1043</v>
      </c>
      <c r="C1035" s="22" t="s">
        <v>2288</v>
      </c>
      <c r="E1035" s="22">
        <v>1</v>
      </c>
      <c r="F1035" s="22">
        <v>77</v>
      </c>
      <c r="G1035" s="30">
        <f>IF(OR(M1035="",O1035="",M1035=0),"",(M1035-O1035)/M1035)</f>
        <v>0.22077922077922077</v>
      </c>
      <c r="H1035" s="22">
        <v>77</v>
      </c>
      <c r="I1035" s="22">
        <v>318</v>
      </c>
      <c r="J1035" s="22">
        <v>10</v>
      </c>
      <c r="K1035" s="22">
        <v>100</v>
      </c>
      <c r="L1035" s="22">
        <v>18</v>
      </c>
      <c r="M1035" s="22">
        <f>_xlfn.CEILING.MATH(F1035*2)</f>
        <v>154</v>
      </c>
      <c r="N1035" s="22">
        <f>H1035*1.18</f>
        <v>90.86</v>
      </c>
      <c r="O1035" s="22">
        <f>_xlfn.CEILING.MATH(F1035*1.56)-1</f>
        <v>120</v>
      </c>
    </row>
    <row r="1036" spans="1:15" s="22" customFormat="1">
      <c r="A1036" s="22">
        <v>820</v>
      </c>
      <c r="B1036" s="22" t="s">
        <v>1044</v>
      </c>
      <c r="C1036" s="22" t="s">
        <v>2289</v>
      </c>
      <c r="E1036" s="22">
        <v>1</v>
      </c>
      <c r="F1036" s="22">
        <v>31.5</v>
      </c>
      <c r="G1036" s="30">
        <f>IF(OR(M1036="",O1036="",M1036=0),"",(M1036-O1036)/M1036)</f>
        <v>0.22222222222222221</v>
      </c>
      <c r="H1036" s="22">
        <v>31.5</v>
      </c>
      <c r="I1036" s="22">
        <v>322</v>
      </c>
      <c r="J1036" s="22">
        <v>20</v>
      </c>
      <c r="K1036" s="22">
        <v>500</v>
      </c>
      <c r="L1036" s="22">
        <v>18</v>
      </c>
      <c r="M1036" s="22">
        <f>_xlfn.CEILING.MATH(F1036*2)</f>
        <v>63</v>
      </c>
      <c r="N1036" s="22">
        <f>H1036*1.18</f>
        <v>37.169999999999995</v>
      </c>
      <c r="O1036" s="22">
        <f>_xlfn.CEILING.MATH(F1036*1.56)-1</f>
        <v>49</v>
      </c>
    </row>
    <row r="1037" spans="1:15" s="22" customFormat="1">
      <c r="A1037" s="22">
        <v>821</v>
      </c>
      <c r="B1037" s="22" t="s">
        <v>1045</v>
      </c>
      <c r="C1037" s="22" t="s">
        <v>2290</v>
      </c>
      <c r="E1037" s="22">
        <v>1</v>
      </c>
      <c r="F1037" s="22">
        <v>50.5</v>
      </c>
      <c r="G1037" s="30">
        <f>IF(OR(M1037="",O1037="",M1037=0),"",(M1037-O1037)/M1037)</f>
        <v>0.22772277227722773</v>
      </c>
      <c r="H1037" s="22">
        <v>50.5</v>
      </c>
      <c r="I1037" s="22">
        <v>527</v>
      </c>
      <c r="J1037" s="22">
        <v>20</v>
      </c>
      <c r="K1037" s="22">
        <v>200</v>
      </c>
      <c r="L1037" s="22">
        <v>18</v>
      </c>
      <c r="M1037" s="22">
        <f>_xlfn.CEILING.MATH(F1037*2)</f>
        <v>101</v>
      </c>
      <c r="N1037" s="22">
        <f>H1037*1.18</f>
        <v>59.589999999999996</v>
      </c>
      <c r="O1037" s="22">
        <f>_xlfn.CEILING.MATH(F1037*1.56)-1</f>
        <v>78</v>
      </c>
    </row>
    <row r="1038" spans="1:15" s="22" customFormat="1">
      <c r="A1038" s="22">
        <v>822</v>
      </c>
      <c r="B1038" s="22" t="s">
        <v>1046</v>
      </c>
      <c r="C1038" s="22" t="s">
        <v>2291</v>
      </c>
      <c r="E1038" s="22">
        <v>1</v>
      </c>
      <c r="F1038" s="22">
        <v>56.5</v>
      </c>
      <c r="G1038" s="30">
        <f>IF(OR(M1038="",O1038="",M1038=0),"",(M1038-O1038)/M1038)</f>
        <v>0.22123893805309736</v>
      </c>
      <c r="H1038" s="22">
        <v>56.5</v>
      </c>
      <c r="I1038" s="22">
        <v>223</v>
      </c>
      <c r="J1038" s="22">
        <v>20</v>
      </c>
      <c r="K1038" s="22">
        <v>200</v>
      </c>
      <c r="L1038" s="22">
        <v>18</v>
      </c>
      <c r="M1038" s="22">
        <f>_xlfn.CEILING.MATH(F1038*2)</f>
        <v>113</v>
      </c>
      <c r="N1038" s="22">
        <f>H1038*1.18</f>
        <v>66.67</v>
      </c>
      <c r="O1038" s="22">
        <f>_xlfn.CEILING.MATH(F1038*1.56)-1</f>
        <v>88</v>
      </c>
    </row>
    <row r="1039" spans="1:15" s="22" customFormat="1">
      <c r="A1039" s="22">
        <v>823</v>
      </c>
      <c r="B1039" s="22" t="s">
        <v>1047</v>
      </c>
      <c r="C1039" s="22" t="s">
        <v>2292</v>
      </c>
      <c r="E1039" s="22">
        <v>1</v>
      </c>
      <c r="F1039" s="22">
        <v>60</v>
      </c>
      <c r="G1039" s="30">
        <f>IF(OR(M1039="",O1039="",M1039=0),"",(M1039-O1039)/M1039)</f>
        <v>0.22500000000000001</v>
      </c>
      <c r="H1039" s="22">
        <v>60</v>
      </c>
      <c r="I1039" s="22">
        <v>200</v>
      </c>
      <c r="J1039" s="22">
        <v>20</v>
      </c>
      <c r="K1039" s="22">
        <v>200</v>
      </c>
      <c r="L1039" s="22">
        <v>18</v>
      </c>
      <c r="M1039" s="22">
        <f>_xlfn.CEILING.MATH(F1039*2)</f>
        <v>120</v>
      </c>
      <c r="N1039" s="22">
        <f>H1039*1.18</f>
        <v>70.8</v>
      </c>
      <c r="O1039" s="22">
        <f>_xlfn.CEILING.MATH(F1039*1.56)-1</f>
        <v>93</v>
      </c>
    </row>
    <row r="1040" spans="1:15" s="22" customFormat="1">
      <c r="A1040" s="22">
        <v>824</v>
      </c>
      <c r="B1040" s="22" t="s">
        <v>1048</v>
      </c>
      <c r="C1040" s="22" t="s">
        <v>2293</v>
      </c>
      <c r="E1040" s="22">
        <v>1</v>
      </c>
      <c r="F1040" s="22">
        <v>65</v>
      </c>
      <c r="G1040" s="30">
        <f>IF(OR(M1040="",O1040="",M1040=0),"",(M1040-O1040)/M1040)</f>
        <v>0.22307692307692309</v>
      </c>
      <c r="H1040" s="22">
        <v>65</v>
      </c>
      <c r="I1040" s="22">
        <v>115</v>
      </c>
      <c r="J1040" s="22">
        <v>20</v>
      </c>
      <c r="K1040" s="22">
        <v>200</v>
      </c>
      <c r="L1040" s="22">
        <v>18</v>
      </c>
      <c r="M1040" s="22">
        <f>_xlfn.CEILING.MATH(F1040*2)</f>
        <v>130</v>
      </c>
      <c r="N1040" s="22">
        <f>H1040*1.18</f>
        <v>76.7</v>
      </c>
      <c r="O1040" s="22">
        <f>_xlfn.CEILING.MATH(F1040*1.56)-1</f>
        <v>101</v>
      </c>
    </row>
    <row r="1041" spans="1:15" s="22" customFormat="1">
      <c r="A1041" s="22">
        <v>825</v>
      </c>
      <c r="B1041" s="22" t="s">
        <v>1049</v>
      </c>
      <c r="C1041" s="22" t="s">
        <v>2294</v>
      </c>
      <c r="E1041" s="22">
        <v>1</v>
      </c>
      <c r="F1041" s="22">
        <v>66</v>
      </c>
      <c r="G1041" s="30">
        <f>IF(OR(M1041="",O1041="",M1041=0),"",(M1041-O1041)/M1041)</f>
        <v>0.22727272727272727</v>
      </c>
      <c r="H1041" s="22">
        <v>66</v>
      </c>
      <c r="I1041" s="22">
        <v>235</v>
      </c>
      <c r="J1041" s="22">
        <v>20</v>
      </c>
      <c r="K1041" s="22">
        <v>200</v>
      </c>
      <c r="L1041" s="22">
        <v>18</v>
      </c>
      <c r="M1041" s="22">
        <f>_xlfn.CEILING.MATH(F1041*2)</f>
        <v>132</v>
      </c>
      <c r="N1041" s="22">
        <f>H1041*1.18</f>
        <v>77.88</v>
      </c>
      <c r="O1041" s="22">
        <f>_xlfn.CEILING.MATH(F1041*1.56)-1</f>
        <v>102</v>
      </c>
    </row>
    <row r="1042" spans="1:15" s="22" customFormat="1">
      <c r="A1042" s="22">
        <v>826</v>
      </c>
      <c r="B1042" s="22" t="s">
        <v>1050</v>
      </c>
      <c r="C1042" s="22" t="s">
        <v>2295</v>
      </c>
      <c r="E1042" s="22">
        <v>1</v>
      </c>
      <c r="F1042" s="22">
        <v>82</v>
      </c>
      <c r="G1042" s="30">
        <f>IF(OR(M1042="",O1042="",M1042=0),"",(M1042-O1042)/M1042)</f>
        <v>0.22560975609756098</v>
      </c>
      <c r="H1042" s="22">
        <v>82</v>
      </c>
      <c r="I1042" s="22">
        <v>169</v>
      </c>
      <c r="J1042" s="22">
        <v>10</v>
      </c>
      <c r="K1042" s="22">
        <v>100</v>
      </c>
      <c r="L1042" s="22">
        <v>18</v>
      </c>
      <c r="M1042" s="22">
        <f>_xlfn.CEILING.MATH(F1042*2)</f>
        <v>164</v>
      </c>
      <c r="N1042" s="22">
        <f>H1042*1.18</f>
        <v>96.759999999999991</v>
      </c>
      <c r="O1042" s="22">
        <f>_xlfn.CEILING.MATH(F1042*1.56)-1</f>
        <v>127</v>
      </c>
    </row>
    <row r="1043" spans="1:15" s="22" customFormat="1">
      <c r="A1043" s="22">
        <v>827</v>
      </c>
      <c r="B1043" s="22" t="s">
        <v>1051</v>
      </c>
      <c r="C1043" s="22" t="s">
        <v>2296</v>
      </c>
      <c r="E1043" s="22">
        <v>1</v>
      </c>
      <c r="F1043" s="22">
        <v>88</v>
      </c>
      <c r="G1043" s="30">
        <f>IF(OR(M1043="",O1043="",M1043=0),"",(M1043-O1043)/M1043)</f>
        <v>0.22159090909090909</v>
      </c>
      <c r="H1043" s="22">
        <v>88</v>
      </c>
      <c r="I1043" s="22">
        <v>71</v>
      </c>
      <c r="J1043" s="22">
        <v>10</v>
      </c>
      <c r="K1043" s="22">
        <v>100</v>
      </c>
      <c r="L1043" s="22">
        <v>18</v>
      </c>
      <c r="M1043" s="22">
        <f>_xlfn.CEILING.MATH(F1043*2)</f>
        <v>176</v>
      </c>
      <c r="N1043" s="22">
        <f>H1043*1.18</f>
        <v>103.83999999999999</v>
      </c>
      <c r="O1043" s="22">
        <f>_xlfn.CEILING.MATH(F1043*1.56)-1</f>
        <v>137</v>
      </c>
    </row>
    <row r="1044" spans="1:15" s="22" customFormat="1">
      <c r="A1044" s="22">
        <v>828</v>
      </c>
      <c r="B1044" s="22" t="s">
        <v>1052</v>
      </c>
      <c r="C1044" s="22" t="s">
        <v>2297</v>
      </c>
      <c r="E1044" s="22">
        <v>1</v>
      </c>
      <c r="F1044" s="22">
        <v>90</v>
      </c>
      <c r="G1044" s="30">
        <f>IF(OR(M1044="",O1044="",M1044=0),"",(M1044-O1044)/M1044)</f>
        <v>0.22222222222222221</v>
      </c>
      <c r="H1044" s="22">
        <v>90</v>
      </c>
      <c r="I1044" s="22">
        <v>108</v>
      </c>
      <c r="J1044" s="22">
        <v>10</v>
      </c>
      <c r="K1044" s="22">
        <v>100</v>
      </c>
      <c r="L1044" s="22">
        <v>18</v>
      </c>
      <c r="M1044" s="22">
        <f>_xlfn.CEILING.MATH(F1044*2)</f>
        <v>180</v>
      </c>
      <c r="N1044" s="22">
        <f>H1044*1.18</f>
        <v>106.19999999999999</v>
      </c>
      <c r="O1044" s="22">
        <f>_xlfn.CEILING.MATH(F1044*1.56)-1</f>
        <v>140</v>
      </c>
    </row>
    <row r="1045" spans="1:15" s="22" customFormat="1">
      <c r="A1045" s="22">
        <v>829</v>
      </c>
      <c r="B1045" s="22" t="s">
        <v>1053</v>
      </c>
      <c r="C1045" s="22" t="s">
        <v>2298</v>
      </c>
      <c r="E1045" s="22">
        <v>1</v>
      </c>
      <c r="F1045" s="22">
        <v>100.5</v>
      </c>
      <c r="G1045" s="30">
        <f>IF(OR(M1045="",O1045="",M1045=0),"",(M1045-O1045)/M1045)</f>
        <v>0.22388059701492538</v>
      </c>
      <c r="H1045" s="22">
        <v>100.5</v>
      </c>
      <c r="I1045" s="22">
        <v>344</v>
      </c>
      <c r="J1045" s="22">
        <v>10</v>
      </c>
      <c r="K1045" s="22">
        <v>100</v>
      </c>
      <c r="L1045" s="22">
        <v>18</v>
      </c>
      <c r="M1045" s="22">
        <f>_xlfn.CEILING.MATH(F1045*2)</f>
        <v>201</v>
      </c>
      <c r="N1045" s="22">
        <f>H1045*1.18</f>
        <v>118.58999999999999</v>
      </c>
      <c r="O1045" s="22">
        <f>_xlfn.CEILING.MATH(F1045*1.56)-1</f>
        <v>156</v>
      </c>
    </row>
    <row r="1046" spans="1:15" s="22" customFormat="1">
      <c r="A1046" s="22">
        <v>830</v>
      </c>
      <c r="B1046" s="22" t="s">
        <v>1054</v>
      </c>
      <c r="C1046" s="22" t="s">
        <v>2299</v>
      </c>
      <c r="E1046" s="22">
        <v>1</v>
      </c>
      <c r="F1046" s="22">
        <v>45</v>
      </c>
      <c r="G1046" s="30">
        <f>IF(OR(M1046="",O1046="",M1046=0),"",(M1046-O1046)/M1046)</f>
        <v>0.22222222222222221</v>
      </c>
      <c r="H1046" s="22">
        <v>45</v>
      </c>
      <c r="I1046" s="22">
        <v>2192</v>
      </c>
      <c r="J1046" s="22">
        <v>20</v>
      </c>
      <c r="K1046" s="22">
        <v>200</v>
      </c>
      <c r="L1046" s="22">
        <v>18</v>
      </c>
      <c r="M1046" s="22">
        <f>_xlfn.CEILING.MATH(F1046*2)</f>
        <v>90</v>
      </c>
      <c r="N1046" s="22">
        <f>H1046*1.18</f>
        <v>53.099999999999994</v>
      </c>
      <c r="O1046" s="22">
        <f>_xlfn.CEILING.MATH(F1046*1.56)-1</f>
        <v>70</v>
      </c>
    </row>
    <row r="1047" spans="1:15" s="22" customFormat="1">
      <c r="A1047" s="22">
        <v>831</v>
      </c>
      <c r="B1047" s="22" t="s">
        <v>2300</v>
      </c>
      <c r="C1047" s="22" t="s">
        <v>2301</v>
      </c>
      <c r="E1047" s="22">
        <v>1</v>
      </c>
      <c r="F1047" s="22">
        <v>45</v>
      </c>
      <c r="G1047" s="30">
        <f>IF(OR(M1047="",O1047="",M1047=0),"",(M1047-O1047)/M1047)</f>
        <v>0.22222222222222221</v>
      </c>
      <c r="H1047" s="22">
        <v>45</v>
      </c>
      <c r="I1047" s="22">
        <v>0</v>
      </c>
      <c r="L1047" s="22">
        <v>18</v>
      </c>
      <c r="M1047" s="22">
        <f>_xlfn.CEILING.MATH(F1047*2)</f>
        <v>90</v>
      </c>
      <c r="N1047" s="22">
        <f>H1047*1.18</f>
        <v>53.099999999999994</v>
      </c>
      <c r="O1047" s="22">
        <f>_xlfn.CEILING.MATH(F1047*1.56)-1</f>
        <v>70</v>
      </c>
    </row>
    <row r="1048" spans="1:15" s="22" customFormat="1">
      <c r="A1048" s="22">
        <v>832</v>
      </c>
      <c r="B1048" s="22" t="s">
        <v>1055</v>
      </c>
      <c r="C1048" s="22" t="s">
        <v>2302</v>
      </c>
      <c r="E1048" s="22">
        <v>1</v>
      </c>
      <c r="F1048" s="22">
        <v>51</v>
      </c>
      <c r="G1048" s="30">
        <f>IF(OR(M1048="",O1048="",M1048=0),"",(M1048-O1048)/M1048)</f>
        <v>0.22549019607843138</v>
      </c>
      <c r="H1048" s="22">
        <v>51</v>
      </c>
      <c r="I1048" s="22">
        <v>4027</v>
      </c>
      <c r="J1048" s="22">
        <v>20</v>
      </c>
      <c r="K1048" s="22">
        <v>200</v>
      </c>
      <c r="L1048" s="22">
        <v>18</v>
      </c>
      <c r="M1048" s="22">
        <f>_xlfn.CEILING.MATH(F1048*2)</f>
        <v>102</v>
      </c>
      <c r="N1048" s="22">
        <f>H1048*1.18</f>
        <v>60.18</v>
      </c>
      <c r="O1048" s="22">
        <f>_xlfn.CEILING.MATH(F1048*1.56)-1</f>
        <v>79</v>
      </c>
    </row>
    <row r="1049" spans="1:15" s="22" customFormat="1">
      <c r="A1049" s="22">
        <v>833</v>
      </c>
      <c r="B1049" s="22" t="s">
        <v>1056</v>
      </c>
      <c r="C1049" s="22" t="s">
        <v>2303</v>
      </c>
      <c r="E1049" s="22">
        <v>1</v>
      </c>
      <c r="F1049" s="22">
        <v>63</v>
      </c>
      <c r="G1049" s="30">
        <f>IF(OR(M1049="",O1049="",M1049=0),"",(M1049-O1049)/M1049)</f>
        <v>0.22222222222222221</v>
      </c>
      <c r="H1049" s="22">
        <v>63</v>
      </c>
      <c r="I1049" s="22">
        <v>5418</v>
      </c>
      <c r="J1049" s="22">
        <v>20</v>
      </c>
      <c r="K1049" s="22">
        <v>200</v>
      </c>
      <c r="L1049" s="22">
        <v>18</v>
      </c>
      <c r="M1049" s="22">
        <f>_xlfn.CEILING.MATH(F1049*2)</f>
        <v>126</v>
      </c>
      <c r="N1049" s="22">
        <f>H1049*1.18</f>
        <v>74.339999999999989</v>
      </c>
      <c r="O1049" s="22">
        <f>_xlfn.CEILING.MATH(F1049*1.56)-1</f>
        <v>98</v>
      </c>
    </row>
    <row r="1050" spans="1:15" s="22" customFormat="1">
      <c r="A1050" s="22">
        <v>834</v>
      </c>
      <c r="B1050" s="22" t="s">
        <v>2304</v>
      </c>
      <c r="C1050" s="22" t="s">
        <v>2305</v>
      </c>
      <c r="E1050" s="22">
        <v>1</v>
      </c>
      <c r="F1050" s="22">
        <v>40.5</v>
      </c>
      <c r="G1050" s="30">
        <f>IF(OR(M1050="",O1050="",M1050=0),"",(M1050-O1050)/M1050)</f>
        <v>0.22222222222222221</v>
      </c>
      <c r="H1050" s="22">
        <v>40.5</v>
      </c>
      <c r="I1050" s="22">
        <v>1100</v>
      </c>
      <c r="J1050" s="22">
        <v>20</v>
      </c>
      <c r="K1050" s="22">
        <v>200</v>
      </c>
      <c r="L1050" s="22">
        <v>18</v>
      </c>
      <c r="M1050" s="22">
        <f>_xlfn.CEILING.MATH(F1050*2)</f>
        <v>81</v>
      </c>
      <c r="N1050" s="22">
        <f>H1050*1.18</f>
        <v>47.79</v>
      </c>
      <c r="O1050" s="22">
        <f>_xlfn.CEILING.MATH(F1050*1.56)-1</f>
        <v>63</v>
      </c>
    </row>
    <row r="1051" spans="1:15" s="22" customFormat="1">
      <c r="A1051" s="22">
        <v>835</v>
      </c>
      <c r="B1051" s="22" t="s">
        <v>2306</v>
      </c>
      <c r="C1051" s="22" t="s">
        <v>2307</v>
      </c>
      <c r="E1051" s="22">
        <v>1</v>
      </c>
      <c r="F1051" s="22">
        <v>46.5</v>
      </c>
      <c r="G1051" s="30">
        <f>IF(OR(M1051="",O1051="",M1051=0),"",(M1051-O1051)/M1051)</f>
        <v>0.22580645161290322</v>
      </c>
      <c r="H1051" s="22">
        <v>46.5</v>
      </c>
      <c r="I1051" s="22">
        <v>1110</v>
      </c>
      <c r="J1051" s="22">
        <v>20</v>
      </c>
      <c r="K1051" s="22">
        <v>200</v>
      </c>
      <c r="L1051" s="22">
        <v>18</v>
      </c>
      <c r="M1051" s="22">
        <f>_xlfn.CEILING.MATH(F1051*2)</f>
        <v>93</v>
      </c>
      <c r="N1051" s="22">
        <f>H1051*1.18</f>
        <v>54.87</v>
      </c>
      <c r="O1051" s="22">
        <f>_xlfn.CEILING.MATH(F1051*1.56)-1</f>
        <v>72</v>
      </c>
    </row>
    <row r="1052" spans="1:15" s="22" customFormat="1">
      <c r="A1052" s="22">
        <v>836</v>
      </c>
      <c r="B1052" s="22" t="s">
        <v>2308</v>
      </c>
      <c r="C1052" s="22" t="s">
        <v>2309</v>
      </c>
      <c r="E1052" s="22">
        <v>1</v>
      </c>
      <c r="F1052" s="22">
        <v>51</v>
      </c>
      <c r="G1052" s="30">
        <f>IF(OR(M1052="",O1052="",M1052=0),"",(M1052-O1052)/M1052)</f>
        <v>0.22549019607843138</v>
      </c>
      <c r="H1052" s="22">
        <v>51</v>
      </c>
      <c r="I1052" s="22">
        <v>10</v>
      </c>
      <c r="J1052" s="22">
        <v>20</v>
      </c>
      <c r="K1052" s="22">
        <v>200</v>
      </c>
      <c r="L1052" s="22">
        <v>18</v>
      </c>
      <c r="M1052" s="22">
        <f>_xlfn.CEILING.MATH(F1052*2)</f>
        <v>102</v>
      </c>
      <c r="N1052" s="22">
        <f>H1052*1.18</f>
        <v>60.18</v>
      </c>
      <c r="O1052" s="22">
        <f>_xlfn.CEILING.MATH(F1052*1.56)-1</f>
        <v>79</v>
      </c>
    </row>
    <row r="1053" spans="1:15" s="22" customFormat="1">
      <c r="A1053" s="22">
        <v>837</v>
      </c>
      <c r="B1053" s="22" t="s">
        <v>2310</v>
      </c>
      <c r="C1053" s="22" t="s">
        <v>2311</v>
      </c>
      <c r="E1053" s="22">
        <v>1</v>
      </c>
      <c r="F1053" s="22">
        <v>55.5</v>
      </c>
      <c r="G1053" s="30">
        <f>IF(OR(M1053="",O1053="",M1053=0),"",(M1053-O1053)/M1053)</f>
        <v>0.22522522522522523</v>
      </c>
      <c r="H1053" s="22">
        <v>55.5</v>
      </c>
      <c r="I1053" s="22">
        <v>1040</v>
      </c>
      <c r="J1053" s="22">
        <v>20</v>
      </c>
      <c r="K1053" s="22">
        <v>200</v>
      </c>
      <c r="L1053" s="22">
        <v>18</v>
      </c>
      <c r="M1053" s="22">
        <f>_xlfn.CEILING.MATH(F1053*2)</f>
        <v>111</v>
      </c>
      <c r="N1053" s="22">
        <f>H1053*1.18</f>
        <v>65.489999999999995</v>
      </c>
      <c r="O1053" s="22">
        <f>_xlfn.CEILING.MATH(F1053*1.56)-1</f>
        <v>86</v>
      </c>
    </row>
    <row r="1054" spans="1:15" s="22" customFormat="1">
      <c r="A1054" s="22">
        <v>838</v>
      </c>
      <c r="B1054" s="22" t="s">
        <v>1057</v>
      </c>
      <c r="C1054" s="22" t="s">
        <v>2312</v>
      </c>
      <c r="E1054" s="22">
        <v>1</v>
      </c>
      <c r="F1054" s="22">
        <v>130.5</v>
      </c>
      <c r="G1054" s="30">
        <f>IF(OR(M1054="",O1054="",M1054=0),"",(M1054-O1054)/M1054)</f>
        <v>0.22222222222222221</v>
      </c>
      <c r="H1054" s="22">
        <v>130.5</v>
      </c>
      <c r="I1054" s="22">
        <v>6122</v>
      </c>
      <c r="J1054" s="22">
        <v>12</v>
      </c>
      <c r="K1054" s="22">
        <v>48</v>
      </c>
      <c r="L1054" s="22">
        <v>18</v>
      </c>
      <c r="M1054" s="22">
        <f>_xlfn.CEILING.MATH(F1054*2)</f>
        <v>261</v>
      </c>
      <c r="N1054" s="22">
        <f>H1054*1.18</f>
        <v>153.98999999999998</v>
      </c>
      <c r="O1054" s="22">
        <f>_xlfn.CEILING.MATH(F1054*1.56)-1</f>
        <v>203</v>
      </c>
    </row>
    <row r="1055" spans="1:15" s="22" customFormat="1">
      <c r="A1055" s="22">
        <v>839</v>
      </c>
      <c r="B1055" s="22" t="s">
        <v>1058</v>
      </c>
      <c r="C1055" s="22" t="s">
        <v>2313</v>
      </c>
      <c r="E1055" s="22">
        <v>1</v>
      </c>
      <c r="F1055" s="22">
        <v>162</v>
      </c>
      <c r="G1055" s="30">
        <f>IF(OR(M1055="",O1055="",M1055=0),"",(M1055-O1055)/M1055)</f>
        <v>0.22222222222222221</v>
      </c>
      <c r="H1055" s="22">
        <v>162</v>
      </c>
      <c r="I1055" s="22">
        <v>2349</v>
      </c>
      <c r="J1055" s="22">
        <v>12</v>
      </c>
      <c r="K1055" s="22">
        <v>48</v>
      </c>
      <c r="L1055" s="22">
        <v>18</v>
      </c>
      <c r="M1055" s="22">
        <f>_xlfn.CEILING.MATH(F1055*2)</f>
        <v>324</v>
      </c>
      <c r="N1055" s="22">
        <f>H1055*1.18</f>
        <v>191.16</v>
      </c>
      <c r="O1055" s="22">
        <f>_xlfn.CEILING.MATH(F1055*1.56)-1</f>
        <v>252</v>
      </c>
    </row>
    <row r="1056" spans="1:15" s="22" customFormat="1">
      <c r="A1056" s="22">
        <v>840</v>
      </c>
      <c r="B1056" s="22" t="s">
        <v>358</v>
      </c>
      <c r="C1056" s="22" t="s">
        <v>2314</v>
      </c>
      <c r="E1056" s="22">
        <v>1</v>
      </c>
      <c r="F1056" s="22">
        <v>123</v>
      </c>
      <c r="G1056" s="30">
        <f>IF(OR(M1056="",O1056="",M1056=0),"",(M1056-O1056)/M1056)</f>
        <v>0.22357723577235772</v>
      </c>
      <c r="H1056" s="22">
        <v>123</v>
      </c>
      <c r="I1056" s="22">
        <v>0</v>
      </c>
      <c r="J1056" s="22">
        <v>12</v>
      </c>
      <c r="K1056" s="22">
        <v>48</v>
      </c>
      <c r="L1056" s="22">
        <v>18</v>
      </c>
      <c r="M1056" s="22">
        <f>_xlfn.CEILING.MATH(F1056*2)</f>
        <v>246</v>
      </c>
      <c r="N1056" s="22">
        <f>H1056*1.18</f>
        <v>145.13999999999999</v>
      </c>
      <c r="O1056" s="22">
        <f>_xlfn.CEILING.MATH(F1056*1.56)-1</f>
        <v>191</v>
      </c>
    </row>
    <row r="1057" spans="1:15" s="22" customFormat="1">
      <c r="A1057" s="22">
        <v>841</v>
      </c>
      <c r="B1057" s="22" t="s">
        <v>2315</v>
      </c>
      <c r="C1057" s="22" t="s">
        <v>2316</v>
      </c>
      <c r="E1057" s="22">
        <v>1</v>
      </c>
      <c r="F1057" s="22">
        <v>7920</v>
      </c>
      <c r="G1057" s="30">
        <f>IF(OR(M1057="",O1057="",M1057=0),"",(M1057-O1057)/M1057)</f>
        <v>0.22001262626262627</v>
      </c>
      <c r="H1057" s="22">
        <v>7920</v>
      </c>
      <c r="I1057" s="22">
        <v>0</v>
      </c>
      <c r="J1057" s="22">
        <v>2</v>
      </c>
      <c r="K1057" s="22">
        <v>6</v>
      </c>
      <c r="L1057" s="22">
        <v>18</v>
      </c>
      <c r="M1057" s="22">
        <f>_xlfn.CEILING.MATH(F1057*2)</f>
        <v>15840</v>
      </c>
      <c r="N1057" s="22">
        <f>H1057*1.18</f>
        <v>9345.6</v>
      </c>
      <c r="O1057" s="22">
        <f>_xlfn.CEILING.MATH(F1057*1.56)-1</f>
        <v>12355</v>
      </c>
    </row>
    <row r="1058" spans="1:15" s="22" customFormat="1">
      <c r="A1058" s="22">
        <v>842</v>
      </c>
      <c r="B1058" s="22" t="s">
        <v>2317</v>
      </c>
      <c r="C1058" s="22" t="s">
        <v>2318</v>
      </c>
      <c r="E1058" s="22">
        <v>1</v>
      </c>
      <c r="F1058" s="22">
        <v>8100</v>
      </c>
      <c r="G1058" s="30">
        <f>IF(OR(M1058="",O1058="",M1058=0),"",(M1058-O1058)/M1058)</f>
        <v>0.22006172839506172</v>
      </c>
      <c r="H1058" s="22">
        <v>8100</v>
      </c>
      <c r="I1058" s="22">
        <v>0</v>
      </c>
      <c r="J1058" s="22">
        <v>2</v>
      </c>
      <c r="K1058" s="22">
        <v>6</v>
      </c>
      <c r="L1058" s="22">
        <v>18</v>
      </c>
      <c r="M1058" s="22">
        <f>_xlfn.CEILING.MATH(F1058*2)</f>
        <v>16200</v>
      </c>
      <c r="N1058" s="22">
        <f>H1058*1.18</f>
        <v>9558</v>
      </c>
      <c r="O1058" s="22">
        <f>_xlfn.CEILING.MATH(F1058*1.56)-1</f>
        <v>12635</v>
      </c>
    </row>
    <row r="1059" spans="1:15" s="22" customFormat="1">
      <c r="A1059" s="22">
        <v>843</v>
      </c>
      <c r="B1059" s="22" t="s">
        <v>2319</v>
      </c>
      <c r="C1059" s="22" t="s">
        <v>2320</v>
      </c>
      <c r="E1059" s="22">
        <v>1</v>
      </c>
      <c r="F1059" s="22">
        <v>135</v>
      </c>
      <c r="G1059" s="30">
        <f>IF(OR(M1059="",O1059="",M1059=0),"",(M1059-O1059)/M1059)</f>
        <v>0.22222222222222221</v>
      </c>
      <c r="H1059" s="22">
        <v>135</v>
      </c>
      <c r="I1059" s="22">
        <v>223</v>
      </c>
      <c r="J1059" s="22">
        <v>5</v>
      </c>
      <c r="K1059" s="22">
        <v>30</v>
      </c>
      <c r="L1059" s="22">
        <v>18</v>
      </c>
      <c r="M1059" s="22">
        <f>_xlfn.CEILING.MATH(F1059*2)</f>
        <v>270</v>
      </c>
      <c r="N1059" s="22">
        <f>H1059*1.18</f>
        <v>159.29999999999998</v>
      </c>
      <c r="O1059" s="22">
        <f>_xlfn.CEILING.MATH(F1059*1.56)-1</f>
        <v>210</v>
      </c>
    </row>
    <row r="1060" spans="1:15" s="22" customFormat="1">
      <c r="A1060" s="22">
        <v>844</v>
      </c>
      <c r="B1060" s="22" t="s">
        <v>2321</v>
      </c>
      <c r="C1060" s="22" t="s">
        <v>2322</v>
      </c>
      <c r="E1060" s="22">
        <v>1</v>
      </c>
      <c r="F1060" s="22">
        <v>142.5</v>
      </c>
      <c r="G1060" s="30">
        <f>IF(OR(M1060="",O1060="",M1060=0),"",(M1060-O1060)/M1060)</f>
        <v>0.22105263157894736</v>
      </c>
      <c r="H1060" s="22">
        <v>142.5</v>
      </c>
      <c r="I1060" s="22">
        <v>27</v>
      </c>
      <c r="J1060" s="22">
        <v>5</v>
      </c>
      <c r="K1060" s="22">
        <v>30</v>
      </c>
      <c r="L1060" s="22">
        <v>18</v>
      </c>
      <c r="M1060" s="22">
        <f>_xlfn.CEILING.MATH(F1060*2)</f>
        <v>285</v>
      </c>
      <c r="N1060" s="22">
        <f>H1060*1.18</f>
        <v>168.14999999999998</v>
      </c>
      <c r="O1060" s="22">
        <f>_xlfn.CEILING.MATH(F1060*1.56)-1</f>
        <v>222</v>
      </c>
    </row>
    <row r="1061" spans="1:15" s="22" customFormat="1">
      <c r="A1061" s="22">
        <v>845</v>
      </c>
      <c r="B1061" s="22" t="s">
        <v>1059</v>
      </c>
      <c r="C1061" s="22" t="s">
        <v>2323</v>
      </c>
      <c r="E1061" s="22">
        <v>1</v>
      </c>
      <c r="F1061" s="22">
        <v>202.5</v>
      </c>
      <c r="G1061" s="30">
        <f>IF(OR(M1061="",O1061="",M1061=0),"",(M1061-O1061)/M1061)</f>
        <v>0.22222222222222221</v>
      </c>
      <c r="H1061" s="22">
        <v>202.5</v>
      </c>
      <c r="I1061" s="22">
        <v>170</v>
      </c>
      <c r="J1061" s="22">
        <v>5</v>
      </c>
      <c r="K1061" s="22">
        <v>10</v>
      </c>
      <c r="L1061" s="22">
        <v>18</v>
      </c>
      <c r="M1061" s="22">
        <f>_xlfn.CEILING.MATH(F1061*2)</f>
        <v>405</v>
      </c>
      <c r="N1061" s="22">
        <f>H1061*1.18</f>
        <v>238.95</v>
      </c>
      <c r="O1061" s="22">
        <f>_xlfn.CEILING.MATH(F1061*1.56)-1</f>
        <v>315</v>
      </c>
    </row>
    <row r="1062" spans="1:15" s="22" customFormat="1">
      <c r="A1062" s="22">
        <v>846</v>
      </c>
      <c r="B1062" s="22" t="s">
        <v>1060</v>
      </c>
      <c r="C1062" s="22" t="s">
        <v>2324</v>
      </c>
      <c r="E1062" s="22">
        <v>1</v>
      </c>
      <c r="F1062" s="22">
        <v>252</v>
      </c>
      <c r="G1062" s="30">
        <f>IF(OR(M1062="",O1062="",M1062=0),"",(M1062-O1062)/M1062)</f>
        <v>0.22023809523809523</v>
      </c>
      <c r="H1062" s="22">
        <v>252</v>
      </c>
      <c r="I1062" s="22">
        <v>107</v>
      </c>
      <c r="J1062" s="22">
        <v>5</v>
      </c>
      <c r="K1062" s="22">
        <v>10</v>
      </c>
      <c r="L1062" s="22">
        <v>18</v>
      </c>
      <c r="M1062" s="22">
        <f>_xlfn.CEILING.MATH(F1062*2)</f>
        <v>504</v>
      </c>
      <c r="N1062" s="22">
        <f>H1062*1.18</f>
        <v>297.35999999999996</v>
      </c>
      <c r="O1062" s="22">
        <f>_xlfn.CEILING.MATH(F1062*1.56)-1</f>
        <v>393</v>
      </c>
    </row>
    <row r="1063" spans="1:15" s="22" customFormat="1">
      <c r="A1063" s="22">
        <v>847</v>
      </c>
      <c r="B1063" s="22" t="s">
        <v>1061</v>
      </c>
      <c r="C1063" s="22" t="s">
        <v>2325</v>
      </c>
      <c r="E1063" s="22">
        <v>1</v>
      </c>
      <c r="F1063" s="22">
        <v>360</v>
      </c>
      <c r="G1063" s="30">
        <f>IF(OR(M1063="",O1063="",M1063=0),"",(M1063-O1063)/M1063)</f>
        <v>0.22083333333333333</v>
      </c>
      <c r="H1063" s="22">
        <v>360</v>
      </c>
      <c r="I1063" s="22">
        <v>60</v>
      </c>
      <c r="J1063" s="22">
        <v>5</v>
      </c>
      <c r="K1063" s="22">
        <v>10</v>
      </c>
      <c r="L1063" s="22">
        <v>18</v>
      </c>
      <c r="M1063" s="22">
        <f>_xlfn.CEILING.MATH(F1063*2)</f>
        <v>720</v>
      </c>
      <c r="N1063" s="22">
        <f>H1063*1.18</f>
        <v>424.79999999999995</v>
      </c>
      <c r="O1063" s="22">
        <f>_xlfn.CEILING.MATH(F1063*1.56)-1</f>
        <v>561</v>
      </c>
    </row>
    <row r="1064" spans="1:15" s="22" customFormat="1">
      <c r="A1064" s="22">
        <v>848</v>
      </c>
      <c r="B1064" s="22" t="s">
        <v>1062</v>
      </c>
      <c r="C1064" s="22" t="s">
        <v>2326</v>
      </c>
      <c r="E1064" s="22">
        <v>1</v>
      </c>
      <c r="F1064" s="22">
        <v>517.5</v>
      </c>
      <c r="G1064" s="30">
        <f>IF(OR(M1064="",O1064="",M1064=0),"",(M1064-O1064)/M1064)</f>
        <v>0.22028985507246376</v>
      </c>
      <c r="H1064" s="22">
        <v>517.5</v>
      </c>
      <c r="I1064" s="22">
        <v>217</v>
      </c>
      <c r="J1064" s="22">
        <v>5</v>
      </c>
      <c r="K1064" s="22">
        <v>10</v>
      </c>
      <c r="L1064" s="22">
        <v>18</v>
      </c>
      <c r="M1064" s="22">
        <f>_xlfn.CEILING.MATH(F1064*2)</f>
        <v>1035</v>
      </c>
      <c r="N1064" s="22">
        <f>H1064*1.18</f>
        <v>610.65</v>
      </c>
      <c r="O1064" s="22">
        <f>_xlfn.CEILING.MATH(F1064*1.56)-1</f>
        <v>807</v>
      </c>
    </row>
    <row r="1065" spans="1:15" s="22" customFormat="1">
      <c r="A1065" s="22">
        <v>849</v>
      </c>
      <c r="B1065" s="22" t="s">
        <v>1063</v>
      </c>
      <c r="C1065" s="22" t="s">
        <v>2327</v>
      </c>
      <c r="E1065" s="22">
        <v>1</v>
      </c>
      <c r="F1065" s="22">
        <v>725</v>
      </c>
      <c r="G1065" s="30">
        <f>IF(OR(M1065="",O1065="",M1065=0),"",(M1065-O1065)/M1065)</f>
        <v>0.22068965517241379</v>
      </c>
      <c r="H1065" s="22">
        <v>725</v>
      </c>
      <c r="I1065" s="22">
        <v>56</v>
      </c>
      <c r="J1065" s="22">
        <v>5</v>
      </c>
      <c r="K1065" s="22">
        <v>10</v>
      </c>
      <c r="L1065" s="22">
        <v>18</v>
      </c>
      <c r="M1065" s="22">
        <f>_xlfn.CEILING.MATH(F1065*2)</f>
        <v>1450</v>
      </c>
      <c r="N1065" s="22">
        <f>H1065*1.18</f>
        <v>855.5</v>
      </c>
      <c r="O1065" s="22">
        <f>_xlfn.CEILING.MATH(F1065*1.56)-1</f>
        <v>1130</v>
      </c>
    </row>
    <row r="1066" spans="1:15" s="22" customFormat="1">
      <c r="A1066" s="22">
        <v>850</v>
      </c>
      <c r="B1066" s="22" t="s">
        <v>1064</v>
      </c>
      <c r="C1066" s="22" t="s">
        <v>2328</v>
      </c>
      <c r="E1066" s="22">
        <v>1</v>
      </c>
      <c r="F1066" s="22">
        <v>930</v>
      </c>
      <c r="G1066" s="30">
        <f>IF(OR(M1066="",O1066="",M1066=0),"",(M1066-O1066)/M1066)</f>
        <v>0.22043010752688172</v>
      </c>
      <c r="H1066" s="22">
        <v>930</v>
      </c>
      <c r="I1066" s="22">
        <v>34</v>
      </c>
      <c r="J1066" s="22">
        <v>5</v>
      </c>
      <c r="K1066" s="22">
        <v>10</v>
      </c>
      <c r="L1066" s="22">
        <v>18</v>
      </c>
      <c r="M1066" s="22">
        <f>_xlfn.CEILING.MATH(F1066*2)</f>
        <v>1860</v>
      </c>
      <c r="N1066" s="22">
        <f>H1066*1.18</f>
        <v>1097.3999999999999</v>
      </c>
      <c r="O1066" s="22">
        <f>_xlfn.CEILING.MATH(F1066*1.56)-1</f>
        <v>1450</v>
      </c>
    </row>
    <row r="1067" spans="1:15" s="22" customFormat="1">
      <c r="A1067" s="22">
        <v>851</v>
      </c>
      <c r="B1067" s="22" t="s">
        <v>1065</v>
      </c>
      <c r="C1067" s="22" t="s">
        <v>2329</v>
      </c>
      <c r="E1067" s="22">
        <v>1</v>
      </c>
      <c r="F1067" s="22">
        <v>1680</v>
      </c>
      <c r="G1067" s="30">
        <f>IF(OR(M1067="",O1067="",M1067=0),"",(M1067-O1067)/M1067)</f>
        <v>0.22023809523809523</v>
      </c>
      <c r="H1067" s="22">
        <v>1680</v>
      </c>
      <c r="I1067" s="22">
        <v>11</v>
      </c>
      <c r="J1067" s="22">
        <v>2</v>
      </c>
      <c r="K1067" s="22">
        <v>6</v>
      </c>
      <c r="L1067" s="22">
        <v>18</v>
      </c>
      <c r="M1067" s="22">
        <f>_xlfn.CEILING.MATH(F1067*2)</f>
        <v>3360</v>
      </c>
      <c r="N1067" s="22">
        <f>H1067*1.18</f>
        <v>1982.3999999999999</v>
      </c>
      <c r="O1067" s="22">
        <f>_xlfn.CEILING.MATH(F1067*1.56)-1</f>
        <v>2620</v>
      </c>
    </row>
    <row r="1068" spans="1:15" s="22" customFormat="1">
      <c r="A1068" s="22">
        <v>852</v>
      </c>
      <c r="B1068" s="22" t="s">
        <v>1066</v>
      </c>
      <c r="C1068" s="22" t="s">
        <v>2330</v>
      </c>
      <c r="E1068" s="22">
        <v>1</v>
      </c>
      <c r="F1068" s="22">
        <v>1875</v>
      </c>
      <c r="G1068" s="30">
        <f>IF(OR(M1068="",O1068="",M1068=0),"",(M1068-O1068)/M1068)</f>
        <v>0.22026666666666667</v>
      </c>
      <c r="H1068" s="22">
        <v>1875</v>
      </c>
      <c r="I1068" s="22">
        <v>32</v>
      </c>
      <c r="J1068" s="22">
        <v>2</v>
      </c>
      <c r="K1068" s="22">
        <v>6</v>
      </c>
      <c r="L1068" s="22">
        <v>18</v>
      </c>
      <c r="M1068" s="22">
        <f>_xlfn.CEILING.MATH(F1068*2)</f>
        <v>3750</v>
      </c>
      <c r="N1068" s="22">
        <f>H1068*1.18</f>
        <v>2212.5</v>
      </c>
      <c r="O1068" s="22">
        <f>_xlfn.CEILING.MATH(F1068*1.56)-1</f>
        <v>2924</v>
      </c>
    </row>
    <row r="1069" spans="1:15" s="22" customFormat="1">
      <c r="A1069" s="22">
        <v>853</v>
      </c>
      <c r="B1069" s="22" t="s">
        <v>1067</v>
      </c>
      <c r="C1069" s="22" t="s">
        <v>2331</v>
      </c>
      <c r="E1069" s="22">
        <v>1</v>
      </c>
      <c r="F1069" s="22">
        <v>3300</v>
      </c>
      <c r="G1069" s="30">
        <f>IF(OR(M1069="",O1069="",M1069=0),"",(M1069-O1069)/M1069)</f>
        <v>0.22015151515151515</v>
      </c>
      <c r="H1069" s="22">
        <v>3300</v>
      </c>
      <c r="I1069" s="22">
        <v>0</v>
      </c>
      <c r="J1069" s="22">
        <v>2</v>
      </c>
      <c r="K1069" s="22">
        <v>6</v>
      </c>
      <c r="L1069" s="22">
        <v>18</v>
      </c>
      <c r="M1069" s="22">
        <f>_xlfn.CEILING.MATH(F1069*2)</f>
        <v>6600</v>
      </c>
      <c r="N1069" s="22">
        <f>H1069*1.18</f>
        <v>3894</v>
      </c>
      <c r="O1069" s="22">
        <f>_xlfn.CEILING.MATH(F1069*1.56)-1</f>
        <v>5147</v>
      </c>
    </row>
    <row r="1070" spans="1:15" s="22" customFormat="1">
      <c r="A1070" s="22">
        <v>854</v>
      </c>
      <c r="B1070" s="22" t="s">
        <v>1068</v>
      </c>
      <c r="C1070" s="22" t="s">
        <v>2332</v>
      </c>
      <c r="E1070" s="22">
        <v>1</v>
      </c>
      <c r="F1070" s="22">
        <v>3600</v>
      </c>
      <c r="G1070" s="30">
        <f>IF(OR(M1070="",O1070="",M1070=0),"",(M1070-O1070)/M1070)</f>
        <v>0.22013888888888888</v>
      </c>
      <c r="H1070" s="22">
        <v>3600</v>
      </c>
      <c r="I1070" s="22">
        <v>10</v>
      </c>
      <c r="J1070" s="22">
        <v>2</v>
      </c>
      <c r="K1070" s="22">
        <v>6</v>
      </c>
      <c r="L1070" s="22">
        <v>18</v>
      </c>
      <c r="M1070" s="22">
        <f>_xlfn.CEILING.MATH(F1070*2)</f>
        <v>7200</v>
      </c>
      <c r="N1070" s="22">
        <f>H1070*1.18</f>
        <v>4248</v>
      </c>
      <c r="O1070" s="22">
        <f>_xlfn.CEILING.MATH(F1070*1.56)-1</f>
        <v>5615</v>
      </c>
    </row>
    <row r="1071" spans="1:15" s="22" customFormat="1">
      <c r="A1071" s="22">
        <v>855</v>
      </c>
      <c r="B1071" s="22" t="s">
        <v>2333</v>
      </c>
      <c r="C1071" s="22" t="s">
        <v>2334</v>
      </c>
      <c r="E1071" s="22">
        <v>1</v>
      </c>
      <c r="F1071" s="22">
        <v>4650</v>
      </c>
      <c r="G1071" s="30">
        <f>IF(OR(M1071="",O1071="",M1071=0),"",(M1071-O1071)/M1071)</f>
        <v>0.22010752688172042</v>
      </c>
      <c r="H1071" s="22">
        <v>4650</v>
      </c>
      <c r="I1071" s="22">
        <v>0</v>
      </c>
      <c r="J1071" s="22">
        <v>2</v>
      </c>
      <c r="K1071" s="22">
        <v>6</v>
      </c>
      <c r="L1071" s="22">
        <v>18</v>
      </c>
      <c r="M1071" s="22">
        <f>_xlfn.CEILING.MATH(F1071*2)</f>
        <v>9300</v>
      </c>
      <c r="N1071" s="22">
        <f>H1071*1.18</f>
        <v>5487</v>
      </c>
      <c r="O1071" s="22">
        <f>_xlfn.CEILING.MATH(F1071*1.56)-1</f>
        <v>7253</v>
      </c>
    </row>
    <row r="1072" spans="1:15" s="22" customFormat="1">
      <c r="A1072" s="22">
        <v>856</v>
      </c>
      <c r="B1072" s="22" t="s">
        <v>2335</v>
      </c>
      <c r="C1072" s="22" t="s">
        <v>2336</v>
      </c>
      <c r="E1072" s="22">
        <v>1</v>
      </c>
      <c r="F1072" s="22">
        <v>7200</v>
      </c>
      <c r="G1072" s="30">
        <f>IF(OR(M1072="",O1072="",M1072=0),"",(M1072-O1072)/M1072)</f>
        <v>0.22006944444444446</v>
      </c>
      <c r="H1072" s="22">
        <v>7200</v>
      </c>
      <c r="I1072" s="22">
        <v>0</v>
      </c>
      <c r="J1072" s="22">
        <v>2</v>
      </c>
      <c r="K1072" s="22">
        <v>6</v>
      </c>
      <c r="L1072" s="22">
        <v>18</v>
      </c>
      <c r="M1072" s="22">
        <f>_xlfn.CEILING.MATH(F1072*2)</f>
        <v>14400</v>
      </c>
      <c r="N1072" s="22">
        <f>H1072*1.18</f>
        <v>8496</v>
      </c>
      <c r="O1072" s="22">
        <f>_xlfn.CEILING.MATH(F1072*1.56)-1</f>
        <v>11231</v>
      </c>
    </row>
    <row r="1073" spans="1:15" s="22" customFormat="1">
      <c r="A1073" s="22">
        <v>857</v>
      </c>
      <c r="B1073" s="22" t="s">
        <v>1069</v>
      </c>
      <c r="C1073" s="22" t="s">
        <v>2337</v>
      </c>
      <c r="E1073" s="22">
        <v>1</v>
      </c>
      <c r="F1073" s="22">
        <v>265.5</v>
      </c>
      <c r="G1073" s="30">
        <f>IF(OR(M1073="",O1073="",M1073=0),"",(M1073-O1073)/M1073)</f>
        <v>0.22033898305084745</v>
      </c>
      <c r="H1073" s="22">
        <v>265.5</v>
      </c>
      <c r="I1073" s="22">
        <v>5</v>
      </c>
      <c r="J1073" s="22">
        <v>6</v>
      </c>
      <c r="K1073" s="22">
        <v>24</v>
      </c>
      <c r="L1073" s="22">
        <v>18</v>
      </c>
      <c r="M1073" s="22">
        <f>_xlfn.CEILING.MATH(F1073*2)</f>
        <v>531</v>
      </c>
      <c r="N1073" s="22">
        <f>H1073*1.18</f>
        <v>313.28999999999996</v>
      </c>
      <c r="O1073" s="22">
        <f>_xlfn.CEILING.MATH(F1073*1.56)-1</f>
        <v>414</v>
      </c>
    </row>
    <row r="1074" spans="1:15" s="22" customFormat="1">
      <c r="A1074" s="22">
        <v>858</v>
      </c>
      <c r="B1074" s="22" t="s">
        <v>1070</v>
      </c>
      <c r="C1074" s="22" t="s">
        <v>2338</v>
      </c>
      <c r="E1074" s="22">
        <v>1</v>
      </c>
      <c r="F1074" s="22">
        <v>874.5</v>
      </c>
      <c r="G1074" s="30">
        <f>IF(OR(M1074="",O1074="",M1074=0),"",(M1074-O1074)/M1074)</f>
        <v>0.22012578616352202</v>
      </c>
      <c r="H1074" s="22">
        <v>874.5</v>
      </c>
      <c r="I1074" s="22">
        <v>10</v>
      </c>
      <c r="J1074" s="22">
        <v>2</v>
      </c>
      <c r="K1074" s="22">
        <v>6</v>
      </c>
      <c r="L1074" s="22">
        <v>18</v>
      </c>
      <c r="M1074" s="22">
        <f>_xlfn.CEILING.MATH(F1074*2)</f>
        <v>1749</v>
      </c>
      <c r="N1074" s="22">
        <f>H1074*1.18</f>
        <v>1031.9099999999999</v>
      </c>
      <c r="O1074" s="22">
        <f>_xlfn.CEILING.MATH(F1074*1.56)-1</f>
        <v>1364</v>
      </c>
    </row>
    <row r="1075" spans="1:15" s="22" customFormat="1">
      <c r="A1075" s="22">
        <v>859</v>
      </c>
      <c r="B1075" s="22" t="s">
        <v>1071</v>
      </c>
      <c r="C1075" s="22" t="s">
        <v>2339</v>
      </c>
      <c r="E1075" s="22">
        <v>1</v>
      </c>
      <c r="F1075" s="22">
        <v>227.5</v>
      </c>
      <c r="G1075" s="30">
        <f>IF(OR(M1075="",O1075="",M1075=0),"",(M1075-O1075)/M1075)</f>
        <v>0.22197802197802197</v>
      </c>
      <c r="H1075" s="22">
        <v>227.5</v>
      </c>
      <c r="I1075" s="22">
        <v>11</v>
      </c>
      <c r="J1075" s="22">
        <v>4</v>
      </c>
      <c r="K1075" s="22">
        <v>16</v>
      </c>
      <c r="L1075" s="22">
        <v>18</v>
      </c>
      <c r="M1075" s="22">
        <f>_xlfn.CEILING.MATH(F1075*2)</f>
        <v>455</v>
      </c>
      <c r="N1075" s="22">
        <f>H1075*1.18</f>
        <v>268.45</v>
      </c>
      <c r="O1075" s="22">
        <f>_xlfn.CEILING.MATH(F1075*1.56)-1</f>
        <v>354</v>
      </c>
    </row>
    <row r="1076" spans="1:15" s="22" customFormat="1">
      <c r="A1076" s="22">
        <v>860</v>
      </c>
      <c r="B1076" s="22" t="s">
        <v>1072</v>
      </c>
      <c r="C1076" s="22" t="s">
        <v>2340</v>
      </c>
      <c r="E1076" s="22">
        <v>1</v>
      </c>
      <c r="F1076" s="22">
        <v>299</v>
      </c>
      <c r="G1076" s="30">
        <f>IF(OR(M1076="",O1076="",M1076=0),"",(M1076-O1076)/M1076)</f>
        <v>0.22073578595317725</v>
      </c>
      <c r="H1076" s="22">
        <v>299</v>
      </c>
      <c r="I1076" s="22">
        <v>83</v>
      </c>
      <c r="J1076" s="22">
        <v>4</v>
      </c>
      <c r="K1076" s="22">
        <v>10</v>
      </c>
      <c r="L1076" s="22">
        <v>18</v>
      </c>
      <c r="M1076" s="22">
        <f>_xlfn.CEILING.MATH(F1076*2)</f>
        <v>598</v>
      </c>
      <c r="N1076" s="22">
        <f>H1076*1.18</f>
        <v>352.82</v>
      </c>
      <c r="O1076" s="22">
        <f>_xlfn.CEILING.MATH(F1076*1.56)-1</f>
        <v>466</v>
      </c>
    </row>
    <row r="1077" spans="1:15" s="22" customFormat="1">
      <c r="A1077" s="22">
        <v>861</v>
      </c>
      <c r="B1077" s="22" t="s">
        <v>1073</v>
      </c>
      <c r="C1077" s="22" t="s">
        <v>2341</v>
      </c>
      <c r="E1077" s="22">
        <v>1</v>
      </c>
      <c r="F1077" s="22">
        <v>448.5</v>
      </c>
      <c r="G1077" s="30">
        <f>IF(OR(M1077="",O1077="",M1077=0),"",(M1077-O1077)/M1077)</f>
        <v>0.22073578595317725</v>
      </c>
      <c r="H1077" s="22">
        <v>448.5</v>
      </c>
      <c r="I1077" s="22">
        <v>42</v>
      </c>
      <c r="J1077" s="22">
        <v>4</v>
      </c>
      <c r="K1077" s="22">
        <v>8</v>
      </c>
      <c r="L1077" s="22">
        <v>18</v>
      </c>
      <c r="M1077" s="22">
        <f>_xlfn.CEILING.MATH(F1077*2)</f>
        <v>897</v>
      </c>
      <c r="N1077" s="22">
        <f>H1077*1.18</f>
        <v>529.23</v>
      </c>
      <c r="O1077" s="22">
        <f>_xlfn.CEILING.MATH(F1077*1.56)-1</f>
        <v>699</v>
      </c>
    </row>
    <row r="1078" spans="1:15" s="22" customFormat="1">
      <c r="A1078" s="22">
        <v>862</v>
      </c>
      <c r="B1078" s="22" t="s">
        <v>1074</v>
      </c>
      <c r="C1078" s="22" t="s">
        <v>2342</v>
      </c>
      <c r="E1078" s="22">
        <v>1</v>
      </c>
      <c r="F1078" s="22">
        <v>596.5</v>
      </c>
      <c r="G1078" s="30">
        <f>IF(OR(M1078="",O1078="",M1078=0),"",(M1078-O1078)/M1078)</f>
        <v>0.22045264040234702</v>
      </c>
      <c r="H1078" s="22">
        <v>596.5</v>
      </c>
      <c r="I1078" s="22">
        <v>25</v>
      </c>
      <c r="J1078" s="22">
        <v>2</v>
      </c>
      <c r="K1078" s="22">
        <v>8</v>
      </c>
      <c r="L1078" s="22">
        <v>18</v>
      </c>
      <c r="M1078" s="22">
        <f>_xlfn.CEILING.MATH(F1078*2)</f>
        <v>1193</v>
      </c>
      <c r="N1078" s="22">
        <f>H1078*1.18</f>
        <v>703.87</v>
      </c>
      <c r="O1078" s="22">
        <f>_xlfn.CEILING.MATH(F1078*1.56)-1</f>
        <v>930</v>
      </c>
    </row>
    <row r="1079" spans="1:15" s="22" customFormat="1">
      <c r="A1079" s="22">
        <v>863</v>
      </c>
      <c r="B1079" s="22" t="s">
        <v>1075</v>
      </c>
      <c r="C1079" s="22" t="s">
        <v>2343</v>
      </c>
      <c r="E1079" s="22">
        <v>1</v>
      </c>
      <c r="F1079" s="22">
        <v>1032</v>
      </c>
      <c r="G1079" s="30">
        <f>IF(OR(M1079="",O1079="",M1079=0),"",(M1079-O1079)/M1079)</f>
        <v>0.22044573643410853</v>
      </c>
      <c r="H1079" s="22">
        <v>1032</v>
      </c>
      <c r="I1079" s="22">
        <v>3</v>
      </c>
      <c r="J1079" s="22">
        <v>1</v>
      </c>
      <c r="K1079" s="22">
        <v>4</v>
      </c>
      <c r="L1079" s="22">
        <v>18</v>
      </c>
      <c r="M1079" s="22">
        <f>_xlfn.CEILING.MATH(F1079*2)</f>
        <v>2064</v>
      </c>
      <c r="N1079" s="22">
        <f>H1079*1.18</f>
        <v>1217.76</v>
      </c>
      <c r="O1079" s="22">
        <f>_xlfn.CEILING.MATH(F1079*1.56)-1</f>
        <v>1609</v>
      </c>
    </row>
    <row r="1080" spans="1:15" s="22" customFormat="1">
      <c r="A1080" s="22">
        <v>864</v>
      </c>
      <c r="B1080" s="22" t="s">
        <v>1076</v>
      </c>
      <c r="C1080" s="22" t="s">
        <v>2344</v>
      </c>
      <c r="E1080" s="22">
        <v>1</v>
      </c>
      <c r="F1080" s="22">
        <v>1164</v>
      </c>
      <c r="G1080" s="30">
        <f>IF(OR(M1080="",O1080="",M1080=0),"",(M1080-O1080)/M1080)</f>
        <v>0.22036082474226804</v>
      </c>
      <c r="H1080" s="22">
        <v>1164</v>
      </c>
      <c r="I1080" s="22">
        <v>1</v>
      </c>
      <c r="J1080" s="22">
        <v>1</v>
      </c>
      <c r="K1080" s="22">
        <v>4</v>
      </c>
      <c r="L1080" s="22">
        <v>18</v>
      </c>
      <c r="M1080" s="22">
        <f>_xlfn.CEILING.MATH(F1080*2)</f>
        <v>2328</v>
      </c>
      <c r="N1080" s="22">
        <f>H1080*1.18</f>
        <v>1373.52</v>
      </c>
      <c r="O1080" s="22">
        <f>_xlfn.CEILING.MATH(F1080*1.56)-1</f>
        <v>1815</v>
      </c>
    </row>
    <row r="1081" spans="1:15" s="22" customFormat="1">
      <c r="A1081" s="22">
        <v>865</v>
      </c>
      <c r="B1081" s="22" t="s">
        <v>1077</v>
      </c>
      <c r="C1081" s="22" t="s">
        <v>2345</v>
      </c>
      <c r="E1081" s="22">
        <v>1</v>
      </c>
      <c r="F1081" s="22">
        <v>1383.5</v>
      </c>
      <c r="G1081" s="30">
        <f>IF(OR(M1081="",O1081="",M1081=0),"",(M1081-O1081)/M1081)</f>
        <v>0.2200939645825804</v>
      </c>
      <c r="H1081" s="22">
        <v>1383.5</v>
      </c>
      <c r="I1081" s="22">
        <v>1</v>
      </c>
      <c r="J1081" s="22">
        <v>1</v>
      </c>
      <c r="K1081" s="22">
        <v>4</v>
      </c>
      <c r="L1081" s="22">
        <v>18</v>
      </c>
      <c r="M1081" s="22">
        <f>_xlfn.CEILING.MATH(F1081*2)</f>
        <v>2767</v>
      </c>
      <c r="N1081" s="22">
        <f>H1081*1.18</f>
        <v>1632.53</v>
      </c>
      <c r="O1081" s="22">
        <f>_xlfn.CEILING.MATH(F1081*1.56)-1</f>
        <v>2158</v>
      </c>
    </row>
    <row r="1082" spans="1:15" s="22" customFormat="1">
      <c r="A1082" s="22">
        <v>866</v>
      </c>
      <c r="B1082" s="22" t="s">
        <v>1078</v>
      </c>
      <c r="C1082" s="22" t="s">
        <v>2346</v>
      </c>
      <c r="E1082" s="22">
        <v>1</v>
      </c>
      <c r="F1082" s="22">
        <v>143</v>
      </c>
      <c r="G1082" s="30">
        <f>IF(OR(M1082="",O1082="",M1082=0),"",(M1082-O1082)/M1082)</f>
        <v>0.22027972027972029</v>
      </c>
      <c r="H1082" s="22">
        <v>143</v>
      </c>
      <c r="I1082" s="22">
        <v>81</v>
      </c>
      <c r="J1082" s="22">
        <v>6</v>
      </c>
      <c r="K1082" s="22">
        <v>32</v>
      </c>
      <c r="L1082" s="22">
        <v>18</v>
      </c>
      <c r="M1082" s="22">
        <f>_xlfn.CEILING.MATH(F1082*2)</f>
        <v>286</v>
      </c>
      <c r="N1082" s="22">
        <f>H1082*1.18</f>
        <v>168.73999999999998</v>
      </c>
      <c r="O1082" s="22">
        <f>_xlfn.CEILING.MATH(F1082*1.56)-1</f>
        <v>223</v>
      </c>
    </row>
    <row r="1083" spans="1:15" s="22" customFormat="1">
      <c r="A1083" s="22">
        <v>867</v>
      </c>
      <c r="B1083" s="22" t="s">
        <v>1079</v>
      </c>
      <c r="C1083" s="22" t="s">
        <v>2347</v>
      </c>
      <c r="E1083" s="22">
        <v>1</v>
      </c>
      <c r="F1083" s="22">
        <v>733</v>
      </c>
      <c r="G1083" s="30">
        <f>IF(OR(M1083="",O1083="",M1083=0),"",(M1083-O1083)/M1083)</f>
        <v>0.2203274215552524</v>
      </c>
      <c r="H1083" s="22">
        <v>733</v>
      </c>
      <c r="I1083" s="22">
        <v>22</v>
      </c>
      <c r="J1083" s="22">
        <v>2</v>
      </c>
      <c r="K1083" s="22">
        <v>6</v>
      </c>
      <c r="L1083" s="22">
        <v>18</v>
      </c>
      <c r="M1083" s="22">
        <f>_xlfn.CEILING.MATH(F1083*2)</f>
        <v>1466</v>
      </c>
      <c r="N1083" s="22">
        <f>H1083*1.18</f>
        <v>864.93999999999994</v>
      </c>
      <c r="O1083" s="22">
        <f>_xlfn.CEILING.MATH(F1083*1.56)-1</f>
        <v>1143</v>
      </c>
    </row>
    <row r="1084" spans="1:15" s="22" customFormat="1">
      <c r="A1084" s="22">
        <v>868</v>
      </c>
      <c r="B1084" s="22" t="s">
        <v>2348</v>
      </c>
      <c r="C1084" s="22" t="s">
        <v>2349</v>
      </c>
      <c r="E1084" s="22">
        <v>1</v>
      </c>
      <c r="F1084" s="22">
        <v>170</v>
      </c>
      <c r="G1084" s="30">
        <f>IF(OR(M1084="",O1084="",M1084=0),"",(M1084-O1084)/M1084)</f>
        <v>0.22058823529411764</v>
      </c>
      <c r="H1084" s="22">
        <v>170</v>
      </c>
      <c r="I1084" s="22">
        <v>0</v>
      </c>
      <c r="J1084" s="22">
        <v>4</v>
      </c>
      <c r="K1084" s="22">
        <v>16</v>
      </c>
      <c r="L1084" s="22">
        <v>18</v>
      </c>
      <c r="M1084" s="22">
        <f>_xlfn.CEILING.MATH(F1084*2)</f>
        <v>340</v>
      </c>
      <c r="N1084" s="22">
        <f>H1084*1.18</f>
        <v>200.6</v>
      </c>
      <c r="O1084" s="22">
        <f>_xlfn.CEILING.MATH(F1084*1.56)-1</f>
        <v>265</v>
      </c>
    </row>
    <row r="1085" spans="1:15" s="22" customFormat="1">
      <c r="A1085" s="22">
        <v>869</v>
      </c>
      <c r="B1085" s="22" t="s">
        <v>1080</v>
      </c>
      <c r="C1085" s="22" t="s">
        <v>2350</v>
      </c>
      <c r="E1085" s="22">
        <v>1</v>
      </c>
      <c r="F1085" s="22">
        <v>909.5</v>
      </c>
      <c r="G1085" s="30">
        <f>IF(OR(M1085="",O1085="",M1085=0),"",(M1085-O1085)/M1085)</f>
        <v>0.22045079714128643</v>
      </c>
      <c r="H1085" s="22">
        <v>909.5</v>
      </c>
      <c r="I1085" s="22">
        <v>55</v>
      </c>
      <c r="J1085" s="22">
        <v>1</v>
      </c>
      <c r="K1085" s="22">
        <v>2</v>
      </c>
      <c r="L1085" s="22">
        <v>18</v>
      </c>
      <c r="M1085" s="22">
        <f>_xlfn.CEILING.MATH(F1085*2)</f>
        <v>1819</v>
      </c>
      <c r="N1085" s="22">
        <f>H1085*1.18</f>
        <v>1073.21</v>
      </c>
      <c r="O1085" s="22">
        <f>_xlfn.CEILING.MATH(F1085*1.56)-1</f>
        <v>1418</v>
      </c>
    </row>
    <row r="1086" spans="1:15" s="22" customFormat="1">
      <c r="A1086" s="22">
        <v>870</v>
      </c>
      <c r="B1086" s="22" t="s">
        <v>1081</v>
      </c>
      <c r="C1086" s="22" t="s">
        <v>2351</v>
      </c>
      <c r="E1086" s="22">
        <v>1</v>
      </c>
      <c r="F1086" s="22">
        <v>1065.5</v>
      </c>
      <c r="G1086" s="30">
        <f>IF(OR(M1086="",O1086="",M1086=0),"",(M1086-O1086)/M1086)</f>
        <v>0.22008446738620366</v>
      </c>
      <c r="H1086" s="22">
        <v>1065.5</v>
      </c>
      <c r="I1086" s="22">
        <v>22</v>
      </c>
      <c r="J1086" s="22">
        <v>1</v>
      </c>
      <c r="K1086" s="22">
        <v>2</v>
      </c>
      <c r="L1086" s="22">
        <v>18</v>
      </c>
      <c r="M1086" s="22">
        <f>_xlfn.CEILING.MATH(F1086*2)</f>
        <v>2131</v>
      </c>
      <c r="N1086" s="22">
        <f>H1086*1.18</f>
        <v>1257.29</v>
      </c>
      <c r="O1086" s="22">
        <f>_xlfn.CEILING.MATH(F1086*1.56)-1</f>
        <v>1662</v>
      </c>
    </row>
    <row r="1087" spans="1:15" s="22" customFormat="1">
      <c r="A1087" s="22">
        <v>871</v>
      </c>
      <c r="B1087" s="22" t="s">
        <v>1082</v>
      </c>
      <c r="C1087" s="22" t="s">
        <v>2352</v>
      </c>
      <c r="E1087" s="22">
        <v>1</v>
      </c>
      <c r="F1087" s="22">
        <v>1218</v>
      </c>
      <c r="G1087" s="30">
        <f>IF(OR(M1087="",O1087="",M1087=0),"",(M1087-O1087)/M1087)</f>
        <v>0.2200328407224959</v>
      </c>
      <c r="H1087" s="22">
        <v>1218</v>
      </c>
      <c r="I1087" s="22">
        <v>3</v>
      </c>
      <c r="J1087" s="22">
        <v>1</v>
      </c>
      <c r="K1087" s="22">
        <v>2</v>
      </c>
      <c r="L1087" s="22">
        <v>18</v>
      </c>
      <c r="M1087" s="22">
        <f>_xlfn.CEILING.MATH(F1087*2)</f>
        <v>2436</v>
      </c>
      <c r="N1087" s="22">
        <f>H1087*1.18</f>
        <v>1437.24</v>
      </c>
      <c r="O1087" s="22">
        <f>_xlfn.CEILING.MATH(F1087*1.56)-1</f>
        <v>1900</v>
      </c>
    </row>
    <row r="1088" spans="1:15" s="22" customFormat="1">
      <c r="A1088" s="22">
        <v>872</v>
      </c>
      <c r="B1088" s="22" t="s">
        <v>1083</v>
      </c>
      <c r="C1088" s="22" t="s">
        <v>2353</v>
      </c>
      <c r="E1088" s="22">
        <v>1</v>
      </c>
      <c r="F1088" s="22">
        <v>1324.5</v>
      </c>
      <c r="G1088" s="30">
        <f>IF(OR(M1088="",O1088="",M1088=0),"",(M1088-O1088)/M1088)</f>
        <v>0.22008305020762553</v>
      </c>
      <c r="H1088" s="22">
        <v>1324.5</v>
      </c>
      <c r="I1088" s="22">
        <v>20</v>
      </c>
      <c r="J1088" s="22">
        <v>1</v>
      </c>
      <c r="K1088" s="22">
        <v>2</v>
      </c>
      <c r="L1088" s="22">
        <v>18</v>
      </c>
      <c r="M1088" s="22">
        <f>_xlfn.CEILING.MATH(F1088*2)</f>
        <v>2649</v>
      </c>
      <c r="N1088" s="22">
        <f>H1088*1.18</f>
        <v>1562.9099999999999</v>
      </c>
      <c r="O1088" s="22">
        <f>_xlfn.CEILING.MATH(F1088*1.56)-1</f>
        <v>2066</v>
      </c>
    </row>
    <row r="1089" spans="1:15" s="22" customFormat="1">
      <c r="A1089" s="22">
        <v>873</v>
      </c>
      <c r="B1089" s="22" t="s">
        <v>1084</v>
      </c>
      <c r="C1089" s="22" t="s">
        <v>2354</v>
      </c>
      <c r="E1089" s="22">
        <v>1</v>
      </c>
      <c r="F1089" s="22">
        <v>1572.5</v>
      </c>
      <c r="G1089" s="30">
        <f>IF(OR(M1089="",O1089="",M1089=0),"",(M1089-O1089)/M1089)</f>
        <v>0.22003179650238475</v>
      </c>
      <c r="H1089" s="22">
        <v>1572.5</v>
      </c>
      <c r="I1089" s="22">
        <v>0</v>
      </c>
      <c r="J1089" s="22">
        <v>1</v>
      </c>
      <c r="K1089" s="22">
        <v>2</v>
      </c>
      <c r="L1089" s="22">
        <v>18</v>
      </c>
      <c r="M1089" s="22">
        <f>_xlfn.CEILING.MATH(F1089*2)</f>
        <v>3145</v>
      </c>
      <c r="N1089" s="22">
        <f>H1089*1.18</f>
        <v>1855.55</v>
      </c>
      <c r="O1089" s="22">
        <f>_xlfn.CEILING.MATH(F1089*1.56)-1</f>
        <v>2453</v>
      </c>
    </row>
    <row r="1090" spans="1:15" s="22" customFormat="1">
      <c r="A1090" s="22">
        <v>874</v>
      </c>
      <c r="B1090" s="22" t="s">
        <v>2355</v>
      </c>
      <c r="C1090" s="22" t="s">
        <v>2356</v>
      </c>
      <c r="E1090" s="22">
        <v>1</v>
      </c>
      <c r="F1090" s="22">
        <v>147.5</v>
      </c>
      <c r="G1090" s="30">
        <f>IF(OR(M1090="",O1090="",M1090=0),"",(M1090-O1090)/M1090)</f>
        <v>0.22033898305084745</v>
      </c>
      <c r="H1090" s="22">
        <v>147.5</v>
      </c>
      <c r="I1090" s="22">
        <v>0</v>
      </c>
      <c r="J1090" s="22">
        <v>4</v>
      </c>
      <c r="K1090" s="22">
        <v>16</v>
      </c>
      <c r="L1090" s="22">
        <v>18</v>
      </c>
      <c r="M1090" s="22">
        <f>_xlfn.CEILING.MATH(F1090*2)</f>
        <v>295</v>
      </c>
      <c r="N1090" s="22">
        <f>H1090*1.18</f>
        <v>174.04999999999998</v>
      </c>
      <c r="O1090" s="22">
        <f>_xlfn.CEILING.MATH(F1090*1.56)-1</f>
        <v>230</v>
      </c>
    </row>
    <row r="1091" spans="1:15" s="22" customFormat="1">
      <c r="A1091" s="22">
        <v>875</v>
      </c>
      <c r="B1091" s="22" t="s">
        <v>1085</v>
      </c>
      <c r="C1091" s="22" t="s">
        <v>2357</v>
      </c>
      <c r="E1091" s="22">
        <v>1</v>
      </c>
      <c r="F1091" s="22">
        <v>191</v>
      </c>
      <c r="G1091" s="30">
        <f>IF(OR(M1091="",O1091="",M1091=0),"",(M1091-O1091)/M1091)</f>
        <v>0.22251308900523561</v>
      </c>
      <c r="H1091" s="22">
        <v>191</v>
      </c>
      <c r="I1091" s="22">
        <v>340</v>
      </c>
      <c r="J1091" s="22">
        <v>4</v>
      </c>
      <c r="K1091" s="22">
        <v>16</v>
      </c>
      <c r="L1091" s="22">
        <v>18</v>
      </c>
      <c r="M1091" s="22">
        <f>_xlfn.CEILING.MATH(F1091*2)</f>
        <v>382</v>
      </c>
      <c r="N1091" s="22">
        <f>H1091*1.18</f>
        <v>225.38</v>
      </c>
      <c r="O1091" s="22">
        <f>_xlfn.CEILING.MATH(F1091*1.56)-1</f>
        <v>297</v>
      </c>
    </row>
    <row r="1092" spans="1:15" s="22" customFormat="1">
      <c r="A1092" s="22">
        <v>876</v>
      </c>
      <c r="B1092" s="22" t="s">
        <v>1086</v>
      </c>
      <c r="C1092" s="22" t="s">
        <v>2358</v>
      </c>
      <c r="E1092" s="22">
        <v>1</v>
      </c>
      <c r="F1092" s="22">
        <v>435</v>
      </c>
      <c r="G1092" s="30">
        <f>IF(OR(M1092="",O1092="",M1092=0),"",(M1092-O1092)/M1092)</f>
        <v>0.22068965517241379</v>
      </c>
      <c r="H1092" s="22">
        <v>435</v>
      </c>
      <c r="I1092" s="22">
        <v>44</v>
      </c>
      <c r="J1092" s="22">
        <v>6</v>
      </c>
      <c r="K1092" s="22">
        <v>12</v>
      </c>
      <c r="L1092" s="22">
        <v>18</v>
      </c>
      <c r="M1092" s="22">
        <f>_xlfn.CEILING.MATH(F1092*2)</f>
        <v>870</v>
      </c>
      <c r="N1092" s="22">
        <f>H1092*1.18</f>
        <v>513.29999999999995</v>
      </c>
      <c r="O1092" s="22">
        <f>_xlfn.CEILING.MATH(F1092*1.56)-1</f>
        <v>678</v>
      </c>
    </row>
    <row r="1093" spans="1:15" s="22" customFormat="1">
      <c r="A1093" s="22">
        <v>877</v>
      </c>
      <c r="B1093" s="22" t="s">
        <v>1087</v>
      </c>
      <c r="C1093" s="22" t="s">
        <v>2359</v>
      </c>
      <c r="E1093" s="22">
        <v>1</v>
      </c>
      <c r="F1093" s="22">
        <v>267</v>
      </c>
      <c r="G1093" s="30">
        <f>IF(OR(M1093="",O1093="",M1093=0),"",(M1093-O1093)/M1093)</f>
        <v>0.22097378277153559</v>
      </c>
      <c r="H1093" s="22">
        <v>267</v>
      </c>
      <c r="I1093" s="22">
        <v>243</v>
      </c>
      <c r="J1093" s="22">
        <v>4</v>
      </c>
      <c r="K1093" s="22">
        <v>16</v>
      </c>
      <c r="L1093" s="22">
        <v>18</v>
      </c>
      <c r="M1093" s="22">
        <f>_xlfn.CEILING.MATH(F1093*2)</f>
        <v>534</v>
      </c>
      <c r="N1093" s="22">
        <f>H1093*1.18</f>
        <v>315.06</v>
      </c>
      <c r="O1093" s="22">
        <f>_xlfn.CEILING.MATH(F1093*1.56)-1</f>
        <v>416</v>
      </c>
    </row>
    <row r="1094" spans="1:15" s="22" customFormat="1">
      <c r="A1094" s="22">
        <v>878</v>
      </c>
      <c r="B1094" s="22" t="s">
        <v>1088</v>
      </c>
      <c r="C1094" s="22" t="s">
        <v>2360</v>
      </c>
      <c r="E1094" s="22">
        <v>1</v>
      </c>
      <c r="F1094" s="22">
        <v>348</v>
      </c>
      <c r="G1094" s="30">
        <f>IF(OR(M1094="",O1094="",M1094=0),"",(M1094-O1094)/M1094)</f>
        <v>0.22126436781609196</v>
      </c>
      <c r="H1094" s="22">
        <v>348</v>
      </c>
      <c r="I1094" s="22">
        <v>206</v>
      </c>
      <c r="J1094" s="22">
        <v>2</v>
      </c>
      <c r="K1094" s="22">
        <v>8</v>
      </c>
      <c r="L1094" s="22">
        <v>18</v>
      </c>
      <c r="M1094" s="22">
        <f>_xlfn.CEILING.MATH(F1094*2)</f>
        <v>696</v>
      </c>
      <c r="N1094" s="22">
        <f>H1094*1.18</f>
        <v>410.64</v>
      </c>
      <c r="O1094" s="22">
        <f>_xlfn.CEILING.MATH(F1094*1.56)-1</f>
        <v>542</v>
      </c>
    </row>
    <row r="1095" spans="1:15" s="22" customFormat="1">
      <c r="A1095" s="22">
        <v>879</v>
      </c>
      <c r="B1095" s="22" t="s">
        <v>1089</v>
      </c>
      <c r="C1095" s="22" t="s">
        <v>2361</v>
      </c>
      <c r="E1095" s="22">
        <v>1</v>
      </c>
      <c r="F1095" s="22">
        <v>540</v>
      </c>
      <c r="G1095" s="30">
        <f>IF(OR(M1095="",O1095="",M1095=0),"",(M1095-O1095)/M1095)</f>
        <v>0.22037037037037038</v>
      </c>
      <c r="H1095" s="22">
        <v>540</v>
      </c>
      <c r="I1095" s="22">
        <v>157</v>
      </c>
      <c r="J1095" s="22">
        <v>6</v>
      </c>
      <c r="K1095" s="22">
        <v>12</v>
      </c>
      <c r="L1095" s="22">
        <v>18</v>
      </c>
      <c r="M1095" s="22">
        <f>_xlfn.CEILING.MATH(F1095*2)</f>
        <v>1080</v>
      </c>
      <c r="N1095" s="22">
        <f>H1095*1.18</f>
        <v>637.19999999999993</v>
      </c>
      <c r="O1095" s="22">
        <f>_xlfn.CEILING.MATH(F1095*1.56)-1</f>
        <v>842</v>
      </c>
    </row>
    <row r="1096" spans="1:15" s="22" customFormat="1">
      <c r="A1096" s="22">
        <v>880</v>
      </c>
      <c r="B1096" s="22" t="s">
        <v>1090</v>
      </c>
      <c r="C1096" s="22" t="s">
        <v>2362</v>
      </c>
      <c r="E1096" s="22">
        <v>1</v>
      </c>
      <c r="F1096" s="22">
        <v>596.5</v>
      </c>
      <c r="G1096" s="30">
        <f>IF(OR(M1096="",O1096="",M1096=0),"",(M1096-O1096)/M1096)</f>
        <v>0.22045264040234702</v>
      </c>
      <c r="H1096" s="22">
        <v>596.5</v>
      </c>
      <c r="I1096" s="22">
        <v>3</v>
      </c>
      <c r="J1096" s="22">
        <v>1</v>
      </c>
      <c r="K1096" s="22">
        <v>2</v>
      </c>
      <c r="L1096" s="22">
        <v>18</v>
      </c>
      <c r="M1096" s="22">
        <f>_xlfn.CEILING.MATH(F1096*2)</f>
        <v>1193</v>
      </c>
      <c r="N1096" s="22">
        <f>H1096*1.18</f>
        <v>703.87</v>
      </c>
      <c r="O1096" s="22">
        <f>_xlfn.CEILING.MATH(F1096*1.56)-1</f>
        <v>930</v>
      </c>
    </row>
    <row r="1097" spans="1:15" s="22" customFormat="1">
      <c r="A1097" s="22">
        <v>881</v>
      </c>
      <c r="B1097" s="22" t="s">
        <v>1091</v>
      </c>
      <c r="C1097" s="22" t="s">
        <v>2363</v>
      </c>
      <c r="E1097" s="22">
        <v>1</v>
      </c>
      <c r="F1097" s="22">
        <v>755.5</v>
      </c>
      <c r="G1097" s="30">
        <f>IF(OR(M1097="",O1097="",M1097=0),"",(M1097-O1097)/M1097)</f>
        <v>0.22038385175380543</v>
      </c>
      <c r="H1097" s="22">
        <v>755.5</v>
      </c>
      <c r="I1097" s="22">
        <v>6</v>
      </c>
      <c r="J1097" s="22">
        <v>1</v>
      </c>
      <c r="K1097" s="22">
        <v>2</v>
      </c>
      <c r="L1097" s="22">
        <v>18</v>
      </c>
      <c r="M1097" s="22">
        <f>_xlfn.CEILING.MATH(F1097*2)</f>
        <v>1511</v>
      </c>
      <c r="N1097" s="22">
        <f>H1097*1.18</f>
        <v>891.49</v>
      </c>
      <c r="O1097" s="22">
        <f>_xlfn.CEILING.MATH(F1097*1.56)-1</f>
        <v>1178</v>
      </c>
    </row>
    <row r="1098" spans="1:15" s="22" customFormat="1">
      <c r="A1098" s="22">
        <v>882</v>
      </c>
      <c r="B1098" s="22" t="s">
        <v>1092</v>
      </c>
      <c r="C1098" s="22" t="s">
        <v>2364</v>
      </c>
      <c r="E1098" s="22">
        <v>1</v>
      </c>
      <c r="F1098" s="22">
        <v>121.5</v>
      </c>
      <c r="G1098" s="30">
        <f>IF(OR(M1098="",O1098="",M1098=0),"",(M1098-O1098)/M1098)</f>
        <v>0.22222222222222221</v>
      </c>
      <c r="H1098" s="22">
        <v>121.5</v>
      </c>
      <c r="I1098" s="22">
        <v>358</v>
      </c>
      <c r="J1098" s="22">
        <v>6</v>
      </c>
      <c r="K1098" s="22">
        <v>36</v>
      </c>
      <c r="L1098" s="22">
        <v>18</v>
      </c>
      <c r="M1098" s="22">
        <f>_xlfn.CEILING.MATH(F1098*2)</f>
        <v>243</v>
      </c>
      <c r="N1098" s="22">
        <f>H1098*1.18</f>
        <v>143.37</v>
      </c>
      <c r="O1098" s="22">
        <f>_xlfn.CEILING.MATH(F1098*1.56)-1</f>
        <v>189</v>
      </c>
    </row>
    <row r="1099" spans="1:15" s="22" customFormat="1">
      <c r="A1099" s="22">
        <v>883</v>
      </c>
      <c r="B1099" s="22" t="s">
        <v>1093</v>
      </c>
      <c r="C1099" s="22" t="s">
        <v>2365</v>
      </c>
      <c r="E1099" s="22">
        <v>1</v>
      </c>
      <c r="F1099" s="22">
        <v>147</v>
      </c>
      <c r="G1099" s="30">
        <f>IF(OR(M1099="",O1099="",M1099=0),"",(M1099-O1099)/M1099)</f>
        <v>0.22108843537414966</v>
      </c>
      <c r="H1099" s="22">
        <v>147</v>
      </c>
      <c r="I1099" s="22">
        <v>43</v>
      </c>
      <c r="J1099" s="22">
        <v>6</v>
      </c>
      <c r="K1099" s="22">
        <v>36</v>
      </c>
      <c r="L1099" s="22">
        <v>18</v>
      </c>
      <c r="M1099" s="22">
        <f>_xlfn.CEILING.MATH(F1099*2)</f>
        <v>294</v>
      </c>
      <c r="N1099" s="22">
        <f>H1099*1.18</f>
        <v>173.45999999999998</v>
      </c>
      <c r="O1099" s="22">
        <f>_xlfn.CEILING.MATH(F1099*1.56)-1</f>
        <v>229</v>
      </c>
    </row>
    <row r="1100" spans="1:15" s="22" customFormat="1">
      <c r="A1100" s="22">
        <v>884</v>
      </c>
      <c r="B1100" s="22" t="s">
        <v>1094</v>
      </c>
      <c r="C1100" s="22" t="s">
        <v>2366</v>
      </c>
      <c r="E1100" s="22">
        <v>1</v>
      </c>
      <c r="F1100" s="22">
        <v>337.5</v>
      </c>
      <c r="G1100" s="30">
        <f>IF(OR(M1100="",O1100="",M1100=0),"",(M1100-O1100)/M1100)</f>
        <v>0.22074074074074074</v>
      </c>
      <c r="H1100" s="22">
        <v>337.5</v>
      </c>
      <c r="I1100" s="22">
        <v>700</v>
      </c>
      <c r="J1100" s="22">
        <v>6</v>
      </c>
      <c r="K1100" s="22">
        <v>12</v>
      </c>
      <c r="L1100" s="22">
        <v>18</v>
      </c>
      <c r="M1100" s="22">
        <f>_xlfn.CEILING.MATH(F1100*2)</f>
        <v>675</v>
      </c>
      <c r="N1100" s="22">
        <f>H1100*1.18</f>
        <v>398.25</v>
      </c>
      <c r="O1100" s="22">
        <f>_xlfn.CEILING.MATH(F1100*1.56)-1</f>
        <v>526</v>
      </c>
    </row>
    <row r="1101" spans="1:15" s="22" customFormat="1">
      <c r="A1101" s="22">
        <v>885</v>
      </c>
      <c r="B1101" s="22" t="s">
        <v>1095</v>
      </c>
      <c r="C1101" s="22" t="s">
        <v>2367</v>
      </c>
      <c r="E1101" s="22">
        <v>1</v>
      </c>
      <c r="F1101" s="22">
        <v>8419.5</v>
      </c>
      <c r="G1101" s="30">
        <f>IF(OR(M1101="",O1101="",M1101=0),"",(M1101-O1101)/M1101)</f>
        <v>0.22002494209869944</v>
      </c>
      <c r="H1101" s="22">
        <v>8419.5</v>
      </c>
      <c r="I1101" s="22">
        <v>0</v>
      </c>
      <c r="J1101" s="22">
        <v>1</v>
      </c>
      <c r="K1101" s="22">
        <v>2</v>
      </c>
      <c r="L1101" s="22">
        <v>18</v>
      </c>
      <c r="M1101" s="22">
        <f>_xlfn.CEILING.MATH(F1101*2)</f>
        <v>16839</v>
      </c>
      <c r="N1101" s="22">
        <f>H1101*1.18</f>
        <v>9935.01</v>
      </c>
      <c r="O1101" s="22">
        <f>_xlfn.CEILING.MATH(F1101*1.56)-1</f>
        <v>13134</v>
      </c>
    </row>
    <row r="1102" spans="1:15" s="22" customFormat="1">
      <c r="A1102" s="22">
        <v>886</v>
      </c>
      <c r="B1102" s="22" t="s">
        <v>1096</v>
      </c>
      <c r="C1102" s="22" t="s">
        <v>2368</v>
      </c>
      <c r="E1102" s="22">
        <v>1</v>
      </c>
      <c r="F1102" s="22">
        <v>9329</v>
      </c>
      <c r="G1102" s="30">
        <f>IF(OR(M1102="",O1102="",M1102=0),"",(M1102-O1102)/M1102)</f>
        <v>0.22001286311501769</v>
      </c>
      <c r="H1102" s="22">
        <v>9329</v>
      </c>
      <c r="I1102" s="22">
        <v>0</v>
      </c>
      <c r="J1102" s="22">
        <v>1</v>
      </c>
      <c r="K1102" s="22">
        <v>2</v>
      </c>
      <c r="L1102" s="22">
        <v>18</v>
      </c>
      <c r="M1102" s="22">
        <f>_xlfn.CEILING.MATH(F1102*2)</f>
        <v>18658</v>
      </c>
      <c r="N1102" s="22">
        <f>H1102*1.18</f>
        <v>11008.22</v>
      </c>
      <c r="O1102" s="22">
        <f>_xlfn.CEILING.MATH(F1102*1.56)-1</f>
        <v>14553</v>
      </c>
    </row>
    <row r="1103" spans="1:15" s="22" customFormat="1">
      <c r="A1103" s="22">
        <v>887</v>
      </c>
      <c r="B1103" s="22" t="s">
        <v>1097</v>
      </c>
      <c r="C1103" s="22" t="s">
        <v>2369</v>
      </c>
      <c r="E1103" s="22">
        <v>1</v>
      </c>
      <c r="F1103" s="22">
        <v>18227</v>
      </c>
      <c r="G1103" s="30">
        <f>IF(OR(M1103="",O1103="",M1103=0),"",(M1103-O1103)/M1103)</f>
        <v>0.22000329181982772</v>
      </c>
      <c r="H1103" s="22">
        <v>18227</v>
      </c>
      <c r="I1103" s="22">
        <v>0</v>
      </c>
      <c r="J1103" s="22">
        <v>1</v>
      </c>
      <c r="K1103" s="22">
        <v>1</v>
      </c>
      <c r="L1103" s="22">
        <v>18</v>
      </c>
      <c r="M1103" s="22">
        <f>_xlfn.CEILING.MATH(F1103*2)</f>
        <v>36454</v>
      </c>
      <c r="N1103" s="22">
        <f>H1103*1.18</f>
        <v>21507.86</v>
      </c>
      <c r="O1103" s="22">
        <f>_xlfn.CEILING.MATH(F1103*1.56)-1</f>
        <v>28434</v>
      </c>
    </row>
    <row r="1104" spans="1:15" s="22" customFormat="1">
      <c r="A1104" s="22">
        <v>888</v>
      </c>
      <c r="B1104" s="22" t="s">
        <v>1098</v>
      </c>
      <c r="C1104" s="22" t="s">
        <v>2370</v>
      </c>
      <c r="E1104" s="22">
        <v>1</v>
      </c>
      <c r="F1104" s="22">
        <v>19231.5</v>
      </c>
      <c r="G1104" s="30">
        <f>IF(OR(M1104="",O1104="",M1104=0),"",(M1104-O1104)/M1104)</f>
        <v>0.22000363986168525</v>
      </c>
      <c r="H1104" s="22">
        <v>19231.5</v>
      </c>
      <c r="I1104" s="22">
        <v>1</v>
      </c>
      <c r="J1104" s="22">
        <v>1</v>
      </c>
      <c r="K1104" s="22">
        <v>1</v>
      </c>
      <c r="L1104" s="22">
        <v>18</v>
      </c>
      <c r="M1104" s="22">
        <f>_xlfn.CEILING.MATH(F1104*2)</f>
        <v>38463</v>
      </c>
      <c r="N1104" s="22">
        <f>H1104*1.18</f>
        <v>22693.17</v>
      </c>
      <c r="O1104" s="22">
        <f>_xlfn.CEILING.MATH(F1104*1.56)-1</f>
        <v>30001</v>
      </c>
    </row>
    <row r="1105" spans="1:15" s="22" customFormat="1">
      <c r="A1105" s="22">
        <v>889</v>
      </c>
      <c r="B1105" s="22" t="s">
        <v>1099</v>
      </c>
      <c r="C1105" s="22" t="s">
        <v>2371</v>
      </c>
      <c r="E1105" s="22">
        <v>1</v>
      </c>
      <c r="F1105" s="22">
        <v>20093</v>
      </c>
      <c r="G1105" s="30">
        <f>IF(OR(M1105="",O1105="",M1105=0),"",(M1105-O1105)/M1105)</f>
        <v>0.22000199074304483</v>
      </c>
      <c r="H1105" s="22">
        <v>20093</v>
      </c>
      <c r="I1105" s="22">
        <v>1</v>
      </c>
      <c r="J1105" s="22">
        <v>1</v>
      </c>
      <c r="K1105" s="22">
        <v>1</v>
      </c>
      <c r="L1105" s="22">
        <v>18</v>
      </c>
      <c r="M1105" s="22">
        <f>_xlfn.CEILING.MATH(F1105*2)</f>
        <v>40186</v>
      </c>
      <c r="N1105" s="22">
        <f>H1105*1.18</f>
        <v>23709.739999999998</v>
      </c>
      <c r="O1105" s="22">
        <f>_xlfn.CEILING.MATH(F1105*1.56)-1</f>
        <v>31345</v>
      </c>
    </row>
    <row r="1106" spans="1:15" s="22" customFormat="1">
      <c r="A1106" s="22">
        <v>890</v>
      </c>
      <c r="B1106" s="22" t="s">
        <v>1100</v>
      </c>
      <c r="C1106" s="22" t="s">
        <v>2372</v>
      </c>
      <c r="E1106" s="22">
        <v>1</v>
      </c>
      <c r="F1106" s="22">
        <v>224.5</v>
      </c>
      <c r="G1106" s="30">
        <f>IF(OR(M1106="",O1106="",M1106=0),"",(M1106-O1106)/M1106)</f>
        <v>0.22048997772828507</v>
      </c>
      <c r="H1106" s="22">
        <v>224.5</v>
      </c>
      <c r="I1106" s="22">
        <v>13</v>
      </c>
      <c r="J1106" s="22">
        <v>1</v>
      </c>
      <c r="K1106" s="22">
        <v>15</v>
      </c>
      <c r="L1106" s="22">
        <v>18</v>
      </c>
      <c r="M1106" s="22">
        <f>_xlfn.CEILING.MATH(F1106*2)</f>
        <v>449</v>
      </c>
      <c r="N1106" s="22">
        <f>H1106*1.18</f>
        <v>264.90999999999997</v>
      </c>
      <c r="O1106" s="22">
        <f>_xlfn.CEILING.MATH(F1106*1.56)-1</f>
        <v>350</v>
      </c>
    </row>
    <row r="1107" spans="1:15" s="22" customFormat="1">
      <c r="A1107" s="22">
        <v>891</v>
      </c>
      <c r="B1107" s="22" t="s">
        <v>1101</v>
      </c>
      <c r="C1107" s="22" t="s">
        <v>2373</v>
      </c>
      <c r="E1107" s="22">
        <v>1</v>
      </c>
      <c r="F1107" s="22">
        <v>224.5</v>
      </c>
      <c r="G1107" s="30">
        <f>IF(OR(M1107="",O1107="",M1107=0),"",(M1107-O1107)/M1107)</f>
        <v>0.22048997772828507</v>
      </c>
      <c r="H1107" s="22">
        <v>224.5</v>
      </c>
      <c r="I1107" s="22">
        <v>39</v>
      </c>
      <c r="J1107" s="22">
        <v>1</v>
      </c>
      <c r="K1107" s="22">
        <v>15</v>
      </c>
      <c r="L1107" s="22">
        <v>18</v>
      </c>
      <c r="M1107" s="22">
        <f>_xlfn.CEILING.MATH(F1107*2)</f>
        <v>449</v>
      </c>
      <c r="N1107" s="22">
        <f>H1107*1.18</f>
        <v>264.90999999999997</v>
      </c>
      <c r="O1107" s="22">
        <f>_xlfn.CEILING.MATH(F1107*1.56)-1</f>
        <v>350</v>
      </c>
    </row>
    <row r="1108" spans="1:15" s="22" customFormat="1">
      <c r="A1108" s="22">
        <v>892</v>
      </c>
      <c r="B1108" s="22" t="s">
        <v>1102</v>
      </c>
      <c r="C1108" s="22" t="s">
        <v>2374</v>
      </c>
      <c r="E1108" s="22">
        <v>1</v>
      </c>
      <c r="F1108" s="22">
        <v>231</v>
      </c>
      <c r="G1108" s="30">
        <f>IF(OR(M1108="",O1108="",M1108=0),"",(M1108-O1108)/M1108)</f>
        <v>0.22077922077922077</v>
      </c>
      <c r="H1108" s="22">
        <v>231</v>
      </c>
      <c r="I1108" s="22">
        <v>57</v>
      </c>
      <c r="J1108" s="22">
        <v>1</v>
      </c>
      <c r="K1108" s="22">
        <v>15</v>
      </c>
      <c r="L1108" s="22">
        <v>18</v>
      </c>
      <c r="M1108" s="22">
        <f>_xlfn.CEILING.MATH(F1108*2)</f>
        <v>462</v>
      </c>
      <c r="N1108" s="22">
        <f>H1108*1.18</f>
        <v>272.58</v>
      </c>
      <c r="O1108" s="22">
        <f>_xlfn.CEILING.MATH(F1108*1.56)-1</f>
        <v>360</v>
      </c>
    </row>
    <row r="1109" spans="1:15" s="22" customFormat="1">
      <c r="A1109" s="22">
        <v>893</v>
      </c>
      <c r="B1109" s="22" t="s">
        <v>1103</v>
      </c>
      <c r="C1109" s="22" t="s">
        <v>2375</v>
      </c>
      <c r="E1109" s="22">
        <v>1</v>
      </c>
      <c r="F1109" s="22">
        <v>257.5</v>
      </c>
      <c r="G1109" s="30">
        <f>IF(OR(M1109="",O1109="",M1109=0),"",(M1109-O1109)/M1109)</f>
        <v>0.22135922330097088</v>
      </c>
      <c r="H1109" s="22">
        <v>257.5</v>
      </c>
      <c r="I1109" s="22">
        <v>40</v>
      </c>
      <c r="J1109" s="22">
        <v>1</v>
      </c>
      <c r="K1109" s="22">
        <v>15</v>
      </c>
      <c r="L1109" s="22">
        <v>18</v>
      </c>
      <c r="M1109" s="22">
        <f>_xlfn.CEILING.MATH(F1109*2)</f>
        <v>515</v>
      </c>
      <c r="N1109" s="22">
        <f>H1109*1.18</f>
        <v>303.84999999999997</v>
      </c>
      <c r="O1109" s="22">
        <f>_xlfn.CEILING.MATH(F1109*1.56)-1</f>
        <v>401</v>
      </c>
    </row>
    <row r="1110" spans="1:15" s="22" customFormat="1">
      <c r="A1110" s="22">
        <v>894</v>
      </c>
      <c r="B1110" s="22" t="s">
        <v>1104</v>
      </c>
      <c r="C1110" s="22" t="s">
        <v>2376</v>
      </c>
      <c r="E1110" s="22">
        <v>1</v>
      </c>
      <c r="F1110" s="22">
        <v>273</v>
      </c>
      <c r="G1110" s="30">
        <f>IF(OR(M1110="",O1110="",M1110=0),"",(M1110-O1110)/M1110)</f>
        <v>0.2216117216117216</v>
      </c>
      <c r="H1110" s="22">
        <v>273</v>
      </c>
      <c r="I1110" s="22">
        <v>7</v>
      </c>
      <c r="J1110" s="22">
        <v>1</v>
      </c>
      <c r="K1110" s="22">
        <v>15</v>
      </c>
      <c r="L1110" s="22">
        <v>18</v>
      </c>
      <c r="M1110" s="22">
        <f>_xlfn.CEILING.MATH(F1110*2)</f>
        <v>546</v>
      </c>
      <c r="N1110" s="22">
        <f>H1110*1.18</f>
        <v>322.14</v>
      </c>
      <c r="O1110" s="22">
        <f>_xlfn.CEILING.MATH(F1110*1.56)-1</f>
        <v>425</v>
      </c>
    </row>
    <row r="1111" spans="1:15" s="22" customFormat="1">
      <c r="A1111" s="22">
        <v>895</v>
      </c>
      <c r="B1111" s="22" t="s">
        <v>1105</v>
      </c>
      <c r="C1111" s="22" t="s">
        <v>2377</v>
      </c>
      <c r="E1111" s="22">
        <v>1</v>
      </c>
      <c r="F1111" s="22">
        <v>288.5</v>
      </c>
      <c r="G1111" s="30">
        <f>IF(OR(M1111="",O1111="",M1111=0),"",(M1111-O1111)/M1111)</f>
        <v>0.22010398613518198</v>
      </c>
      <c r="H1111" s="22">
        <v>288.5</v>
      </c>
      <c r="I1111" s="22">
        <v>54</v>
      </c>
      <c r="J1111" s="22">
        <v>1</v>
      </c>
      <c r="K1111" s="22">
        <v>15</v>
      </c>
      <c r="L1111" s="22">
        <v>18</v>
      </c>
      <c r="M1111" s="22">
        <f>_xlfn.CEILING.MATH(F1111*2)</f>
        <v>577</v>
      </c>
      <c r="N1111" s="22">
        <f>H1111*1.18</f>
        <v>340.43</v>
      </c>
      <c r="O1111" s="22">
        <f>_xlfn.CEILING.MATH(F1111*1.56)-1</f>
        <v>450</v>
      </c>
    </row>
    <row r="1112" spans="1:15" s="22" customFormat="1">
      <c r="A1112" s="22">
        <v>896</v>
      </c>
      <c r="B1112" s="22" t="s">
        <v>1106</v>
      </c>
      <c r="C1112" s="22" t="s">
        <v>2378</v>
      </c>
      <c r="E1112" s="22">
        <v>1</v>
      </c>
      <c r="F1112" s="22">
        <v>320</v>
      </c>
      <c r="G1112" s="30">
        <f>IF(OR(M1112="",O1112="",M1112=0),"",(M1112-O1112)/M1112)</f>
        <v>0.22031249999999999</v>
      </c>
      <c r="H1112" s="22">
        <v>320</v>
      </c>
      <c r="I1112" s="22">
        <v>49</v>
      </c>
      <c r="J1112" s="22">
        <v>1</v>
      </c>
      <c r="K1112" s="22">
        <v>15</v>
      </c>
      <c r="L1112" s="22">
        <v>18</v>
      </c>
      <c r="M1112" s="22">
        <f>_xlfn.CEILING.MATH(F1112*2)</f>
        <v>640</v>
      </c>
      <c r="N1112" s="22">
        <f>H1112*1.18</f>
        <v>377.59999999999997</v>
      </c>
      <c r="O1112" s="22">
        <f>_xlfn.CEILING.MATH(F1112*1.56)-1</f>
        <v>499</v>
      </c>
    </row>
    <row r="1113" spans="1:15" s="22" customFormat="1">
      <c r="A1113" s="22">
        <v>897</v>
      </c>
      <c r="B1113" s="22" t="s">
        <v>1107</v>
      </c>
      <c r="C1113" s="22" t="s">
        <v>2379</v>
      </c>
      <c r="E1113" s="22">
        <v>1</v>
      </c>
      <c r="F1113" s="22">
        <v>355</v>
      </c>
      <c r="G1113" s="30">
        <f>IF(OR(M1113="",O1113="",M1113=0),"",(M1113-O1113)/M1113)</f>
        <v>0.22112676056338029</v>
      </c>
      <c r="H1113" s="22">
        <v>355</v>
      </c>
      <c r="I1113" s="22">
        <v>69</v>
      </c>
      <c r="J1113" s="22">
        <v>1</v>
      </c>
      <c r="K1113" s="22">
        <v>15</v>
      </c>
      <c r="L1113" s="22">
        <v>18</v>
      </c>
      <c r="M1113" s="22">
        <f>_xlfn.CEILING.MATH(F1113*2)</f>
        <v>710</v>
      </c>
      <c r="N1113" s="22">
        <f>H1113*1.18</f>
        <v>418.9</v>
      </c>
      <c r="O1113" s="22">
        <f>_xlfn.CEILING.MATH(F1113*1.56)-1</f>
        <v>553</v>
      </c>
    </row>
    <row r="1114" spans="1:15" s="22" customFormat="1">
      <c r="A1114" s="22">
        <v>898</v>
      </c>
      <c r="B1114" s="22" t="s">
        <v>1108</v>
      </c>
      <c r="C1114" s="22" t="s">
        <v>2380</v>
      </c>
      <c r="E1114" s="22">
        <v>1</v>
      </c>
      <c r="F1114" s="22">
        <v>373</v>
      </c>
      <c r="G1114" s="30">
        <f>IF(OR(M1114="",O1114="",M1114=0),"",(M1114-O1114)/M1114)</f>
        <v>0.22117962466487937</v>
      </c>
      <c r="H1114" s="22">
        <v>373</v>
      </c>
      <c r="I1114" s="22">
        <v>23</v>
      </c>
      <c r="J1114" s="22">
        <v>1</v>
      </c>
      <c r="K1114" s="22">
        <v>15</v>
      </c>
      <c r="L1114" s="22">
        <v>18</v>
      </c>
      <c r="M1114" s="22">
        <f>_xlfn.CEILING.MATH(F1114*2)</f>
        <v>746</v>
      </c>
      <c r="N1114" s="22">
        <f>H1114*1.18</f>
        <v>440.14</v>
      </c>
      <c r="O1114" s="22">
        <f>_xlfn.CEILING.MATH(F1114*1.56)-1</f>
        <v>581</v>
      </c>
    </row>
    <row r="1115" spans="1:15" s="22" customFormat="1">
      <c r="A1115" s="22">
        <v>899</v>
      </c>
      <c r="B1115" s="22" t="s">
        <v>1109</v>
      </c>
      <c r="C1115" s="22" t="s">
        <v>2381</v>
      </c>
      <c r="E1115" s="22">
        <v>1</v>
      </c>
      <c r="F1115" s="22">
        <v>515</v>
      </c>
      <c r="G1115" s="30">
        <f>IF(OR(M1115="",O1115="",M1115=0),"",(M1115-O1115)/M1115)</f>
        <v>0.2203883495145631</v>
      </c>
      <c r="H1115" s="22">
        <v>515</v>
      </c>
      <c r="I1115" s="22">
        <v>99</v>
      </c>
      <c r="J1115" s="22">
        <v>1</v>
      </c>
      <c r="K1115" s="22">
        <v>15</v>
      </c>
      <c r="L1115" s="22">
        <v>18</v>
      </c>
      <c r="M1115" s="22">
        <f>_xlfn.CEILING.MATH(F1115*2)</f>
        <v>1030</v>
      </c>
      <c r="N1115" s="22">
        <f>H1115*1.18</f>
        <v>607.69999999999993</v>
      </c>
      <c r="O1115" s="22">
        <f>_xlfn.CEILING.MATH(F1115*1.56)-1</f>
        <v>803</v>
      </c>
    </row>
    <row r="1116" spans="1:15" s="22" customFormat="1">
      <c r="A1116" s="22">
        <v>900</v>
      </c>
      <c r="B1116" s="22" t="s">
        <v>1110</v>
      </c>
      <c r="C1116" s="22" t="s">
        <v>2382</v>
      </c>
      <c r="E1116" s="22">
        <v>1</v>
      </c>
      <c r="F1116" s="22">
        <v>603.5</v>
      </c>
      <c r="G1116" s="30">
        <f>IF(OR(M1116="",O1116="",M1116=0),"",(M1116-O1116)/M1116)</f>
        <v>0.22038111019055509</v>
      </c>
      <c r="H1116" s="22">
        <v>603.5</v>
      </c>
      <c r="I1116" s="22">
        <v>0</v>
      </c>
      <c r="J1116" s="22">
        <v>1</v>
      </c>
      <c r="K1116" s="22">
        <v>15</v>
      </c>
      <c r="L1116" s="22">
        <v>18</v>
      </c>
      <c r="M1116" s="22">
        <f>_xlfn.CEILING.MATH(F1116*2)</f>
        <v>1207</v>
      </c>
      <c r="N1116" s="22">
        <f>H1116*1.18</f>
        <v>712.13</v>
      </c>
      <c r="O1116" s="22">
        <f>_xlfn.CEILING.MATH(F1116*1.56)-1</f>
        <v>941</v>
      </c>
    </row>
    <row r="1117" spans="1:15" s="22" customFormat="1">
      <c r="A1117" s="22">
        <v>901</v>
      </c>
      <c r="B1117" s="22" t="s">
        <v>1111</v>
      </c>
      <c r="C1117" s="22" t="s">
        <v>2383</v>
      </c>
      <c r="E1117" s="22">
        <v>1</v>
      </c>
      <c r="F1117" s="22">
        <v>603.5</v>
      </c>
      <c r="G1117" s="30">
        <f>IF(OR(M1117="",O1117="",M1117=0),"",(M1117-O1117)/M1117)</f>
        <v>0.22038111019055509</v>
      </c>
      <c r="H1117" s="22">
        <v>603.5</v>
      </c>
      <c r="I1117" s="22">
        <v>0</v>
      </c>
      <c r="J1117" s="22">
        <v>1</v>
      </c>
      <c r="K1117" s="22">
        <v>10</v>
      </c>
      <c r="L1117" s="22">
        <v>18</v>
      </c>
      <c r="M1117" s="22">
        <f>_xlfn.CEILING.MATH(F1117*2)</f>
        <v>1207</v>
      </c>
      <c r="N1117" s="22">
        <f>H1117*1.18</f>
        <v>712.13</v>
      </c>
      <c r="O1117" s="22">
        <f>_xlfn.CEILING.MATH(F1117*1.56)-1</f>
        <v>941</v>
      </c>
    </row>
    <row r="1118" spans="1:15" s="22" customFormat="1">
      <c r="A1118" s="22">
        <v>902</v>
      </c>
      <c r="B1118" s="22" t="s">
        <v>1112</v>
      </c>
      <c r="C1118" s="22" t="s">
        <v>2384</v>
      </c>
      <c r="E1118" s="22">
        <v>1</v>
      </c>
      <c r="F1118" s="22">
        <v>831.5</v>
      </c>
      <c r="G1118" s="30">
        <f>IF(OR(M1118="",O1118="",M1118=0),"",(M1118-O1118)/M1118)</f>
        <v>0.2200841852074564</v>
      </c>
      <c r="H1118" s="22">
        <v>831.5</v>
      </c>
      <c r="I1118" s="22">
        <v>81</v>
      </c>
      <c r="J1118" s="22">
        <v>1</v>
      </c>
      <c r="K1118" s="22">
        <v>10</v>
      </c>
      <c r="L1118" s="22">
        <v>18</v>
      </c>
      <c r="M1118" s="22">
        <f>_xlfn.CEILING.MATH(F1118*2)</f>
        <v>1663</v>
      </c>
      <c r="N1118" s="22">
        <f>H1118*1.18</f>
        <v>981.17</v>
      </c>
      <c r="O1118" s="22">
        <f>_xlfn.CEILING.MATH(F1118*1.56)-1</f>
        <v>1297</v>
      </c>
    </row>
    <row r="1119" spans="1:15" s="22" customFormat="1">
      <c r="A1119" s="22">
        <v>903</v>
      </c>
      <c r="B1119" s="22" t="s">
        <v>1113</v>
      </c>
      <c r="C1119" s="22" t="s">
        <v>2385</v>
      </c>
      <c r="E1119" s="22">
        <v>1</v>
      </c>
      <c r="F1119" s="22">
        <v>1004.5</v>
      </c>
      <c r="G1119" s="30">
        <f>IF(OR(M1119="",O1119="",M1119=0),"",(M1119-O1119)/M1119)</f>
        <v>0.22000995520159283</v>
      </c>
      <c r="H1119" s="22">
        <v>1004.5</v>
      </c>
      <c r="I1119" s="22">
        <v>9</v>
      </c>
      <c r="J1119" s="22">
        <v>1</v>
      </c>
      <c r="K1119" s="22">
        <v>10</v>
      </c>
      <c r="L1119" s="22">
        <v>18</v>
      </c>
      <c r="M1119" s="22">
        <f>_xlfn.CEILING.MATH(F1119*2)</f>
        <v>2009</v>
      </c>
      <c r="N1119" s="22">
        <f>H1119*1.18</f>
        <v>1185.31</v>
      </c>
      <c r="O1119" s="22">
        <f>_xlfn.CEILING.MATH(F1119*1.56)-1</f>
        <v>1567</v>
      </c>
    </row>
    <row r="1120" spans="1:15" s="22" customFormat="1">
      <c r="A1120" s="22">
        <v>904</v>
      </c>
      <c r="B1120" s="22" t="s">
        <v>1114</v>
      </c>
      <c r="C1120" s="22" t="s">
        <v>2386</v>
      </c>
      <c r="E1120" s="22">
        <v>1</v>
      </c>
      <c r="F1120" s="22">
        <v>1435</v>
      </c>
      <c r="G1120" s="30">
        <f>IF(OR(M1120="",O1120="",M1120=0),"",(M1120-O1120)/M1120)</f>
        <v>0.22020905923344947</v>
      </c>
      <c r="H1120" s="22">
        <v>1435</v>
      </c>
      <c r="I1120" s="22">
        <v>47</v>
      </c>
      <c r="J1120" s="22">
        <v>1</v>
      </c>
      <c r="K1120" s="22">
        <v>5</v>
      </c>
      <c r="L1120" s="22">
        <v>18</v>
      </c>
      <c r="M1120" s="22">
        <f>_xlfn.CEILING.MATH(F1120*2)</f>
        <v>2870</v>
      </c>
      <c r="N1120" s="22">
        <f>H1120*1.18</f>
        <v>1693.3</v>
      </c>
      <c r="O1120" s="22">
        <f>_xlfn.CEILING.MATH(F1120*1.56)-1</f>
        <v>2238</v>
      </c>
    </row>
    <row r="1121" spans="1:15" s="22" customFormat="1">
      <c r="A1121" s="22">
        <v>905</v>
      </c>
      <c r="B1121" s="22" t="s">
        <v>1115</v>
      </c>
      <c r="C1121" s="22" t="s">
        <v>2387</v>
      </c>
      <c r="E1121" s="22">
        <v>1</v>
      </c>
      <c r="F1121" s="22">
        <v>2153</v>
      </c>
      <c r="G1121" s="30">
        <f>IF(OR(M1121="",O1121="",M1121=0),"",(M1121-O1121)/M1121)</f>
        <v>0.22015791918253599</v>
      </c>
      <c r="H1121" s="22">
        <v>2153</v>
      </c>
      <c r="I1121" s="22">
        <v>3</v>
      </c>
      <c r="J1121" s="22">
        <v>1</v>
      </c>
      <c r="K1121" s="22">
        <v>5</v>
      </c>
      <c r="L1121" s="22">
        <v>18</v>
      </c>
      <c r="M1121" s="22">
        <f>_xlfn.CEILING.MATH(F1121*2)</f>
        <v>4306</v>
      </c>
      <c r="N1121" s="22">
        <f>H1121*1.18</f>
        <v>2540.54</v>
      </c>
      <c r="O1121" s="22">
        <f>_xlfn.CEILING.MATH(F1121*1.56)-1</f>
        <v>3358</v>
      </c>
    </row>
    <row r="1122" spans="1:15" s="22" customFormat="1">
      <c r="A1122" s="22">
        <v>906</v>
      </c>
      <c r="B1122" s="22" t="s">
        <v>1116</v>
      </c>
      <c r="C1122" s="22" t="s">
        <v>2388</v>
      </c>
      <c r="E1122" s="22">
        <v>1</v>
      </c>
      <c r="F1122" s="22">
        <v>2870.5</v>
      </c>
      <c r="G1122" s="30">
        <f>IF(OR(M1122="",O1122="",M1122=0),"",(M1122-O1122)/M1122)</f>
        <v>0.22017070196829822</v>
      </c>
      <c r="H1122" s="22">
        <v>2870.5</v>
      </c>
      <c r="I1122" s="22">
        <v>13</v>
      </c>
      <c r="J1122" s="22">
        <v>1</v>
      </c>
      <c r="K1122" s="22">
        <v>5</v>
      </c>
      <c r="L1122" s="22">
        <v>18</v>
      </c>
      <c r="M1122" s="22">
        <f>_xlfn.CEILING.MATH(F1122*2)</f>
        <v>5741</v>
      </c>
      <c r="N1122" s="22">
        <f>H1122*1.18</f>
        <v>3387.1899999999996</v>
      </c>
      <c r="O1122" s="22">
        <f>_xlfn.CEILING.MATH(F1122*1.56)-1</f>
        <v>4477</v>
      </c>
    </row>
    <row r="1123" spans="1:15" s="22" customFormat="1">
      <c r="A1123" s="22">
        <v>907</v>
      </c>
      <c r="B1123" s="22" t="s">
        <v>1117</v>
      </c>
      <c r="C1123" s="22" t="s">
        <v>2389</v>
      </c>
      <c r="E1123" s="22">
        <v>1</v>
      </c>
      <c r="F1123" s="22">
        <v>3731.5</v>
      </c>
      <c r="G1123" s="30">
        <f>IF(OR(M1123="",O1123="",M1123=0),"",(M1123-O1123)/M1123)</f>
        <v>0.22001875921211309</v>
      </c>
      <c r="H1123" s="22">
        <v>3731.5</v>
      </c>
      <c r="I1123" s="22">
        <v>7</v>
      </c>
      <c r="J1123" s="22">
        <v>1</v>
      </c>
      <c r="K1123" s="22">
        <v>4</v>
      </c>
      <c r="L1123" s="22">
        <v>18</v>
      </c>
      <c r="M1123" s="22">
        <f>_xlfn.CEILING.MATH(F1123*2)</f>
        <v>7463</v>
      </c>
      <c r="N1123" s="22">
        <f>H1123*1.18</f>
        <v>4403.17</v>
      </c>
      <c r="O1123" s="22">
        <f>_xlfn.CEILING.MATH(F1123*1.56)-1</f>
        <v>5821</v>
      </c>
    </row>
    <row r="1124" spans="1:15" s="22" customFormat="1">
      <c r="A1124" s="22">
        <v>908</v>
      </c>
      <c r="B1124" s="22" t="s">
        <v>1118</v>
      </c>
      <c r="C1124" s="22" t="s">
        <v>2390</v>
      </c>
      <c r="E1124" s="22">
        <v>1</v>
      </c>
      <c r="F1124" s="22">
        <v>4162</v>
      </c>
      <c r="G1124" s="30">
        <f>IF(OR(M1124="",O1124="",M1124=0),"",(M1124-O1124)/M1124)</f>
        <v>0.22008649687650167</v>
      </c>
      <c r="H1124" s="22">
        <v>4162</v>
      </c>
      <c r="I1124" s="22">
        <v>7</v>
      </c>
      <c r="J1124" s="22">
        <v>1</v>
      </c>
      <c r="K1124" s="22">
        <v>4</v>
      </c>
      <c r="L1124" s="22">
        <v>18</v>
      </c>
      <c r="M1124" s="22">
        <f>_xlfn.CEILING.MATH(F1124*2)</f>
        <v>8324</v>
      </c>
      <c r="N1124" s="22">
        <f>H1124*1.18</f>
        <v>4911.16</v>
      </c>
      <c r="O1124" s="22">
        <f>_xlfn.CEILING.MATH(F1124*1.56)-1</f>
        <v>6492</v>
      </c>
    </row>
    <row r="1125" spans="1:15" s="22" customFormat="1">
      <c r="A1125" s="22">
        <v>909</v>
      </c>
      <c r="B1125" s="22" t="s">
        <v>1119</v>
      </c>
      <c r="C1125" s="22" t="s">
        <v>2391</v>
      </c>
      <c r="E1125" s="22">
        <v>1</v>
      </c>
      <c r="F1125" s="22">
        <v>5700</v>
      </c>
      <c r="G1125" s="30">
        <f>IF(OR(M1125="",O1125="",M1125=0),"",(M1125-O1125)/M1125)</f>
        <v>0.22008771929824561</v>
      </c>
      <c r="H1125" s="22">
        <v>5700</v>
      </c>
      <c r="I1125" s="22">
        <v>2</v>
      </c>
      <c r="J1125" s="22">
        <v>1</v>
      </c>
      <c r="K1125" s="22">
        <v>2</v>
      </c>
      <c r="L1125" s="22">
        <v>18</v>
      </c>
      <c r="M1125" s="22">
        <f>_xlfn.CEILING.MATH(F1125*2)</f>
        <v>11400</v>
      </c>
      <c r="N1125" s="22">
        <f>H1125*1.18</f>
        <v>6726</v>
      </c>
      <c r="O1125" s="22">
        <f>_xlfn.CEILING.MATH(F1125*1.56)-1</f>
        <v>8891</v>
      </c>
    </row>
    <row r="1126" spans="1:15" s="22" customFormat="1">
      <c r="A1126" s="22">
        <v>910</v>
      </c>
      <c r="B1126" s="22" t="s">
        <v>1120</v>
      </c>
      <c r="C1126" s="22" t="s">
        <v>2392</v>
      </c>
      <c r="E1126" s="22">
        <v>1</v>
      </c>
      <c r="F1126" s="22">
        <v>7002</v>
      </c>
      <c r="G1126" s="30">
        <f>IF(OR(M1126="",O1126="",M1126=0),"",(M1126-O1126)/M1126)</f>
        <v>0.22000856898029134</v>
      </c>
      <c r="H1126" s="22">
        <v>7002</v>
      </c>
      <c r="I1126" s="22">
        <v>0</v>
      </c>
      <c r="J1126" s="22">
        <v>1</v>
      </c>
      <c r="K1126" s="22">
        <v>2</v>
      </c>
      <c r="L1126" s="22">
        <v>18</v>
      </c>
      <c r="M1126" s="22">
        <f>_xlfn.CEILING.MATH(F1126*2)</f>
        <v>14004</v>
      </c>
      <c r="N1126" s="22">
        <f>H1126*1.18</f>
        <v>8262.3599999999988</v>
      </c>
      <c r="O1126" s="22">
        <f>_xlfn.CEILING.MATH(F1126*1.56)-1</f>
        <v>10923</v>
      </c>
    </row>
    <row r="1127" spans="1:15" s="22" customFormat="1">
      <c r="A1127" s="22">
        <v>911</v>
      </c>
      <c r="B1127" s="22" t="s">
        <v>1121</v>
      </c>
      <c r="C1127" s="22" t="s">
        <v>2393</v>
      </c>
      <c r="E1127" s="22">
        <v>1</v>
      </c>
      <c r="F1127" s="22">
        <v>8419.5</v>
      </c>
      <c r="G1127" s="30">
        <f>IF(OR(M1127="",O1127="",M1127=0),"",(M1127-O1127)/M1127)</f>
        <v>0.22002494209869944</v>
      </c>
      <c r="H1127" s="22">
        <v>8419.5</v>
      </c>
      <c r="I1127" s="22">
        <v>5</v>
      </c>
      <c r="J1127" s="22">
        <v>1</v>
      </c>
      <c r="K1127" s="22">
        <v>2</v>
      </c>
      <c r="L1127" s="22">
        <v>18</v>
      </c>
      <c r="M1127" s="22">
        <f>_xlfn.CEILING.MATH(F1127*2)</f>
        <v>16839</v>
      </c>
      <c r="N1127" s="22">
        <f>H1127*1.18</f>
        <v>9935.01</v>
      </c>
      <c r="O1127" s="22">
        <f>_xlfn.CEILING.MATH(F1127*1.56)-1</f>
        <v>13134</v>
      </c>
    </row>
    <row r="1128" spans="1:15" s="22" customFormat="1">
      <c r="A1128" s="22">
        <v>912</v>
      </c>
      <c r="B1128" s="22" t="s">
        <v>1122</v>
      </c>
      <c r="C1128" s="22" t="s">
        <v>2394</v>
      </c>
      <c r="E1128" s="22">
        <v>1</v>
      </c>
      <c r="F1128" s="22">
        <v>9329</v>
      </c>
      <c r="G1128" s="30">
        <f>IF(OR(M1128="",O1128="",M1128=0),"",(M1128-O1128)/M1128)</f>
        <v>0.22001286311501769</v>
      </c>
      <c r="H1128" s="22">
        <v>9329</v>
      </c>
      <c r="I1128" s="22">
        <v>0</v>
      </c>
      <c r="J1128" s="22">
        <v>1</v>
      </c>
      <c r="K1128" s="22">
        <v>2</v>
      </c>
      <c r="L1128" s="22">
        <v>18</v>
      </c>
      <c r="M1128" s="22">
        <f>_xlfn.CEILING.MATH(F1128*2)</f>
        <v>18658</v>
      </c>
      <c r="N1128" s="22">
        <f>H1128*1.18</f>
        <v>11008.22</v>
      </c>
      <c r="O1128" s="22">
        <f>_xlfn.CEILING.MATH(F1128*1.56)-1</f>
        <v>14553</v>
      </c>
    </row>
    <row r="1129" spans="1:15" s="22" customFormat="1">
      <c r="A1129" s="22">
        <v>913</v>
      </c>
      <c r="B1129" s="22" t="s">
        <v>1123</v>
      </c>
      <c r="C1129" s="22" t="s">
        <v>2395</v>
      </c>
      <c r="E1129" s="22">
        <v>1</v>
      </c>
      <c r="F1129" s="22">
        <v>18227</v>
      </c>
      <c r="G1129" s="30">
        <f>IF(OR(M1129="",O1129="",M1129=0),"",(M1129-O1129)/M1129)</f>
        <v>0.22000329181982772</v>
      </c>
      <c r="H1129" s="22">
        <v>18227</v>
      </c>
      <c r="I1129" s="22">
        <v>0</v>
      </c>
      <c r="J1129" s="22">
        <v>1</v>
      </c>
      <c r="K1129" s="22">
        <v>1</v>
      </c>
      <c r="L1129" s="22">
        <v>18</v>
      </c>
      <c r="M1129" s="22">
        <f>_xlfn.CEILING.MATH(F1129*2)</f>
        <v>36454</v>
      </c>
      <c r="N1129" s="22">
        <f>H1129*1.18</f>
        <v>21507.86</v>
      </c>
      <c r="O1129" s="22">
        <f>_xlfn.CEILING.MATH(F1129*1.56)-1</f>
        <v>28434</v>
      </c>
    </row>
    <row r="1130" spans="1:15" s="22" customFormat="1">
      <c r="A1130" s="22">
        <v>914</v>
      </c>
      <c r="B1130" s="22" t="s">
        <v>1124</v>
      </c>
      <c r="C1130" s="22" t="s">
        <v>2396</v>
      </c>
      <c r="E1130" s="22">
        <v>1</v>
      </c>
      <c r="F1130" s="22">
        <v>20093</v>
      </c>
      <c r="G1130" s="30">
        <f>IF(OR(M1130="",O1130="",M1130=0),"",(M1130-O1130)/M1130)</f>
        <v>0.22000199074304483</v>
      </c>
      <c r="H1130" s="22">
        <v>20093</v>
      </c>
      <c r="I1130" s="22">
        <v>0</v>
      </c>
      <c r="J1130" s="22">
        <v>1</v>
      </c>
      <c r="K1130" s="22">
        <v>1</v>
      </c>
      <c r="L1130" s="22">
        <v>18</v>
      </c>
      <c r="M1130" s="22">
        <f>_xlfn.CEILING.MATH(F1130*2)</f>
        <v>40186</v>
      </c>
      <c r="N1130" s="22">
        <f>H1130*1.18</f>
        <v>23709.739999999998</v>
      </c>
      <c r="O1130" s="22">
        <f>_xlfn.CEILING.MATH(F1130*1.56)-1</f>
        <v>31345</v>
      </c>
    </row>
    <row r="1131" spans="1:15" s="22" customFormat="1">
      <c r="A1131" s="22">
        <v>915</v>
      </c>
      <c r="B1131" s="22" t="s">
        <v>1125</v>
      </c>
      <c r="C1131" s="22" t="s">
        <v>2397</v>
      </c>
      <c r="E1131" s="22">
        <v>1</v>
      </c>
      <c r="F1131" s="22">
        <v>224.5</v>
      </c>
      <c r="G1131" s="30">
        <f>IF(OR(M1131="",O1131="",M1131=0),"",(M1131-O1131)/M1131)</f>
        <v>0.22048997772828507</v>
      </c>
      <c r="H1131" s="22">
        <v>224.5</v>
      </c>
      <c r="I1131" s="22">
        <v>3</v>
      </c>
      <c r="J1131" s="22">
        <v>1</v>
      </c>
      <c r="K1131" s="22">
        <v>15</v>
      </c>
      <c r="L1131" s="22">
        <v>18</v>
      </c>
      <c r="M1131" s="22">
        <f>_xlfn.CEILING.MATH(F1131*2)</f>
        <v>449</v>
      </c>
      <c r="N1131" s="22">
        <f>H1131*1.18</f>
        <v>264.90999999999997</v>
      </c>
      <c r="O1131" s="22">
        <f>_xlfn.CEILING.MATH(F1131*1.56)-1</f>
        <v>350</v>
      </c>
    </row>
    <row r="1132" spans="1:15" s="22" customFormat="1">
      <c r="A1132" s="22">
        <v>916</v>
      </c>
      <c r="B1132" s="22" t="s">
        <v>1126</v>
      </c>
      <c r="C1132" s="22" t="s">
        <v>2398</v>
      </c>
      <c r="E1132" s="22">
        <v>1</v>
      </c>
      <c r="F1132" s="22">
        <v>224.5</v>
      </c>
      <c r="G1132" s="30">
        <f>IF(OR(M1132="",O1132="",M1132=0),"",(M1132-O1132)/M1132)</f>
        <v>0.22048997772828507</v>
      </c>
      <c r="H1132" s="22">
        <v>224.5</v>
      </c>
      <c r="I1132" s="22">
        <v>183</v>
      </c>
      <c r="J1132" s="22">
        <v>1</v>
      </c>
      <c r="K1132" s="22">
        <v>15</v>
      </c>
      <c r="L1132" s="22">
        <v>18</v>
      </c>
      <c r="M1132" s="22">
        <f>_xlfn.CEILING.MATH(F1132*2)</f>
        <v>449</v>
      </c>
      <c r="N1132" s="22">
        <f>H1132*1.18</f>
        <v>264.90999999999997</v>
      </c>
      <c r="O1132" s="22">
        <f>_xlfn.CEILING.MATH(F1132*1.56)-1</f>
        <v>350</v>
      </c>
    </row>
    <row r="1133" spans="1:15" s="22" customFormat="1">
      <c r="A1133" s="22">
        <v>917</v>
      </c>
      <c r="B1133" s="22" t="s">
        <v>1127</v>
      </c>
      <c r="C1133" s="22" t="s">
        <v>2399</v>
      </c>
      <c r="E1133" s="22">
        <v>1</v>
      </c>
      <c r="F1133" s="22">
        <v>231</v>
      </c>
      <c r="G1133" s="30">
        <f>IF(OR(M1133="",O1133="",M1133=0),"",(M1133-O1133)/M1133)</f>
        <v>0.22077922077922077</v>
      </c>
      <c r="H1133" s="22">
        <v>231</v>
      </c>
      <c r="I1133" s="22">
        <v>39</v>
      </c>
      <c r="J1133" s="22">
        <v>1</v>
      </c>
      <c r="K1133" s="22">
        <v>15</v>
      </c>
      <c r="L1133" s="22">
        <v>18</v>
      </c>
      <c r="M1133" s="22">
        <f>_xlfn.CEILING.MATH(F1133*2)</f>
        <v>462</v>
      </c>
      <c r="N1133" s="22">
        <f>H1133*1.18</f>
        <v>272.58</v>
      </c>
      <c r="O1133" s="22">
        <f>_xlfn.CEILING.MATH(F1133*1.56)-1</f>
        <v>360</v>
      </c>
    </row>
    <row r="1134" spans="1:15" s="22" customFormat="1">
      <c r="A1134" s="22">
        <v>918</v>
      </c>
      <c r="B1134" s="22" t="s">
        <v>1128</v>
      </c>
      <c r="C1134" s="22" t="s">
        <v>2400</v>
      </c>
      <c r="E1134" s="22">
        <v>1</v>
      </c>
      <c r="F1134" s="22">
        <v>257.5</v>
      </c>
      <c r="G1134" s="30">
        <f>IF(OR(M1134="",O1134="",M1134=0),"",(M1134-O1134)/M1134)</f>
        <v>0.22135922330097088</v>
      </c>
      <c r="H1134" s="22">
        <v>257.5</v>
      </c>
      <c r="I1134" s="22">
        <v>121</v>
      </c>
      <c r="J1134" s="22">
        <v>1</v>
      </c>
      <c r="K1134" s="22">
        <v>15</v>
      </c>
      <c r="L1134" s="22">
        <v>18</v>
      </c>
      <c r="M1134" s="22">
        <f>_xlfn.CEILING.MATH(F1134*2)</f>
        <v>515</v>
      </c>
      <c r="N1134" s="22">
        <f>H1134*1.18</f>
        <v>303.84999999999997</v>
      </c>
      <c r="O1134" s="22">
        <f>_xlfn.CEILING.MATH(F1134*1.56)-1</f>
        <v>401</v>
      </c>
    </row>
    <row r="1135" spans="1:15" s="22" customFormat="1">
      <c r="A1135" s="22">
        <v>919</v>
      </c>
      <c r="B1135" s="22" t="s">
        <v>1129</v>
      </c>
      <c r="C1135" s="22" t="s">
        <v>2401</v>
      </c>
      <c r="E1135" s="22">
        <v>1</v>
      </c>
      <c r="F1135" s="22">
        <v>273</v>
      </c>
      <c r="G1135" s="30">
        <f>IF(OR(M1135="",O1135="",M1135=0),"",(M1135-O1135)/M1135)</f>
        <v>0.2216117216117216</v>
      </c>
      <c r="H1135" s="22">
        <v>273</v>
      </c>
      <c r="I1135" s="22">
        <v>114</v>
      </c>
      <c r="J1135" s="22">
        <v>1</v>
      </c>
      <c r="K1135" s="22">
        <v>15</v>
      </c>
      <c r="L1135" s="22">
        <v>18</v>
      </c>
      <c r="M1135" s="22">
        <f>_xlfn.CEILING.MATH(F1135*2)</f>
        <v>546</v>
      </c>
      <c r="N1135" s="22">
        <f>H1135*1.18</f>
        <v>322.14</v>
      </c>
      <c r="O1135" s="22">
        <f>_xlfn.CEILING.MATH(F1135*1.56)-1</f>
        <v>425</v>
      </c>
    </row>
    <row r="1136" spans="1:15" s="22" customFormat="1">
      <c r="A1136" s="22">
        <v>920</v>
      </c>
      <c r="B1136" s="22" t="s">
        <v>1130</v>
      </c>
      <c r="C1136" s="22" t="s">
        <v>2402</v>
      </c>
      <c r="E1136" s="22">
        <v>1</v>
      </c>
      <c r="F1136" s="22">
        <v>288.5</v>
      </c>
      <c r="G1136" s="30">
        <f>IF(OR(M1136="",O1136="",M1136=0),"",(M1136-O1136)/M1136)</f>
        <v>0.22010398613518198</v>
      </c>
      <c r="H1136" s="22">
        <v>288.5</v>
      </c>
      <c r="I1136" s="22">
        <v>2</v>
      </c>
      <c r="J1136" s="22">
        <v>1</v>
      </c>
      <c r="K1136" s="22">
        <v>15</v>
      </c>
      <c r="L1136" s="22">
        <v>18</v>
      </c>
      <c r="M1136" s="22">
        <f>_xlfn.CEILING.MATH(F1136*2)</f>
        <v>577</v>
      </c>
      <c r="N1136" s="22">
        <f>H1136*1.18</f>
        <v>340.43</v>
      </c>
      <c r="O1136" s="22">
        <f>_xlfn.CEILING.MATH(F1136*1.56)-1</f>
        <v>450</v>
      </c>
    </row>
    <row r="1137" spans="1:15" s="22" customFormat="1">
      <c r="A1137" s="22">
        <v>921</v>
      </c>
      <c r="B1137" s="22" t="s">
        <v>1131</v>
      </c>
      <c r="C1137" s="22" t="s">
        <v>2403</v>
      </c>
      <c r="E1137" s="22">
        <v>1</v>
      </c>
      <c r="F1137" s="22">
        <v>320</v>
      </c>
      <c r="G1137" s="30">
        <f>IF(OR(M1137="",O1137="",M1137=0),"",(M1137-O1137)/M1137)</f>
        <v>0.22031249999999999</v>
      </c>
      <c r="H1137" s="22">
        <v>320</v>
      </c>
      <c r="I1137" s="22">
        <v>134</v>
      </c>
      <c r="J1137" s="22">
        <v>1</v>
      </c>
      <c r="K1137" s="22">
        <v>15</v>
      </c>
      <c r="L1137" s="22">
        <v>18</v>
      </c>
      <c r="M1137" s="22">
        <f>_xlfn.CEILING.MATH(F1137*2)</f>
        <v>640</v>
      </c>
      <c r="N1137" s="22">
        <f>H1137*1.18</f>
        <v>377.59999999999997</v>
      </c>
      <c r="O1137" s="22">
        <f>_xlfn.CEILING.MATH(F1137*1.56)-1</f>
        <v>499</v>
      </c>
    </row>
    <row r="1138" spans="1:15" s="22" customFormat="1">
      <c r="A1138" s="22">
        <v>922</v>
      </c>
      <c r="B1138" s="22" t="s">
        <v>1132</v>
      </c>
      <c r="C1138" s="22" t="s">
        <v>2404</v>
      </c>
      <c r="E1138" s="22">
        <v>1</v>
      </c>
      <c r="F1138" s="22">
        <v>355</v>
      </c>
      <c r="G1138" s="30">
        <f>IF(OR(M1138="",O1138="",M1138=0),"",(M1138-O1138)/M1138)</f>
        <v>0.22112676056338029</v>
      </c>
      <c r="H1138" s="22">
        <v>355</v>
      </c>
      <c r="I1138" s="22">
        <v>91</v>
      </c>
      <c r="J1138" s="22">
        <v>1</v>
      </c>
      <c r="K1138" s="22">
        <v>15</v>
      </c>
      <c r="L1138" s="22">
        <v>18</v>
      </c>
      <c r="M1138" s="22">
        <f>_xlfn.CEILING.MATH(F1138*2)</f>
        <v>710</v>
      </c>
      <c r="N1138" s="22">
        <f>H1138*1.18</f>
        <v>418.9</v>
      </c>
      <c r="O1138" s="22">
        <f>_xlfn.CEILING.MATH(F1138*1.56)-1</f>
        <v>553</v>
      </c>
    </row>
    <row r="1139" spans="1:15" s="22" customFormat="1">
      <c r="A1139" s="22">
        <v>923</v>
      </c>
      <c r="B1139" s="22" t="s">
        <v>1133</v>
      </c>
      <c r="C1139" s="22" t="s">
        <v>2405</v>
      </c>
      <c r="E1139" s="22">
        <v>1</v>
      </c>
      <c r="F1139" s="22">
        <v>373</v>
      </c>
      <c r="G1139" s="30">
        <f>IF(OR(M1139="",O1139="",M1139=0),"",(M1139-O1139)/M1139)</f>
        <v>0.22117962466487937</v>
      </c>
      <c r="H1139" s="22">
        <v>373</v>
      </c>
      <c r="I1139" s="22">
        <v>111</v>
      </c>
      <c r="J1139" s="22">
        <v>1</v>
      </c>
      <c r="K1139" s="22">
        <v>15</v>
      </c>
      <c r="L1139" s="22">
        <v>18</v>
      </c>
      <c r="M1139" s="22">
        <f>_xlfn.CEILING.MATH(F1139*2)</f>
        <v>746</v>
      </c>
      <c r="N1139" s="22">
        <f>H1139*1.18</f>
        <v>440.14</v>
      </c>
      <c r="O1139" s="22">
        <f>_xlfn.CEILING.MATH(F1139*1.56)-1</f>
        <v>581</v>
      </c>
    </row>
    <row r="1140" spans="1:15" s="22" customFormat="1">
      <c r="A1140" s="22">
        <v>924</v>
      </c>
      <c r="B1140" s="22" t="s">
        <v>1134</v>
      </c>
      <c r="C1140" s="22" t="s">
        <v>2406</v>
      </c>
      <c r="E1140" s="22">
        <v>1</v>
      </c>
      <c r="F1140" s="22">
        <v>515</v>
      </c>
      <c r="G1140" s="30">
        <f>IF(OR(M1140="",O1140="",M1140=0),"",(M1140-O1140)/M1140)</f>
        <v>0.2203883495145631</v>
      </c>
      <c r="H1140" s="22">
        <v>515</v>
      </c>
      <c r="I1140" s="22">
        <v>168</v>
      </c>
      <c r="J1140" s="22">
        <v>1</v>
      </c>
      <c r="K1140" s="22">
        <v>15</v>
      </c>
      <c r="L1140" s="22">
        <v>18</v>
      </c>
      <c r="M1140" s="22">
        <f>_xlfn.CEILING.MATH(F1140*2)</f>
        <v>1030</v>
      </c>
      <c r="N1140" s="22">
        <f>H1140*1.18</f>
        <v>607.69999999999993</v>
      </c>
      <c r="O1140" s="22">
        <f>_xlfn.CEILING.MATH(F1140*1.56)-1</f>
        <v>803</v>
      </c>
    </row>
    <row r="1141" spans="1:15" s="22" customFormat="1">
      <c r="A1141" s="22">
        <v>925</v>
      </c>
      <c r="B1141" s="22" t="s">
        <v>1135</v>
      </c>
      <c r="C1141" s="22" t="s">
        <v>2407</v>
      </c>
      <c r="E1141" s="22">
        <v>1</v>
      </c>
      <c r="F1141" s="22">
        <v>603.5</v>
      </c>
      <c r="G1141" s="30">
        <f>IF(OR(M1141="",O1141="",M1141=0),"",(M1141-O1141)/M1141)</f>
        <v>0.22038111019055509</v>
      </c>
      <c r="H1141" s="22">
        <v>603.5</v>
      </c>
      <c r="I1141" s="22">
        <v>25</v>
      </c>
      <c r="J1141" s="22">
        <v>1</v>
      </c>
      <c r="K1141" s="22">
        <v>15</v>
      </c>
      <c r="L1141" s="22">
        <v>18</v>
      </c>
      <c r="M1141" s="22">
        <f>_xlfn.CEILING.MATH(F1141*2)</f>
        <v>1207</v>
      </c>
      <c r="N1141" s="22">
        <f>H1141*1.18</f>
        <v>712.13</v>
      </c>
      <c r="O1141" s="22">
        <f>_xlfn.CEILING.MATH(F1141*1.56)-1</f>
        <v>941</v>
      </c>
    </row>
    <row r="1142" spans="1:15" s="22" customFormat="1">
      <c r="A1142" s="22">
        <v>926</v>
      </c>
      <c r="B1142" s="22" t="s">
        <v>1136</v>
      </c>
      <c r="C1142" s="22" t="s">
        <v>2408</v>
      </c>
      <c r="E1142" s="22">
        <v>1</v>
      </c>
      <c r="F1142" s="22">
        <v>603.5</v>
      </c>
      <c r="G1142" s="30">
        <f>IF(OR(M1142="",O1142="",M1142=0),"",(M1142-O1142)/M1142)</f>
        <v>0.22038111019055509</v>
      </c>
      <c r="H1142" s="22">
        <v>603.5</v>
      </c>
      <c r="I1142" s="22">
        <v>97</v>
      </c>
      <c r="J1142" s="22">
        <v>1</v>
      </c>
      <c r="K1142" s="22">
        <v>10</v>
      </c>
      <c r="L1142" s="22">
        <v>18</v>
      </c>
      <c r="M1142" s="22">
        <f>_xlfn.CEILING.MATH(F1142*2)</f>
        <v>1207</v>
      </c>
      <c r="N1142" s="22">
        <f>H1142*1.18</f>
        <v>712.13</v>
      </c>
      <c r="O1142" s="22">
        <f>_xlfn.CEILING.MATH(F1142*1.56)-1</f>
        <v>941</v>
      </c>
    </row>
    <row r="1143" spans="1:15" s="22" customFormat="1">
      <c r="A1143" s="22">
        <v>927</v>
      </c>
      <c r="B1143" s="22" t="s">
        <v>1137</v>
      </c>
      <c r="C1143" s="22" t="s">
        <v>2409</v>
      </c>
      <c r="E1143" s="22">
        <v>1</v>
      </c>
      <c r="F1143" s="22">
        <v>831.5</v>
      </c>
      <c r="G1143" s="30">
        <f>IF(OR(M1143="",O1143="",M1143=0),"",(M1143-O1143)/M1143)</f>
        <v>0.2200841852074564</v>
      </c>
      <c r="H1143" s="22">
        <v>831.5</v>
      </c>
      <c r="I1143" s="22">
        <v>84</v>
      </c>
      <c r="J1143" s="22">
        <v>1</v>
      </c>
      <c r="K1143" s="22">
        <v>10</v>
      </c>
      <c r="L1143" s="22">
        <v>18</v>
      </c>
      <c r="M1143" s="22">
        <f>_xlfn.CEILING.MATH(F1143*2)</f>
        <v>1663</v>
      </c>
      <c r="N1143" s="22">
        <f>H1143*1.18</f>
        <v>981.17</v>
      </c>
      <c r="O1143" s="22">
        <f>_xlfn.CEILING.MATH(F1143*1.56)-1</f>
        <v>1297</v>
      </c>
    </row>
    <row r="1144" spans="1:15" s="22" customFormat="1">
      <c r="A1144" s="22">
        <v>928</v>
      </c>
      <c r="B1144" s="22" t="s">
        <v>1138</v>
      </c>
      <c r="C1144" s="22" t="s">
        <v>2410</v>
      </c>
      <c r="E1144" s="22">
        <v>1</v>
      </c>
      <c r="F1144" s="22">
        <v>1004.5</v>
      </c>
      <c r="G1144" s="30">
        <f>IF(OR(M1144="",O1144="",M1144=0),"",(M1144-O1144)/M1144)</f>
        <v>0.22000995520159283</v>
      </c>
      <c r="H1144" s="22">
        <v>1004.5</v>
      </c>
      <c r="I1144" s="22">
        <v>74</v>
      </c>
      <c r="J1144" s="22">
        <v>1</v>
      </c>
      <c r="K1144" s="22">
        <v>10</v>
      </c>
      <c r="L1144" s="22">
        <v>18</v>
      </c>
      <c r="M1144" s="22">
        <f>_xlfn.CEILING.MATH(F1144*2)</f>
        <v>2009</v>
      </c>
      <c r="N1144" s="22">
        <f>H1144*1.18</f>
        <v>1185.31</v>
      </c>
      <c r="O1144" s="22">
        <f>_xlfn.CEILING.MATH(F1144*1.56)-1</f>
        <v>1567</v>
      </c>
    </row>
    <row r="1145" spans="1:15" s="22" customFormat="1">
      <c r="A1145" s="22">
        <v>929</v>
      </c>
      <c r="B1145" s="22" t="s">
        <v>1139</v>
      </c>
      <c r="C1145" s="22" t="s">
        <v>2411</v>
      </c>
      <c r="E1145" s="22">
        <v>1</v>
      </c>
      <c r="F1145" s="22">
        <v>1435</v>
      </c>
      <c r="G1145" s="30">
        <f>IF(OR(M1145="",O1145="",M1145=0),"",(M1145-O1145)/M1145)</f>
        <v>0.22020905923344947</v>
      </c>
      <c r="H1145" s="22">
        <v>1435</v>
      </c>
      <c r="I1145" s="22">
        <v>53</v>
      </c>
      <c r="J1145" s="22">
        <v>1</v>
      </c>
      <c r="K1145" s="22">
        <v>5</v>
      </c>
      <c r="L1145" s="22">
        <v>18</v>
      </c>
      <c r="M1145" s="22">
        <f>_xlfn.CEILING.MATH(F1145*2)</f>
        <v>2870</v>
      </c>
      <c r="N1145" s="22">
        <f>H1145*1.18</f>
        <v>1693.3</v>
      </c>
      <c r="O1145" s="22">
        <f>_xlfn.CEILING.MATH(F1145*1.56)-1</f>
        <v>2238</v>
      </c>
    </row>
    <row r="1146" spans="1:15" s="22" customFormat="1">
      <c r="A1146" s="22">
        <v>930</v>
      </c>
      <c r="B1146" s="22" t="s">
        <v>1140</v>
      </c>
      <c r="C1146" s="22" t="s">
        <v>2412</v>
      </c>
      <c r="E1146" s="22">
        <v>1</v>
      </c>
      <c r="F1146" s="22">
        <v>2153</v>
      </c>
      <c r="G1146" s="30">
        <f>IF(OR(M1146="",O1146="",M1146=0),"",(M1146-O1146)/M1146)</f>
        <v>0.22015791918253599</v>
      </c>
      <c r="H1146" s="22">
        <v>2153</v>
      </c>
      <c r="I1146" s="22">
        <v>5</v>
      </c>
      <c r="J1146" s="22">
        <v>1</v>
      </c>
      <c r="K1146" s="22">
        <v>5</v>
      </c>
      <c r="L1146" s="22">
        <v>18</v>
      </c>
      <c r="M1146" s="22">
        <f>_xlfn.CEILING.MATH(F1146*2)</f>
        <v>4306</v>
      </c>
      <c r="N1146" s="22">
        <f>H1146*1.18</f>
        <v>2540.54</v>
      </c>
      <c r="O1146" s="22">
        <f>_xlfn.CEILING.MATH(F1146*1.56)-1</f>
        <v>3358</v>
      </c>
    </row>
    <row r="1147" spans="1:15" s="22" customFormat="1">
      <c r="A1147" s="22">
        <v>931</v>
      </c>
      <c r="B1147" s="22" t="s">
        <v>1141</v>
      </c>
      <c r="C1147" s="22" t="s">
        <v>2413</v>
      </c>
      <c r="E1147" s="22">
        <v>1</v>
      </c>
      <c r="F1147" s="22">
        <v>2870.5</v>
      </c>
      <c r="G1147" s="30">
        <f>IF(OR(M1147="",O1147="",M1147=0),"",(M1147-O1147)/M1147)</f>
        <v>0.22017070196829822</v>
      </c>
      <c r="H1147" s="22">
        <v>2870.5</v>
      </c>
      <c r="I1147" s="22">
        <v>13</v>
      </c>
      <c r="J1147" s="22">
        <v>1</v>
      </c>
      <c r="K1147" s="22">
        <v>5</v>
      </c>
      <c r="L1147" s="22">
        <v>18</v>
      </c>
      <c r="M1147" s="22">
        <f>_xlfn.CEILING.MATH(F1147*2)</f>
        <v>5741</v>
      </c>
      <c r="N1147" s="22">
        <f>H1147*1.18</f>
        <v>3387.1899999999996</v>
      </c>
      <c r="O1147" s="22">
        <f>_xlfn.CEILING.MATH(F1147*1.56)-1</f>
        <v>4477</v>
      </c>
    </row>
    <row r="1148" spans="1:15" s="22" customFormat="1">
      <c r="A1148" s="22">
        <v>932</v>
      </c>
      <c r="B1148" s="22" t="s">
        <v>1142</v>
      </c>
      <c r="C1148" s="22" t="s">
        <v>2414</v>
      </c>
      <c r="E1148" s="22">
        <v>1</v>
      </c>
      <c r="F1148" s="22">
        <v>3731.5</v>
      </c>
      <c r="G1148" s="30">
        <f>IF(OR(M1148="",O1148="",M1148=0),"",(M1148-O1148)/M1148)</f>
        <v>0.22001875921211309</v>
      </c>
      <c r="H1148" s="22">
        <v>3731.5</v>
      </c>
      <c r="I1148" s="22">
        <v>0</v>
      </c>
      <c r="J1148" s="22">
        <v>1</v>
      </c>
      <c r="K1148" s="22">
        <v>4</v>
      </c>
      <c r="L1148" s="22">
        <v>18</v>
      </c>
      <c r="M1148" s="22">
        <f>_xlfn.CEILING.MATH(F1148*2)</f>
        <v>7463</v>
      </c>
      <c r="N1148" s="22">
        <f>H1148*1.18</f>
        <v>4403.17</v>
      </c>
      <c r="O1148" s="22">
        <f>_xlfn.CEILING.MATH(F1148*1.56)-1</f>
        <v>5821</v>
      </c>
    </row>
    <row r="1149" spans="1:15" s="22" customFormat="1">
      <c r="A1149" s="22">
        <v>933</v>
      </c>
      <c r="B1149" s="22" t="s">
        <v>1143</v>
      </c>
      <c r="C1149" s="22" t="s">
        <v>2415</v>
      </c>
      <c r="E1149" s="22">
        <v>1</v>
      </c>
      <c r="F1149" s="22">
        <v>4162</v>
      </c>
      <c r="G1149" s="30">
        <f>IF(OR(M1149="",O1149="",M1149=0),"",(M1149-O1149)/M1149)</f>
        <v>0.22008649687650167</v>
      </c>
      <c r="H1149" s="22">
        <v>4162</v>
      </c>
      <c r="I1149" s="22">
        <v>1</v>
      </c>
      <c r="J1149" s="22">
        <v>1</v>
      </c>
      <c r="K1149" s="22">
        <v>4</v>
      </c>
      <c r="L1149" s="22">
        <v>18</v>
      </c>
      <c r="M1149" s="22">
        <f>_xlfn.CEILING.MATH(F1149*2)</f>
        <v>8324</v>
      </c>
      <c r="N1149" s="22">
        <f>H1149*1.18</f>
        <v>4911.16</v>
      </c>
      <c r="O1149" s="22">
        <f>_xlfn.CEILING.MATH(F1149*1.56)-1</f>
        <v>6492</v>
      </c>
    </row>
    <row r="1150" spans="1:15" s="22" customFormat="1">
      <c r="A1150" s="22">
        <v>934</v>
      </c>
      <c r="B1150" s="22" t="s">
        <v>1144</v>
      </c>
      <c r="C1150" s="22" t="s">
        <v>2416</v>
      </c>
      <c r="E1150" s="22">
        <v>1</v>
      </c>
      <c r="F1150" s="22">
        <v>5700</v>
      </c>
      <c r="G1150" s="30">
        <f>IF(OR(M1150="",O1150="",M1150=0),"",(M1150-O1150)/M1150)</f>
        <v>0.22008771929824561</v>
      </c>
      <c r="H1150" s="22">
        <v>5700</v>
      </c>
      <c r="I1150" s="22">
        <v>0</v>
      </c>
      <c r="J1150" s="22">
        <v>1</v>
      </c>
      <c r="K1150" s="22">
        <v>2</v>
      </c>
      <c r="L1150" s="22">
        <v>18</v>
      </c>
      <c r="M1150" s="22">
        <f>_xlfn.CEILING.MATH(F1150*2)</f>
        <v>11400</v>
      </c>
      <c r="N1150" s="22">
        <f>H1150*1.18</f>
        <v>6726</v>
      </c>
      <c r="O1150" s="22">
        <f>_xlfn.CEILING.MATH(F1150*1.56)-1</f>
        <v>8891</v>
      </c>
    </row>
    <row r="1151" spans="1:15" s="22" customFormat="1">
      <c r="A1151" s="22">
        <v>935</v>
      </c>
      <c r="B1151" s="22" t="s">
        <v>1145</v>
      </c>
      <c r="C1151" s="22" t="s">
        <v>2417</v>
      </c>
      <c r="E1151" s="22">
        <v>1</v>
      </c>
      <c r="F1151" s="22">
        <v>7002</v>
      </c>
      <c r="G1151" s="30">
        <f>IF(OR(M1151="",O1151="",M1151=0),"",(M1151-O1151)/M1151)</f>
        <v>0.22000856898029134</v>
      </c>
      <c r="H1151" s="22">
        <v>7002</v>
      </c>
      <c r="I1151" s="22">
        <v>1</v>
      </c>
      <c r="J1151" s="22">
        <v>1</v>
      </c>
      <c r="K1151" s="22">
        <v>2</v>
      </c>
      <c r="L1151" s="22">
        <v>18</v>
      </c>
      <c r="M1151" s="22">
        <f>_xlfn.CEILING.MATH(F1151*2)</f>
        <v>14004</v>
      </c>
      <c r="N1151" s="22">
        <f>H1151*1.18</f>
        <v>8262.3599999999988</v>
      </c>
      <c r="O1151" s="22">
        <f>_xlfn.CEILING.MATH(F1151*1.56)-1</f>
        <v>10923</v>
      </c>
    </row>
    <row r="1152" spans="1:15" s="22" customFormat="1">
      <c r="A1152" s="22">
        <v>936</v>
      </c>
      <c r="B1152" s="22" t="s">
        <v>1146</v>
      </c>
      <c r="C1152" s="22" t="s">
        <v>2418</v>
      </c>
      <c r="E1152" s="22">
        <v>1</v>
      </c>
      <c r="F1152" s="22">
        <v>27</v>
      </c>
      <c r="G1152" s="30">
        <f>IF(OR(M1152="",O1152="",M1152=0),"",(M1152-O1152)/M1152)</f>
        <v>0.22222222222222221</v>
      </c>
      <c r="H1152" s="22">
        <v>27</v>
      </c>
      <c r="I1152" s="22">
        <v>617</v>
      </c>
      <c r="J1152" s="22">
        <v>10</v>
      </c>
      <c r="K1152" s="22">
        <v>100</v>
      </c>
      <c r="L1152" s="22">
        <v>18</v>
      </c>
      <c r="M1152" s="22">
        <f>_xlfn.CEILING.MATH(F1152*2)</f>
        <v>54</v>
      </c>
      <c r="N1152" s="22">
        <f>H1152*1.18</f>
        <v>31.86</v>
      </c>
      <c r="O1152" s="22">
        <f>_xlfn.CEILING.MATH(F1152*1.56)-1</f>
        <v>42</v>
      </c>
    </row>
    <row r="1153" spans="1:15" s="22" customFormat="1">
      <c r="A1153" s="22">
        <v>937</v>
      </c>
      <c r="B1153" s="22" t="s">
        <v>1147</v>
      </c>
      <c r="C1153" s="22" t="s">
        <v>2419</v>
      </c>
      <c r="E1153" s="22">
        <v>1</v>
      </c>
      <c r="F1153" s="22">
        <v>39</v>
      </c>
      <c r="G1153" s="30">
        <f>IF(OR(M1153="",O1153="",M1153=0),"",(M1153-O1153)/M1153)</f>
        <v>0.23076923076923078</v>
      </c>
      <c r="H1153" s="22">
        <v>39</v>
      </c>
      <c r="I1153" s="22">
        <v>1214</v>
      </c>
      <c r="J1153" s="22">
        <v>10</v>
      </c>
      <c r="K1153" s="22">
        <v>100</v>
      </c>
      <c r="L1153" s="22">
        <v>18</v>
      </c>
      <c r="M1153" s="22">
        <f>_xlfn.CEILING.MATH(F1153*2)</f>
        <v>78</v>
      </c>
      <c r="N1153" s="22">
        <f>H1153*1.18</f>
        <v>46.019999999999996</v>
      </c>
      <c r="O1153" s="22">
        <f>_xlfn.CEILING.MATH(F1153*1.56)-1</f>
        <v>60</v>
      </c>
    </row>
    <row r="1154" spans="1:15" s="22" customFormat="1">
      <c r="A1154" s="22">
        <v>938</v>
      </c>
      <c r="B1154" s="22" t="s">
        <v>1148</v>
      </c>
      <c r="C1154" s="22" t="s">
        <v>2420</v>
      </c>
      <c r="E1154" s="22">
        <v>1</v>
      </c>
      <c r="F1154" s="22">
        <v>70.5</v>
      </c>
      <c r="G1154" s="30">
        <f>IF(OR(M1154="",O1154="",M1154=0),"",(M1154-O1154)/M1154)</f>
        <v>0.22695035460992907</v>
      </c>
      <c r="H1154" s="22">
        <v>70.5</v>
      </c>
      <c r="I1154" s="22">
        <v>1316</v>
      </c>
      <c r="J1154" s="22">
        <v>5</v>
      </c>
      <c r="K1154" s="22">
        <v>50</v>
      </c>
      <c r="L1154" s="22">
        <v>18</v>
      </c>
      <c r="M1154" s="22">
        <f>_xlfn.CEILING.MATH(F1154*2)</f>
        <v>141</v>
      </c>
      <c r="N1154" s="22">
        <f>H1154*1.18</f>
        <v>83.19</v>
      </c>
      <c r="O1154" s="22">
        <f>_xlfn.CEILING.MATH(F1154*1.56)-1</f>
        <v>109</v>
      </c>
    </row>
    <row r="1155" spans="1:15" s="22" customFormat="1">
      <c r="A1155" s="22">
        <v>939</v>
      </c>
      <c r="B1155" s="22" t="s">
        <v>1149</v>
      </c>
      <c r="C1155" s="22" t="s">
        <v>2421</v>
      </c>
      <c r="E1155" s="22">
        <v>1</v>
      </c>
      <c r="F1155" s="22">
        <v>112.5</v>
      </c>
      <c r="G1155" s="30">
        <f>IF(OR(M1155="",O1155="",M1155=0),"",(M1155-O1155)/M1155)</f>
        <v>0.22222222222222221</v>
      </c>
      <c r="H1155" s="22">
        <v>112.5</v>
      </c>
      <c r="I1155" s="22">
        <v>665</v>
      </c>
      <c r="J1155" s="22">
        <v>5</v>
      </c>
      <c r="K1155" s="22">
        <v>50</v>
      </c>
      <c r="L1155" s="22">
        <v>18</v>
      </c>
      <c r="M1155" s="22">
        <f>_xlfn.CEILING.MATH(F1155*2)</f>
        <v>225</v>
      </c>
      <c r="N1155" s="22">
        <f>H1155*1.18</f>
        <v>132.75</v>
      </c>
      <c r="O1155" s="22">
        <f>_xlfn.CEILING.MATH(F1155*1.56)-1</f>
        <v>175</v>
      </c>
    </row>
    <row r="1156" spans="1:15" s="22" customFormat="1">
      <c r="A1156" s="22">
        <v>940</v>
      </c>
      <c r="B1156" s="22" t="s">
        <v>1150</v>
      </c>
      <c r="C1156" s="22" t="s">
        <v>2422</v>
      </c>
      <c r="E1156" s="22">
        <v>1</v>
      </c>
      <c r="F1156" s="22">
        <v>247.5</v>
      </c>
      <c r="G1156" s="30">
        <f>IF(OR(M1156="",O1156="",M1156=0),"",(M1156-O1156)/M1156)</f>
        <v>0.2202020202020202</v>
      </c>
      <c r="H1156" s="22">
        <v>247.5</v>
      </c>
      <c r="I1156" s="22">
        <v>4609</v>
      </c>
      <c r="J1156" s="22">
        <v>20</v>
      </c>
      <c r="K1156" s="22">
        <v>60</v>
      </c>
      <c r="L1156" s="22">
        <v>18</v>
      </c>
      <c r="M1156" s="22">
        <f>_xlfn.CEILING.MATH(F1156*2)</f>
        <v>495</v>
      </c>
      <c r="N1156" s="22">
        <f>H1156*1.18</f>
        <v>292.05</v>
      </c>
      <c r="O1156" s="22">
        <f>_xlfn.CEILING.MATH(F1156*1.56)-1</f>
        <v>386</v>
      </c>
    </row>
    <row r="1157" spans="1:15" s="22" customFormat="1">
      <c r="A1157" s="22">
        <v>941</v>
      </c>
      <c r="B1157" s="22" t="s">
        <v>1151</v>
      </c>
      <c r="C1157" s="22" t="s">
        <v>2423</v>
      </c>
      <c r="E1157" s="22">
        <v>1</v>
      </c>
      <c r="F1157" s="22">
        <v>85.5</v>
      </c>
      <c r="G1157" s="30">
        <f>IF(OR(M1157="",O1157="",M1157=0),"",(M1157-O1157)/M1157)</f>
        <v>0.22222222222222221</v>
      </c>
      <c r="H1157" s="22">
        <v>85.5</v>
      </c>
      <c r="I1157" s="22">
        <v>458</v>
      </c>
      <c r="J1157" s="22">
        <v>10</v>
      </c>
      <c r="K1157" s="22">
        <v>100</v>
      </c>
      <c r="L1157" s="22">
        <v>18</v>
      </c>
      <c r="M1157" s="22">
        <f>_xlfn.CEILING.MATH(F1157*2)</f>
        <v>171</v>
      </c>
      <c r="N1157" s="22">
        <f>H1157*1.18</f>
        <v>100.89</v>
      </c>
      <c r="O1157" s="22">
        <f>_xlfn.CEILING.MATH(F1157*1.56)-1</f>
        <v>133</v>
      </c>
    </row>
    <row r="1158" spans="1:15" s="22" customFormat="1">
      <c r="A1158" s="22">
        <v>942</v>
      </c>
      <c r="B1158" s="22" t="s">
        <v>1152</v>
      </c>
      <c r="C1158" s="22" t="s">
        <v>2424</v>
      </c>
      <c r="E1158" s="22">
        <v>1</v>
      </c>
      <c r="F1158" s="22">
        <v>90</v>
      </c>
      <c r="G1158" s="30">
        <f>IF(OR(M1158="",O1158="",M1158=0),"",(M1158-O1158)/M1158)</f>
        <v>0.22222222222222221</v>
      </c>
      <c r="H1158" s="22">
        <v>90</v>
      </c>
      <c r="I1158" s="22">
        <v>5</v>
      </c>
      <c r="J1158" s="22">
        <v>10</v>
      </c>
      <c r="K1158" s="22">
        <v>100</v>
      </c>
      <c r="L1158" s="22">
        <v>18</v>
      </c>
      <c r="M1158" s="22">
        <f>_xlfn.CEILING.MATH(F1158*2)</f>
        <v>180</v>
      </c>
      <c r="N1158" s="22">
        <f>H1158*1.18</f>
        <v>106.19999999999999</v>
      </c>
      <c r="O1158" s="22">
        <f>_xlfn.CEILING.MATH(F1158*1.56)-1</f>
        <v>140</v>
      </c>
    </row>
    <row r="1159" spans="1:15" s="22" customFormat="1">
      <c r="A1159" s="22">
        <v>943</v>
      </c>
      <c r="B1159" s="22" t="s">
        <v>1153</v>
      </c>
      <c r="C1159" s="22" t="s">
        <v>2425</v>
      </c>
      <c r="E1159" s="22">
        <v>1</v>
      </c>
      <c r="F1159" s="22">
        <v>93</v>
      </c>
      <c r="G1159" s="30">
        <f>IF(OR(M1159="",O1159="",M1159=0),"",(M1159-O1159)/M1159)</f>
        <v>0.22043010752688172</v>
      </c>
      <c r="H1159" s="22">
        <v>93</v>
      </c>
      <c r="I1159" s="22">
        <v>402</v>
      </c>
      <c r="J1159" s="22">
        <v>10</v>
      </c>
      <c r="K1159" s="22">
        <v>100</v>
      </c>
      <c r="L1159" s="22">
        <v>18</v>
      </c>
      <c r="M1159" s="22">
        <f>_xlfn.CEILING.MATH(F1159*2)</f>
        <v>186</v>
      </c>
      <c r="N1159" s="22">
        <f>H1159*1.18</f>
        <v>109.74</v>
      </c>
      <c r="O1159" s="22">
        <f>_xlfn.CEILING.MATH(F1159*1.56)-1</f>
        <v>145</v>
      </c>
    </row>
    <row r="1160" spans="1:15" s="22" customFormat="1">
      <c r="A1160" s="22">
        <v>944</v>
      </c>
      <c r="B1160" s="22" t="s">
        <v>1154</v>
      </c>
      <c r="C1160" s="22" t="s">
        <v>2426</v>
      </c>
      <c r="E1160" s="22">
        <v>1</v>
      </c>
      <c r="F1160" s="22">
        <v>97.5</v>
      </c>
      <c r="G1160" s="30">
        <f>IF(OR(M1160="",O1160="",M1160=0),"",(M1160-O1160)/M1160)</f>
        <v>0.22051282051282051</v>
      </c>
      <c r="H1160" s="22">
        <v>97.5</v>
      </c>
      <c r="I1160" s="22">
        <v>712</v>
      </c>
      <c r="J1160" s="22">
        <v>10</v>
      </c>
      <c r="K1160" s="22">
        <v>100</v>
      </c>
      <c r="L1160" s="22">
        <v>18</v>
      </c>
      <c r="M1160" s="22">
        <f>_xlfn.CEILING.MATH(F1160*2)</f>
        <v>195</v>
      </c>
      <c r="N1160" s="22">
        <f>H1160*1.18</f>
        <v>115.05</v>
      </c>
      <c r="O1160" s="22">
        <f>_xlfn.CEILING.MATH(F1160*1.56)-1</f>
        <v>152</v>
      </c>
    </row>
    <row r="1161" spans="1:15" s="22" customFormat="1">
      <c r="A1161" s="22">
        <v>945</v>
      </c>
      <c r="B1161" s="22" t="s">
        <v>1155</v>
      </c>
      <c r="C1161" s="22" t="s">
        <v>2427</v>
      </c>
      <c r="E1161" s="22">
        <v>1</v>
      </c>
      <c r="F1161" s="22">
        <v>42</v>
      </c>
      <c r="G1161" s="30">
        <f>IF(OR(M1161="",O1161="",M1161=0),"",(M1161-O1161)/M1161)</f>
        <v>0.22619047619047619</v>
      </c>
      <c r="H1161" s="22">
        <v>42</v>
      </c>
      <c r="I1161" s="22">
        <v>406</v>
      </c>
      <c r="J1161" s="22">
        <v>10</v>
      </c>
      <c r="K1161" s="22">
        <v>60</v>
      </c>
      <c r="L1161" s="22">
        <v>18</v>
      </c>
      <c r="M1161" s="22">
        <f>_xlfn.CEILING.MATH(F1161*2)</f>
        <v>84</v>
      </c>
      <c r="N1161" s="22">
        <f>H1161*1.18</f>
        <v>49.559999999999995</v>
      </c>
      <c r="O1161" s="22">
        <f>_xlfn.CEILING.MATH(F1161*1.56)-1</f>
        <v>65</v>
      </c>
    </row>
    <row r="1162" spans="1:15" s="22" customFormat="1">
      <c r="A1162" s="22">
        <v>946</v>
      </c>
      <c r="B1162" s="22" t="s">
        <v>1156</v>
      </c>
      <c r="C1162" s="22" t="s">
        <v>2428</v>
      </c>
      <c r="E1162" s="22">
        <v>1</v>
      </c>
      <c r="F1162" s="22">
        <v>720</v>
      </c>
      <c r="G1162" s="30">
        <f>IF(OR(M1162="",O1162="",M1162=0),"",(M1162-O1162)/M1162)</f>
        <v>0.22013888888888888</v>
      </c>
      <c r="H1162" s="22">
        <v>720</v>
      </c>
      <c r="I1162" s="22">
        <v>1</v>
      </c>
      <c r="J1162" s="22">
        <v>1</v>
      </c>
      <c r="K1162" s="22">
        <v>5</v>
      </c>
      <c r="L1162" s="22">
        <v>18</v>
      </c>
      <c r="M1162" s="22">
        <f>_xlfn.CEILING.MATH(F1162*2)</f>
        <v>1440</v>
      </c>
      <c r="N1162" s="22">
        <f>H1162*1.18</f>
        <v>849.59999999999991</v>
      </c>
      <c r="O1162" s="22">
        <f>_xlfn.CEILING.MATH(F1162*1.56)-1</f>
        <v>1123</v>
      </c>
    </row>
    <row r="1163" spans="1:15" s="22" customFormat="1">
      <c r="A1163" s="22">
        <v>947</v>
      </c>
      <c r="B1163" s="22" t="s">
        <v>1157</v>
      </c>
      <c r="C1163" s="22" t="s">
        <v>2429</v>
      </c>
      <c r="E1163" s="22">
        <v>1</v>
      </c>
      <c r="F1163" s="22">
        <v>121.5</v>
      </c>
      <c r="G1163" s="30">
        <f>IF(OR(M1163="",O1163="",M1163=0),"",(M1163-O1163)/M1163)</f>
        <v>0.22222222222222221</v>
      </c>
      <c r="H1163" s="22">
        <v>121.5</v>
      </c>
      <c r="I1163" s="22">
        <v>943</v>
      </c>
      <c r="J1163" s="22">
        <v>6</v>
      </c>
      <c r="K1163" s="22">
        <v>60</v>
      </c>
      <c r="L1163" s="22">
        <v>18</v>
      </c>
      <c r="M1163" s="22">
        <f>_xlfn.CEILING.MATH(F1163*2)</f>
        <v>243</v>
      </c>
      <c r="N1163" s="22">
        <f>H1163*1.18</f>
        <v>143.37</v>
      </c>
      <c r="O1163" s="22">
        <f>_xlfn.CEILING.MATH(F1163*1.56)-1</f>
        <v>189</v>
      </c>
    </row>
    <row r="1164" spans="1:15" s="22" customFormat="1">
      <c r="A1164" s="22">
        <v>948</v>
      </c>
      <c r="B1164" s="22" t="s">
        <v>1158</v>
      </c>
      <c r="C1164" s="22" t="s">
        <v>2430</v>
      </c>
      <c r="E1164" s="22">
        <v>1</v>
      </c>
      <c r="F1164" s="22">
        <v>38.5</v>
      </c>
      <c r="G1164" s="30">
        <f>IF(OR(M1164="",O1164="",M1164=0),"",(M1164-O1164)/M1164)</f>
        <v>0.22077922077922077</v>
      </c>
      <c r="H1164" s="22">
        <v>38.5</v>
      </c>
      <c r="I1164" s="22">
        <v>31</v>
      </c>
      <c r="J1164" s="22">
        <v>10</v>
      </c>
      <c r="K1164" s="22">
        <v>200</v>
      </c>
      <c r="L1164" s="22">
        <v>18</v>
      </c>
      <c r="M1164" s="22">
        <f>_xlfn.CEILING.MATH(F1164*2)</f>
        <v>77</v>
      </c>
      <c r="N1164" s="22">
        <f>H1164*1.18</f>
        <v>45.43</v>
      </c>
      <c r="O1164" s="22">
        <f>_xlfn.CEILING.MATH(F1164*1.56)-1</f>
        <v>60</v>
      </c>
    </row>
    <row r="1165" spans="1:15" s="22" customFormat="1">
      <c r="A1165" s="22">
        <v>949</v>
      </c>
      <c r="B1165" s="22" t="s">
        <v>1159</v>
      </c>
      <c r="C1165" s="22" t="s">
        <v>2431</v>
      </c>
      <c r="E1165" s="22">
        <v>1</v>
      </c>
      <c r="F1165" s="22">
        <v>43.5</v>
      </c>
      <c r="G1165" s="30">
        <f>IF(OR(M1165="",O1165="",M1165=0),"",(M1165-O1165)/M1165)</f>
        <v>0.22988505747126436</v>
      </c>
      <c r="H1165" s="22">
        <v>43.5</v>
      </c>
      <c r="I1165" s="22">
        <v>125</v>
      </c>
      <c r="J1165" s="22">
        <v>10</v>
      </c>
      <c r="K1165" s="22">
        <v>200</v>
      </c>
      <c r="L1165" s="22">
        <v>18</v>
      </c>
      <c r="M1165" s="22">
        <f>_xlfn.CEILING.MATH(F1165*2)</f>
        <v>87</v>
      </c>
      <c r="N1165" s="22">
        <f>H1165*1.18</f>
        <v>51.33</v>
      </c>
      <c r="O1165" s="22">
        <f>_xlfn.CEILING.MATH(F1165*1.56)-1</f>
        <v>67</v>
      </c>
    </row>
    <row r="1166" spans="1:15" s="22" customFormat="1">
      <c r="A1166" s="22">
        <v>950</v>
      </c>
      <c r="B1166" s="22" t="s">
        <v>1160</v>
      </c>
      <c r="C1166" s="22" t="s">
        <v>2432</v>
      </c>
      <c r="E1166" s="22">
        <v>1</v>
      </c>
      <c r="F1166" s="22">
        <v>45</v>
      </c>
      <c r="G1166" s="30">
        <f>IF(OR(M1166="",O1166="",M1166=0),"",(M1166-O1166)/M1166)</f>
        <v>0.22222222222222221</v>
      </c>
      <c r="H1166" s="22">
        <v>45</v>
      </c>
      <c r="I1166" s="22">
        <v>1356</v>
      </c>
      <c r="J1166" s="22">
        <v>10</v>
      </c>
      <c r="K1166" s="22">
        <v>200</v>
      </c>
      <c r="L1166" s="22">
        <v>18</v>
      </c>
      <c r="M1166" s="22">
        <f>_xlfn.CEILING.MATH(F1166*2)</f>
        <v>90</v>
      </c>
      <c r="N1166" s="22">
        <f>H1166*1.18</f>
        <v>53.099999999999994</v>
      </c>
      <c r="O1166" s="22">
        <f>_xlfn.CEILING.MATH(F1166*1.56)-1</f>
        <v>70</v>
      </c>
    </row>
    <row r="1167" spans="1:15" s="22" customFormat="1">
      <c r="A1167" s="22">
        <v>951</v>
      </c>
      <c r="B1167" s="22" t="s">
        <v>1161</v>
      </c>
      <c r="C1167" s="22" t="s">
        <v>2433</v>
      </c>
      <c r="E1167" s="22">
        <v>1</v>
      </c>
      <c r="F1167" s="22">
        <v>52.5</v>
      </c>
      <c r="G1167" s="30">
        <f>IF(OR(M1167="",O1167="",M1167=0),"",(M1167-O1167)/M1167)</f>
        <v>0.22857142857142856</v>
      </c>
      <c r="H1167" s="22">
        <v>52.5</v>
      </c>
      <c r="I1167" s="22">
        <v>1759</v>
      </c>
      <c r="J1167" s="22">
        <v>10</v>
      </c>
      <c r="K1167" s="22">
        <v>200</v>
      </c>
      <c r="L1167" s="22">
        <v>18</v>
      </c>
      <c r="M1167" s="22">
        <f>_xlfn.CEILING.MATH(F1167*2)</f>
        <v>105</v>
      </c>
      <c r="N1167" s="22">
        <f>H1167*1.18</f>
        <v>61.949999999999996</v>
      </c>
      <c r="O1167" s="22">
        <f>_xlfn.CEILING.MATH(F1167*1.56)-1</f>
        <v>81</v>
      </c>
    </row>
    <row r="1168" spans="1:15" s="22" customFormat="1">
      <c r="A1168" s="22">
        <v>952</v>
      </c>
      <c r="B1168" s="22" t="s">
        <v>1162</v>
      </c>
      <c r="C1168" s="22" t="s">
        <v>2434</v>
      </c>
      <c r="E1168" s="22">
        <v>1</v>
      </c>
      <c r="F1168" s="22">
        <v>60</v>
      </c>
      <c r="G1168" s="30">
        <f>IF(OR(M1168="",O1168="",M1168=0),"",(M1168-O1168)/M1168)</f>
        <v>0.22500000000000001</v>
      </c>
      <c r="H1168" s="22">
        <v>60</v>
      </c>
      <c r="I1168" s="22">
        <v>67</v>
      </c>
      <c r="J1168" s="22">
        <v>10</v>
      </c>
      <c r="K1168" s="22">
        <v>100</v>
      </c>
      <c r="L1168" s="22">
        <v>18</v>
      </c>
      <c r="M1168" s="22">
        <f>_xlfn.CEILING.MATH(F1168*2)</f>
        <v>120</v>
      </c>
      <c r="N1168" s="22">
        <f>H1168*1.18</f>
        <v>70.8</v>
      </c>
      <c r="O1168" s="22">
        <f>_xlfn.CEILING.MATH(F1168*1.56)-1</f>
        <v>93</v>
      </c>
    </row>
    <row r="1169" spans="1:15" s="22" customFormat="1">
      <c r="A1169" s="22">
        <v>953</v>
      </c>
      <c r="B1169" s="22" t="s">
        <v>1163</v>
      </c>
      <c r="C1169" s="22" t="s">
        <v>2435</v>
      </c>
      <c r="E1169" s="22">
        <v>1</v>
      </c>
      <c r="F1169" s="22">
        <v>58.5</v>
      </c>
      <c r="G1169" s="30">
        <f>IF(OR(M1169="",O1169="",M1169=0),"",(M1169-O1169)/M1169)</f>
        <v>0.22222222222222221</v>
      </c>
      <c r="H1169" s="22">
        <v>58.5</v>
      </c>
      <c r="I1169" s="22">
        <v>1278</v>
      </c>
      <c r="J1169" s="22">
        <v>10</v>
      </c>
      <c r="K1169" s="22">
        <v>100</v>
      </c>
      <c r="L1169" s="22">
        <v>18</v>
      </c>
      <c r="M1169" s="22">
        <f>_xlfn.CEILING.MATH(F1169*2)</f>
        <v>117</v>
      </c>
      <c r="N1169" s="22">
        <f>H1169*1.18</f>
        <v>69.03</v>
      </c>
      <c r="O1169" s="22">
        <f>_xlfn.CEILING.MATH(F1169*1.56)-1</f>
        <v>91</v>
      </c>
    </row>
    <row r="1170" spans="1:15" s="22" customFormat="1">
      <c r="A1170" s="22">
        <v>954</v>
      </c>
      <c r="B1170" s="22" t="s">
        <v>1164</v>
      </c>
      <c r="C1170" s="22" t="s">
        <v>2436</v>
      </c>
      <c r="E1170" s="22">
        <v>1</v>
      </c>
      <c r="F1170" s="22">
        <v>79.5</v>
      </c>
      <c r="G1170" s="30">
        <f>IF(OR(M1170="",O1170="",M1170=0),"",(M1170-O1170)/M1170)</f>
        <v>0.22012578616352202</v>
      </c>
      <c r="H1170" s="22">
        <v>79.5</v>
      </c>
      <c r="I1170" s="22">
        <v>2</v>
      </c>
      <c r="J1170" s="22">
        <v>10</v>
      </c>
      <c r="K1170" s="22">
        <v>100</v>
      </c>
      <c r="L1170" s="22">
        <v>18</v>
      </c>
      <c r="M1170" s="22">
        <f>_xlfn.CEILING.MATH(F1170*2)</f>
        <v>159</v>
      </c>
      <c r="N1170" s="22">
        <f>H1170*1.18</f>
        <v>93.809999999999988</v>
      </c>
      <c r="O1170" s="22">
        <f>_xlfn.CEILING.MATH(F1170*1.56)-1</f>
        <v>124</v>
      </c>
    </row>
    <row r="1171" spans="1:15" s="22" customFormat="1">
      <c r="A1171" s="22">
        <v>955</v>
      </c>
      <c r="B1171" s="22" t="s">
        <v>1165</v>
      </c>
      <c r="C1171" s="22" t="s">
        <v>2437</v>
      </c>
      <c r="E1171" s="22">
        <v>1</v>
      </c>
      <c r="F1171" s="22">
        <v>78</v>
      </c>
      <c r="G1171" s="30">
        <f>IF(OR(M1171="",O1171="",M1171=0),"",(M1171-O1171)/M1171)</f>
        <v>0.22435897435897437</v>
      </c>
      <c r="H1171" s="22">
        <v>78</v>
      </c>
      <c r="I1171" s="22">
        <v>1089</v>
      </c>
      <c r="J1171" s="22">
        <v>10</v>
      </c>
      <c r="K1171" s="22">
        <v>100</v>
      </c>
      <c r="L1171" s="22">
        <v>18</v>
      </c>
      <c r="M1171" s="22">
        <f>_xlfn.CEILING.MATH(F1171*2)</f>
        <v>156</v>
      </c>
      <c r="N1171" s="22">
        <f>H1171*1.18</f>
        <v>92.039999999999992</v>
      </c>
      <c r="O1171" s="22">
        <f>_xlfn.CEILING.MATH(F1171*1.56)-1</f>
        <v>121</v>
      </c>
    </row>
    <row r="1172" spans="1:15" s="22" customFormat="1">
      <c r="A1172" s="22">
        <v>956</v>
      </c>
      <c r="B1172" s="22" t="s">
        <v>1166</v>
      </c>
      <c r="C1172" s="22" t="s">
        <v>2438</v>
      </c>
      <c r="E1172" s="22">
        <v>1</v>
      </c>
      <c r="F1172" s="22">
        <v>102</v>
      </c>
      <c r="G1172" s="30">
        <f>IF(OR(M1172="",O1172="",M1172=0),"",(M1172-O1172)/M1172)</f>
        <v>0.22058823529411764</v>
      </c>
      <c r="H1172" s="22">
        <v>102</v>
      </c>
      <c r="I1172" s="22">
        <v>821</v>
      </c>
      <c r="J1172" s="22">
        <v>10</v>
      </c>
      <c r="K1172" s="22">
        <v>100</v>
      </c>
      <c r="L1172" s="22">
        <v>18</v>
      </c>
      <c r="M1172" s="22">
        <f>_xlfn.CEILING.MATH(F1172*2)</f>
        <v>204</v>
      </c>
      <c r="N1172" s="22">
        <f>H1172*1.18</f>
        <v>120.36</v>
      </c>
      <c r="O1172" s="22">
        <f>_xlfn.CEILING.MATH(F1172*1.56)-1</f>
        <v>159</v>
      </c>
    </row>
    <row r="1173" spans="1:15" s="22" customFormat="1">
      <c r="A1173" s="22">
        <v>957</v>
      </c>
      <c r="B1173" s="22" t="s">
        <v>1167</v>
      </c>
      <c r="C1173" s="22" t="s">
        <v>2439</v>
      </c>
      <c r="E1173" s="22">
        <v>1</v>
      </c>
      <c r="F1173" s="22">
        <v>88.5</v>
      </c>
      <c r="G1173" s="30">
        <f>IF(OR(M1173="",O1173="",M1173=0),"",(M1173-O1173)/M1173)</f>
        <v>0.22033898305084745</v>
      </c>
      <c r="H1173" s="22">
        <v>88.5</v>
      </c>
      <c r="I1173" s="22">
        <v>640</v>
      </c>
      <c r="J1173" s="22">
        <v>15</v>
      </c>
      <c r="K1173" s="22">
        <v>60</v>
      </c>
      <c r="L1173" s="22">
        <v>18</v>
      </c>
      <c r="M1173" s="22">
        <f>_xlfn.CEILING.MATH(F1173*2)</f>
        <v>177</v>
      </c>
      <c r="N1173" s="22">
        <f>H1173*1.18</f>
        <v>104.42999999999999</v>
      </c>
      <c r="O1173" s="22">
        <f>_xlfn.CEILING.MATH(F1173*1.56)-1</f>
        <v>138</v>
      </c>
    </row>
    <row r="1174" spans="1:15" s="22" customFormat="1">
      <c r="A1174" s="22">
        <v>958</v>
      </c>
      <c r="B1174" s="22" t="s">
        <v>1168</v>
      </c>
      <c r="C1174" s="22" t="s">
        <v>2440</v>
      </c>
      <c r="E1174" s="22">
        <v>1</v>
      </c>
      <c r="F1174" s="22">
        <v>88.5</v>
      </c>
      <c r="G1174" s="30">
        <f>IF(OR(M1174="",O1174="",M1174=0),"",(M1174-O1174)/M1174)</f>
        <v>0.22033898305084745</v>
      </c>
      <c r="H1174" s="22">
        <v>88.5</v>
      </c>
      <c r="I1174" s="22">
        <v>1489</v>
      </c>
      <c r="J1174" s="22">
        <v>15</v>
      </c>
      <c r="K1174" s="22">
        <v>60</v>
      </c>
      <c r="L1174" s="22">
        <v>18</v>
      </c>
      <c r="M1174" s="22">
        <f>_xlfn.CEILING.MATH(F1174*2)</f>
        <v>177</v>
      </c>
      <c r="N1174" s="22">
        <f>H1174*1.18</f>
        <v>104.42999999999999</v>
      </c>
      <c r="O1174" s="22">
        <f>_xlfn.CEILING.MATH(F1174*1.56)-1</f>
        <v>138</v>
      </c>
    </row>
    <row r="1175" spans="1:15" s="22" customFormat="1">
      <c r="A1175" s="22">
        <v>959</v>
      </c>
      <c r="B1175" s="22" t="s">
        <v>1169</v>
      </c>
      <c r="C1175" s="22" t="s">
        <v>2441</v>
      </c>
      <c r="E1175" s="22">
        <v>1</v>
      </c>
      <c r="F1175" s="22">
        <v>88.5</v>
      </c>
      <c r="G1175" s="30">
        <f>IF(OR(M1175="",O1175="",M1175=0),"",(M1175-O1175)/M1175)</f>
        <v>0.22033898305084745</v>
      </c>
      <c r="H1175" s="22">
        <v>88.5</v>
      </c>
      <c r="I1175" s="22">
        <v>5119</v>
      </c>
      <c r="J1175" s="22">
        <v>15</v>
      </c>
      <c r="K1175" s="22">
        <v>60</v>
      </c>
      <c r="L1175" s="22">
        <v>18</v>
      </c>
      <c r="M1175" s="22">
        <f>_xlfn.CEILING.MATH(F1175*2)</f>
        <v>177</v>
      </c>
      <c r="N1175" s="22">
        <f>H1175*1.18</f>
        <v>104.42999999999999</v>
      </c>
      <c r="O1175" s="22">
        <f>_xlfn.CEILING.MATH(F1175*1.56)-1</f>
        <v>138</v>
      </c>
    </row>
    <row r="1176" spans="1:15" s="22" customFormat="1">
      <c r="A1176" s="22">
        <v>960</v>
      </c>
      <c r="B1176" s="22" t="s">
        <v>1170</v>
      </c>
      <c r="C1176" s="22" t="s">
        <v>2442</v>
      </c>
      <c r="E1176" s="22">
        <v>1</v>
      </c>
      <c r="F1176" s="22">
        <v>91.5</v>
      </c>
      <c r="G1176" s="30">
        <f>IF(OR(M1176="",O1176="",M1176=0),"",(M1176-O1176)/M1176)</f>
        <v>0.22404371584699453</v>
      </c>
      <c r="H1176" s="22">
        <v>91.5</v>
      </c>
      <c r="I1176" s="22">
        <v>97</v>
      </c>
      <c r="J1176" s="22">
        <v>15</v>
      </c>
      <c r="K1176" s="22">
        <v>60</v>
      </c>
      <c r="L1176" s="22">
        <v>18</v>
      </c>
      <c r="M1176" s="22">
        <f>_xlfn.CEILING.MATH(F1176*2)</f>
        <v>183</v>
      </c>
      <c r="N1176" s="22">
        <f>H1176*1.18</f>
        <v>107.97</v>
      </c>
      <c r="O1176" s="22">
        <f>_xlfn.CEILING.MATH(F1176*1.56)-1</f>
        <v>142</v>
      </c>
    </row>
    <row r="1177" spans="1:15" s="22" customFormat="1">
      <c r="A1177" s="22">
        <v>961</v>
      </c>
      <c r="B1177" s="22" t="s">
        <v>1171</v>
      </c>
      <c r="C1177" s="22" t="s">
        <v>2443</v>
      </c>
      <c r="E1177" s="22">
        <v>1</v>
      </c>
      <c r="F1177" s="22">
        <v>91.5</v>
      </c>
      <c r="G1177" s="30">
        <f>IF(OR(M1177="",O1177="",M1177=0),"",(M1177-O1177)/M1177)</f>
        <v>0.22404371584699453</v>
      </c>
      <c r="H1177" s="22">
        <v>91.5</v>
      </c>
      <c r="I1177" s="22">
        <v>10637</v>
      </c>
      <c r="J1177" s="22">
        <v>15</v>
      </c>
      <c r="K1177" s="22">
        <v>60</v>
      </c>
      <c r="L1177" s="22">
        <v>18</v>
      </c>
      <c r="M1177" s="22">
        <f>_xlfn.CEILING.MATH(F1177*2)</f>
        <v>183</v>
      </c>
      <c r="N1177" s="22">
        <f>H1177*1.18</f>
        <v>107.97</v>
      </c>
      <c r="O1177" s="22">
        <f>_xlfn.CEILING.MATH(F1177*1.56)-1</f>
        <v>142</v>
      </c>
    </row>
    <row r="1178" spans="1:15" s="22" customFormat="1">
      <c r="A1178" s="22">
        <v>962</v>
      </c>
      <c r="B1178" s="22" t="s">
        <v>1172</v>
      </c>
      <c r="C1178" s="22" t="s">
        <v>2444</v>
      </c>
      <c r="E1178" s="22">
        <v>1</v>
      </c>
      <c r="F1178" s="22">
        <v>97.5</v>
      </c>
      <c r="G1178" s="30">
        <f>IF(OR(M1178="",O1178="",M1178=0),"",(M1178-O1178)/M1178)</f>
        <v>0.22051282051282051</v>
      </c>
      <c r="H1178" s="22">
        <v>97.5</v>
      </c>
      <c r="I1178" s="22">
        <v>1448</v>
      </c>
      <c r="J1178" s="22">
        <v>15</v>
      </c>
      <c r="K1178" s="22">
        <v>60</v>
      </c>
      <c r="L1178" s="22">
        <v>18</v>
      </c>
      <c r="M1178" s="22">
        <f>_xlfn.CEILING.MATH(F1178*2)</f>
        <v>195</v>
      </c>
      <c r="N1178" s="22">
        <f>H1178*1.18</f>
        <v>115.05</v>
      </c>
      <c r="O1178" s="22">
        <f>_xlfn.CEILING.MATH(F1178*1.56)-1</f>
        <v>152</v>
      </c>
    </row>
    <row r="1179" spans="1:15" s="22" customFormat="1">
      <c r="A1179" s="22">
        <v>963</v>
      </c>
      <c r="B1179" s="22" t="s">
        <v>1173</v>
      </c>
      <c r="C1179" s="22" t="s">
        <v>2445</v>
      </c>
      <c r="E1179" s="22">
        <v>1</v>
      </c>
      <c r="F1179" s="22">
        <v>97.5</v>
      </c>
      <c r="G1179" s="30">
        <f>IF(OR(M1179="",O1179="",M1179=0),"",(M1179-O1179)/M1179)</f>
        <v>0.22051282051282051</v>
      </c>
      <c r="H1179" s="22">
        <v>97.5</v>
      </c>
      <c r="I1179" s="22">
        <v>4136</v>
      </c>
      <c r="J1179" s="22">
        <v>15</v>
      </c>
      <c r="K1179" s="22">
        <v>60</v>
      </c>
      <c r="L1179" s="22">
        <v>18</v>
      </c>
      <c r="M1179" s="22">
        <f>_xlfn.CEILING.MATH(F1179*2)</f>
        <v>195</v>
      </c>
      <c r="N1179" s="22">
        <f>H1179*1.18</f>
        <v>115.05</v>
      </c>
      <c r="O1179" s="22">
        <f>_xlfn.CEILING.MATH(F1179*1.56)-1</f>
        <v>152</v>
      </c>
    </row>
    <row r="1180" spans="1:15" s="22" customFormat="1">
      <c r="A1180" s="22">
        <v>964</v>
      </c>
      <c r="B1180" s="22" t="s">
        <v>1174</v>
      </c>
      <c r="C1180" s="22" t="s">
        <v>2446</v>
      </c>
      <c r="E1180" s="22">
        <v>1</v>
      </c>
      <c r="F1180" s="22">
        <v>97.5</v>
      </c>
      <c r="G1180" s="30">
        <f>IF(OR(M1180="",O1180="",M1180=0),"",(M1180-O1180)/M1180)</f>
        <v>0.22051282051282051</v>
      </c>
      <c r="H1180" s="22">
        <v>97.5</v>
      </c>
      <c r="I1180" s="22">
        <v>807</v>
      </c>
      <c r="J1180" s="22">
        <v>15</v>
      </c>
      <c r="K1180" s="22">
        <v>60</v>
      </c>
      <c r="L1180" s="22">
        <v>18</v>
      </c>
      <c r="M1180" s="22">
        <f>_xlfn.CEILING.MATH(F1180*2)</f>
        <v>195</v>
      </c>
      <c r="N1180" s="22">
        <f>H1180*1.18</f>
        <v>115.05</v>
      </c>
      <c r="O1180" s="22">
        <f>_xlfn.CEILING.MATH(F1180*1.56)-1</f>
        <v>152</v>
      </c>
    </row>
    <row r="1181" spans="1:15" s="22" customFormat="1">
      <c r="A1181" s="22">
        <v>965</v>
      </c>
      <c r="B1181" s="22" t="s">
        <v>1175</v>
      </c>
      <c r="C1181" s="22" t="s">
        <v>2447</v>
      </c>
      <c r="E1181" s="22">
        <v>1</v>
      </c>
      <c r="F1181" s="22">
        <v>108</v>
      </c>
      <c r="G1181" s="30">
        <f>IF(OR(M1181="",O1181="",M1181=0),"",(M1181-O1181)/M1181)</f>
        <v>0.22222222222222221</v>
      </c>
      <c r="H1181" s="22">
        <v>108</v>
      </c>
      <c r="I1181" s="22">
        <v>1731</v>
      </c>
      <c r="J1181" s="22">
        <v>15</v>
      </c>
      <c r="K1181" s="22">
        <v>60</v>
      </c>
      <c r="L1181" s="22">
        <v>18</v>
      </c>
      <c r="M1181" s="22">
        <f>_xlfn.CEILING.MATH(F1181*2)</f>
        <v>216</v>
      </c>
      <c r="N1181" s="22">
        <f>H1181*1.18</f>
        <v>127.44</v>
      </c>
      <c r="O1181" s="22">
        <f>_xlfn.CEILING.MATH(F1181*1.56)-1</f>
        <v>168</v>
      </c>
    </row>
    <row r="1182" spans="1:15" s="22" customFormat="1">
      <c r="A1182" s="22">
        <v>966</v>
      </c>
      <c r="B1182" s="22" t="s">
        <v>1176</v>
      </c>
      <c r="C1182" s="22" t="s">
        <v>2448</v>
      </c>
      <c r="E1182" s="22">
        <v>1</v>
      </c>
      <c r="F1182" s="22">
        <v>112.5</v>
      </c>
      <c r="G1182" s="30">
        <f>IF(OR(M1182="",O1182="",M1182=0),"",(M1182-O1182)/M1182)</f>
        <v>0.22222222222222221</v>
      </c>
      <c r="H1182" s="22">
        <v>112.5</v>
      </c>
      <c r="I1182" s="22">
        <v>712</v>
      </c>
      <c r="J1182" s="22">
        <v>15</v>
      </c>
      <c r="K1182" s="22">
        <v>60</v>
      </c>
      <c r="L1182" s="22">
        <v>18</v>
      </c>
      <c r="M1182" s="22">
        <f>_xlfn.CEILING.MATH(F1182*2)</f>
        <v>225</v>
      </c>
      <c r="N1182" s="22">
        <f>H1182*1.18</f>
        <v>132.75</v>
      </c>
      <c r="O1182" s="22">
        <f>_xlfn.CEILING.MATH(F1182*1.56)-1</f>
        <v>175</v>
      </c>
    </row>
    <row r="1183" spans="1:15" s="22" customFormat="1">
      <c r="A1183" s="22">
        <v>967</v>
      </c>
      <c r="B1183" s="22" t="s">
        <v>1177</v>
      </c>
      <c r="C1183" s="22" t="s">
        <v>2449</v>
      </c>
      <c r="E1183" s="22">
        <v>1</v>
      </c>
      <c r="F1183" s="22">
        <v>123</v>
      </c>
      <c r="G1183" s="30">
        <f>IF(OR(M1183="",O1183="",M1183=0),"",(M1183-O1183)/M1183)</f>
        <v>0.22357723577235772</v>
      </c>
      <c r="H1183" s="22">
        <v>123</v>
      </c>
      <c r="I1183" s="22">
        <v>1380</v>
      </c>
      <c r="J1183" s="22">
        <v>15</v>
      </c>
      <c r="K1183" s="22">
        <v>60</v>
      </c>
      <c r="L1183" s="22">
        <v>18</v>
      </c>
      <c r="M1183" s="22">
        <f>_xlfn.CEILING.MATH(F1183*2)</f>
        <v>246</v>
      </c>
      <c r="N1183" s="22">
        <f>H1183*1.18</f>
        <v>145.13999999999999</v>
      </c>
      <c r="O1183" s="22">
        <f>_xlfn.CEILING.MATH(F1183*1.56)-1</f>
        <v>191</v>
      </c>
    </row>
    <row r="1184" spans="1:15" s="22" customFormat="1">
      <c r="A1184" s="22">
        <v>968</v>
      </c>
      <c r="B1184" s="22" t="s">
        <v>1178</v>
      </c>
      <c r="C1184" s="22" t="s">
        <v>2450</v>
      </c>
      <c r="E1184" s="22">
        <v>1</v>
      </c>
      <c r="F1184" s="22">
        <v>123</v>
      </c>
      <c r="G1184" s="30">
        <f>IF(OR(M1184="",O1184="",M1184=0),"",(M1184-O1184)/M1184)</f>
        <v>0.22357723577235772</v>
      </c>
      <c r="H1184" s="22">
        <v>123</v>
      </c>
      <c r="I1184" s="22">
        <v>1213</v>
      </c>
      <c r="J1184" s="22">
        <v>15</v>
      </c>
      <c r="K1184" s="22">
        <v>60</v>
      </c>
      <c r="L1184" s="22">
        <v>18</v>
      </c>
      <c r="M1184" s="22">
        <f>_xlfn.CEILING.MATH(F1184*2)</f>
        <v>246</v>
      </c>
      <c r="N1184" s="22">
        <f>H1184*1.18</f>
        <v>145.13999999999999</v>
      </c>
      <c r="O1184" s="22">
        <f>_xlfn.CEILING.MATH(F1184*1.56)-1</f>
        <v>191</v>
      </c>
    </row>
    <row r="1185" spans="1:15" s="22" customFormat="1">
      <c r="A1185" s="22">
        <v>969</v>
      </c>
      <c r="B1185" s="22" t="s">
        <v>1179</v>
      </c>
      <c r="C1185" s="22" t="s">
        <v>2451</v>
      </c>
      <c r="E1185" s="22">
        <v>1</v>
      </c>
      <c r="F1185" s="22">
        <v>27</v>
      </c>
      <c r="G1185" s="30">
        <f>IF(OR(M1185="",O1185="",M1185=0),"",(M1185-O1185)/M1185)</f>
        <v>0.22222222222222221</v>
      </c>
      <c r="H1185" s="22">
        <v>27</v>
      </c>
      <c r="I1185" s="22">
        <v>153</v>
      </c>
      <c r="J1185" s="22">
        <v>10</v>
      </c>
      <c r="K1185" s="22">
        <v>50</v>
      </c>
      <c r="L1185" s="22">
        <v>18</v>
      </c>
      <c r="M1185" s="22">
        <f>_xlfn.CEILING.MATH(F1185*2)</f>
        <v>54</v>
      </c>
      <c r="N1185" s="22">
        <f>H1185*1.18</f>
        <v>31.86</v>
      </c>
      <c r="O1185" s="22">
        <f>_xlfn.CEILING.MATH(F1185*1.56)-1</f>
        <v>42</v>
      </c>
    </row>
    <row r="1186" spans="1:15" s="22" customFormat="1">
      <c r="A1186" s="22">
        <v>970</v>
      </c>
      <c r="B1186" s="22" t="s">
        <v>1180</v>
      </c>
      <c r="C1186" s="22" t="s">
        <v>2452</v>
      </c>
      <c r="E1186" s="22">
        <v>1</v>
      </c>
      <c r="F1186" s="22">
        <v>36</v>
      </c>
      <c r="G1186" s="30">
        <f>IF(OR(M1186="",O1186="",M1186=0),"",(M1186-O1186)/M1186)</f>
        <v>0.22222222222222221</v>
      </c>
      <c r="H1186" s="22">
        <v>36</v>
      </c>
      <c r="I1186" s="22">
        <v>163</v>
      </c>
      <c r="J1186" s="22">
        <v>10</v>
      </c>
      <c r="K1186" s="22">
        <v>50</v>
      </c>
      <c r="L1186" s="22">
        <v>18</v>
      </c>
      <c r="M1186" s="22">
        <f>_xlfn.CEILING.MATH(F1186*2)</f>
        <v>72</v>
      </c>
      <c r="N1186" s="22">
        <f>H1186*1.18</f>
        <v>42.48</v>
      </c>
      <c r="O1186" s="22">
        <f>_xlfn.CEILING.MATH(F1186*1.56)-1</f>
        <v>56</v>
      </c>
    </row>
    <row r="1187" spans="1:15" s="22" customFormat="1">
      <c r="A1187" s="22">
        <v>971</v>
      </c>
      <c r="B1187" s="22" t="s">
        <v>1181</v>
      </c>
      <c r="C1187" s="22" t="s">
        <v>2453</v>
      </c>
      <c r="E1187" s="22">
        <v>1</v>
      </c>
      <c r="F1187" s="22">
        <v>52.5</v>
      </c>
      <c r="G1187" s="30">
        <f>IF(OR(M1187="",O1187="",M1187=0),"",(M1187-O1187)/M1187)</f>
        <v>0.22857142857142856</v>
      </c>
      <c r="H1187" s="22">
        <v>52.5</v>
      </c>
      <c r="I1187" s="22">
        <v>0</v>
      </c>
      <c r="J1187" s="22">
        <v>10</v>
      </c>
      <c r="K1187" s="22">
        <v>50</v>
      </c>
      <c r="L1187" s="22">
        <v>18</v>
      </c>
      <c r="M1187" s="22">
        <f>_xlfn.CEILING.MATH(F1187*2)</f>
        <v>105</v>
      </c>
      <c r="N1187" s="22">
        <f>H1187*1.18</f>
        <v>61.949999999999996</v>
      </c>
      <c r="O1187" s="22">
        <f>_xlfn.CEILING.MATH(F1187*1.56)-1</f>
        <v>81</v>
      </c>
    </row>
    <row r="1188" spans="1:15" s="22" customFormat="1">
      <c r="A1188" s="22">
        <v>972</v>
      </c>
      <c r="B1188" s="22" t="s">
        <v>1182</v>
      </c>
      <c r="C1188" s="22" t="s">
        <v>2454</v>
      </c>
      <c r="E1188" s="22">
        <v>1</v>
      </c>
      <c r="F1188" s="22">
        <v>845</v>
      </c>
      <c r="G1188" s="30">
        <f>IF(OR(M1188="",O1188="",M1188=0),"",(M1188-O1188)/M1188)</f>
        <v>0.22011834319526627</v>
      </c>
      <c r="H1188" s="22">
        <v>845</v>
      </c>
      <c r="I1188" s="22">
        <v>426</v>
      </c>
      <c r="J1188" s="22">
        <v>1</v>
      </c>
      <c r="K1188" s="22">
        <v>4</v>
      </c>
      <c r="L1188" s="22">
        <v>18</v>
      </c>
      <c r="M1188" s="22">
        <f>_xlfn.CEILING.MATH(F1188*2)</f>
        <v>1690</v>
      </c>
      <c r="N1188" s="22">
        <f>H1188*1.18</f>
        <v>997.09999999999991</v>
      </c>
      <c r="O1188" s="22">
        <f>_xlfn.CEILING.MATH(F1188*1.56)-1</f>
        <v>1318</v>
      </c>
    </row>
    <row r="1189" spans="1:15" s="22" customFormat="1">
      <c r="A1189" s="22">
        <v>973</v>
      </c>
      <c r="B1189" s="22" t="s">
        <v>1183</v>
      </c>
      <c r="C1189" s="22" t="s">
        <v>2455</v>
      </c>
      <c r="E1189" s="22">
        <v>1</v>
      </c>
      <c r="F1189" s="22">
        <v>1020</v>
      </c>
      <c r="G1189" s="30">
        <f>IF(OR(M1189="",O1189="",M1189=0),"",(M1189-O1189)/M1189)</f>
        <v>0.22009803921568627</v>
      </c>
      <c r="H1189" s="22">
        <v>1020</v>
      </c>
      <c r="I1189" s="22">
        <v>307</v>
      </c>
      <c r="J1189" s="22">
        <v>1</v>
      </c>
      <c r="K1189" s="22">
        <v>4</v>
      </c>
      <c r="L1189" s="22">
        <v>18</v>
      </c>
      <c r="M1189" s="22">
        <f>_xlfn.CEILING.MATH(F1189*2)</f>
        <v>2040</v>
      </c>
      <c r="N1189" s="22">
        <f>H1189*1.18</f>
        <v>1203.5999999999999</v>
      </c>
      <c r="O1189" s="22">
        <f>_xlfn.CEILING.MATH(F1189*1.56)-1</f>
        <v>1591</v>
      </c>
    </row>
    <row r="1190" spans="1:15" s="22" customFormat="1">
      <c r="A1190" s="22">
        <v>974</v>
      </c>
      <c r="B1190" s="22" t="s">
        <v>1184</v>
      </c>
      <c r="C1190" s="22" t="s">
        <v>2456</v>
      </c>
      <c r="E1190" s="22">
        <v>1</v>
      </c>
      <c r="F1190" s="22">
        <v>22800</v>
      </c>
      <c r="G1190" s="30">
        <f>IF(OR(M1190="",O1190="",M1190=0),"",(M1190-O1190)/M1190)</f>
        <v>0.2200219298245614</v>
      </c>
      <c r="H1190" s="22">
        <v>22800</v>
      </c>
      <c r="I1190" s="22">
        <v>16</v>
      </c>
      <c r="J1190" s="22">
        <v>1</v>
      </c>
      <c r="K1190" s="22">
        <v>1</v>
      </c>
      <c r="L1190" s="22">
        <v>18</v>
      </c>
      <c r="M1190" s="22">
        <f>_xlfn.CEILING.MATH(F1190*2)</f>
        <v>45600</v>
      </c>
      <c r="N1190" s="22">
        <f>H1190*1.18</f>
        <v>26904</v>
      </c>
      <c r="O1190" s="22">
        <f>_xlfn.CEILING.MATH(F1190*1.56)-1</f>
        <v>35567</v>
      </c>
    </row>
    <row r="1191" spans="1:15" s="22" customFormat="1">
      <c r="A1191" s="22">
        <v>975</v>
      </c>
      <c r="B1191" s="22" t="s">
        <v>1185</v>
      </c>
      <c r="C1191" s="22" t="s">
        <v>2457</v>
      </c>
      <c r="E1191" s="22">
        <v>1</v>
      </c>
      <c r="F1191" s="22">
        <v>180</v>
      </c>
      <c r="G1191" s="30">
        <f>IF(OR(M1191="",O1191="",M1191=0),"",(M1191-O1191)/M1191)</f>
        <v>0.22222222222222221</v>
      </c>
      <c r="H1191" s="22">
        <v>180</v>
      </c>
      <c r="I1191" s="22">
        <v>0</v>
      </c>
      <c r="J1191" s="22">
        <v>1</v>
      </c>
      <c r="K1191" s="22">
        <v>20</v>
      </c>
      <c r="L1191" s="22">
        <v>18</v>
      </c>
      <c r="M1191" s="22">
        <f>_xlfn.CEILING.MATH(F1191*2)</f>
        <v>360</v>
      </c>
      <c r="N1191" s="22">
        <f>H1191*1.18</f>
        <v>212.39999999999998</v>
      </c>
      <c r="O1191" s="22">
        <f>_xlfn.CEILING.MATH(F1191*1.56)-1</f>
        <v>280</v>
      </c>
    </row>
    <row r="1192" spans="1:15" s="22" customFormat="1">
      <c r="A1192" s="22">
        <v>976</v>
      </c>
      <c r="B1192" s="22" t="s">
        <v>1186</v>
      </c>
      <c r="C1192" s="22" t="s">
        <v>2458</v>
      </c>
      <c r="E1192" s="22">
        <v>1</v>
      </c>
      <c r="F1192" s="22">
        <v>313.5</v>
      </c>
      <c r="G1192" s="30">
        <f>IF(OR(M1192="",O1192="",M1192=0),"",(M1192-O1192)/M1192)</f>
        <v>0.22009569377990432</v>
      </c>
      <c r="H1192" s="22">
        <v>313.5</v>
      </c>
      <c r="I1192" s="22">
        <v>69</v>
      </c>
      <c r="J1192" s="22">
        <v>1</v>
      </c>
      <c r="K1192" s="22">
        <v>15</v>
      </c>
      <c r="L1192" s="22">
        <v>18</v>
      </c>
      <c r="M1192" s="22">
        <f>_xlfn.CEILING.MATH(F1192*2)</f>
        <v>627</v>
      </c>
      <c r="N1192" s="22">
        <f>H1192*1.18</f>
        <v>369.93</v>
      </c>
      <c r="O1192" s="22">
        <f>_xlfn.CEILING.MATH(F1192*1.56)-1</f>
        <v>489</v>
      </c>
    </row>
    <row r="1193" spans="1:15" s="22" customFormat="1">
      <c r="A1193" s="22">
        <v>977</v>
      </c>
      <c r="B1193" s="22" t="s">
        <v>1187</v>
      </c>
      <c r="C1193" s="22" t="s">
        <v>2459</v>
      </c>
      <c r="E1193" s="22">
        <v>1</v>
      </c>
      <c r="F1193" s="22">
        <v>648</v>
      </c>
      <c r="G1193" s="30">
        <f>IF(OR(M1193="",O1193="",M1193=0),"",(M1193-O1193)/M1193)</f>
        <v>0.22067901234567902</v>
      </c>
      <c r="H1193" s="22">
        <v>648</v>
      </c>
      <c r="I1193" s="22">
        <v>51</v>
      </c>
      <c r="J1193" s="22">
        <v>1</v>
      </c>
      <c r="K1193" s="22">
        <v>4</v>
      </c>
      <c r="L1193" s="22">
        <v>18</v>
      </c>
      <c r="M1193" s="22">
        <f>_xlfn.CEILING.MATH(F1193*2)</f>
        <v>1296</v>
      </c>
      <c r="N1193" s="22">
        <f>H1193*1.18</f>
        <v>764.64</v>
      </c>
      <c r="O1193" s="22">
        <f>_xlfn.CEILING.MATH(F1193*1.56)-1</f>
        <v>1010</v>
      </c>
    </row>
    <row r="1194" spans="1:15" s="22" customFormat="1">
      <c r="A1194" s="22">
        <v>978</v>
      </c>
      <c r="B1194" s="22" t="s">
        <v>1188</v>
      </c>
      <c r="C1194" s="22" t="s">
        <v>2460</v>
      </c>
      <c r="E1194" s="22">
        <v>1</v>
      </c>
      <c r="F1194" s="22">
        <v>21</v>
      </c>
      <c r="G1194" s="30">
        <f>IF(OR(M1194="",O1194="",M1194=0),"",(M1194-O1194)/M1194)</f>
        <v>0.23809523809523808</v>
      </c>
      <c r="H1194" s="22">
        <v>21</v>
      </c>
      <c r="I1194" s="22">
        <v>556</v>
      </c>
      <c r="J1194" s="22">
        <v>10</v>
      </c>
      <c r="K1194" s="22">
        <v>250</v>
      </c>
      <c r="L1194" s="22">
        <v>18</v>
      </c>
      <c r="M1194" s="22">
        <f>_xlfn.CEILING.MATH(F1194*2)</f>
        <v>42</v>
      </c>
      <c r="N1194" s="22">
        <f>H1194*1.18</f>
        <v>24.779999999999998</v>
      </c>
      <c r="O1194" s="22">
        <f>_xlfn.CEILING.MATH(F1194*1.56)-1</f>
        <v>32</v>
      </c>
    </row>
    <row r="1195" spans="1:15" s="22" customFormat="1">
      <c r="A1195" s="22">
        <v>979</v>
      </c>
      <c r="B1195" s="22" t="s">
        <v>1189</v>
      </c>
      <c r="C1195" s="22" t="s">
        <v>2461</v>
      </c>
      <c r="E1195" s="22">
        <v>1</v>
      </c>
      <c r="F1195" s="22">
        <v>22.5</v>
      </c>
      <c r="G1195" s="30">
        <f>IF(OR(M1195="",O1195="",M1195=0),"",(M1195-O1195)/M1195)</f>
        <v>0.22222222222222221</v>
      </c>
      <c r="H1195" s="22">
        <v>22.5</v>
      </c>
      <c r="I1195" s="22">
        <v>258</v>
      </c>
      <c r="J1195" s="22">
        <v>10</v>
      </c>
      <c r="K1195" s="22">
        <v>250</v>
      </c>
      <c r="L1195" s="22">
        <v>18</v>
      </c>
      <c r="M1195" s="22">
        <f>_xlfn.CEILING.MATH(F1195*2)</f>
        <v>45</v>
      </c>
      <c r="N1195" s="22">
        <f>H1195*1.18</f>
        <v>26.549999999999997</v>
      </c>
      <c r="O1195" s="22">
        <f>_xlfn.CEILING.MATH(F1195*1.56)-1</f>
        <v>35</v>
      </c>
    </row>
    <row r="1196" spans="1:15" s="22" customFormat="1">
      <c r="A1196" s="22">
        <v>980</v>
      </c>
      <c r="B1196" s="22" t="s">
        <v>1190</v>
      </c>
      <c r="C1196" s="22" t="s">
        <v>2462</v>
      </c>
      <c r="E1196" s="22">
        <v>1</v>
      </c>
      <c r="F1196" s="22">
        <v>27</v>
      </c>
      <c r="G1196" s="30">
        <f>IF(OR(M1196="",O1196="",M1196=0),"",(M1196-O1196)/M1196)</f>
        <v>0.22222222222222221</v>
      </c>
      <c r="H1196" s="22">
        <v>27</v>
      </c>
      <c r="I1196" s="22">
        <v>879</v>
      </c>
      <c r="J1196" s="22">
        <v>10</v>
      </c>
      <c r="K1196" s="22">
        <v>150</v>
      </c>
      <c r="L1196" s="22">
        <v>18</v>
      </c>
      <c r="M1196" s="22">
        <f>_xlfn.CEILING.MATH(F1196*2)</f>
        <v>54</v>
      </c>
      <c r="N1196" s="22">
        <f>H1196*1.18</f>
        <v>31.86</v>
      </c>
      <c r="O1196" s="22">
        <f>_xlfn.CEILING.MATH(F1196*1.56)-1</f>
        <v>42</v>
      </c>
    </row>
    <row r="1197" spans="1:15" s="22" customFormat="1">
      <c r="A1197" s="22">
        <v>981</v>
      </c>
      <c r="B1197" s="22" t="s">
        <v>1191</v>
      </c>
      <c r="C1197" s="22" t="s">
        <v>2463</v>
      </c>
      <c r="E1197" s="22">
        <v>1</v>
      </c>
      <c r="F1197" s="22">
        <v>30</v>
      </c>
      <c r="G1197" s="30">
        <f>IF(OR(M1197="",O1197="",M1197=0),"",(M1197-O1197)/M1197)</f>
        <v>0.23333333333333334</v>
      </c>
      <c r="H1197" s="22">
        <v>30</v>
      </c>
      <c r="I1197" s="22">
        <v>1072</v>
      </c>
      <c r="J1197" s="22">
        <v>10</v>
      </c>
      <c r="K1197" s="22">
        <v>150</v>
      </c>
      <c r="L1197" s="22">
        <v>18</v>
      </c>
      <c r="M1197" s="22">
        <f>_xlfn.CEILING.MATH(F1197*2)</f>
        <v>60</v>
      </c>
      <c r="N1197" s="22">
        <f>H1197*1.18</f>
        <v>35.4</v>
      </c>
      <c r="O1197" s="22">
        <f>_xlfn.CEILING.MATH(F1197*1.56)-1</f>
        <v>46</v>
      </c>
    </row>
    <row r="1198" spans="1:15" s="22" customFormat="1">
      <c r="A1198" s="22">
        <v>982</v>
      </c>
      <c r="B1198" s="22" t="s">
        <v>1192</v>
      </c>
      <c r="C1198" s="22" t="s">
        <v>2464</v>
      </c>
      <c r="E1198" s="22">
        <v>1</v>
      </c>
      <c r="F1198" s="22">
        <v>34.5</v>
      </c>
      <c r="G1198" s="30">
        <f>IF(OR(M1198="",O1198="",M1198=0),"",(M1198-O1198)/M1198)</f>
        <v>0.2318840579710145</v>
      </c>
      <c r="H1198" s="22">
        <v>34.5</v>
      </c>
      <c r="I1198" s="22">
        <v>712</v>
      </c>
      <c r="J1198" s="22">
        <v>10</v>
      </c>
      <c r="K1198" s="22">
        <v>100</v>
      </c>
      <c r="L1198" s="22">
        <v>18</v>
      </c>
      <c r="M1198" s="22">
        <f>_xlfn.CEILING.MATH(F1198*2)</f>
        <v>69</v>
      </c>
      <c r="N1198" s="22">
        <f>H1198*1.18</f>
        <v>40.71</v>
      </c>
      <c r="O1198" s="22">
        <f>_xlfn.CEILING.MATH(F1198*1.56)-1</f>
        <v>53</v>
      </c>
    </row>
    <row r="1199" spans="1:15" s="22" customFormat="1">
      <c r="A1199" s="22">
        <v>983</v>
      </c>
      <c r="B1199" s="22" t="s">
        <v>1193</v>
      </c>
      <c r="C1199" s="22" t="s">
        <v>2465</v>
      </c>
      <c r="E1199" s="22">
        <v>1</v>
      </c>
      <c r="F1199" s="22">
        <v>39</v>
      </c>
      <c r="G1199" s="30">
        <f>IF(OR(M1199="",O1199="",M1199=0),"",(M1199-O1199)/M1199)</f>
        <v>0.23076923076923078</v>
      </c>
      <c r="H1199" s="22">
        <v>39</v>
      </c>
      <c r="I1199" s="22">
        <v>380</v>
      </c>
      <c r="J1199" s="22">
        <v>10</v>
      </c>
      <c r="K1199" s="22">
        <v>100</v>
      </c>
      <c r="L1199" s="22">
        <v>18</v>
      </c>
      <c r="M1199" s="22">
        <f>_xlfn.CEILING.MATH(F1199*2)</f>
        <v>78</v>
      </c>
      <c r="N1199" s="22">
        <f>H1199*1.18</f>
        <v>46.019999999999996</v>
      </c>
      <c r="O1199" s="22">
        <f>_xlfn.CEILING.MATH(F1199*1.56)-1</f>
        <v>60</v>
      </c>
    </row>
    <row r="1200" spans="1:15" s="22" customFormat="1">
      <c r="A1200" s="22">
        <v>984</v>
      </c>
      <c r="B1200" s="22" t="s">
        <v>1194</v>
      </c>
      <c r="C1200" s="22" t="s">
        <v>2466</v>
      </c>
      <c r="E1200" s="22">
        <v>1</v>
      </c>
      <c r="F1200" s="22">
        <v>47</v>
      </c>
      <c r="G1200" s="30">
        <f>IF(OR(M1200="",O1200="",M1200=0),"",(M1200-O1200)/M1200)</f>
        <v>0.22340425531914893</v>
      </c>
      <c r="H1200" s="22">
        <v>47</v>
      </c>
      <c r="I1200" s="22">
        <v>1115</v>
      </c>
      <c r="J1200" s="22">
        <v>10</v>
      </c>
      <c r="K1200" s="22">
        <v>80</v>
      </c>
      <c r="L1200" s="22">
        <v>18</v>
      </c>
      <c r="M1200" s="22">
        <f>_xlfn.CEILING.MATH(F1200*2)</f>
        <v>94</v>
      </c>
      <c r="N1200" s="22">
        <f>H1200*1.18</f>
        <v>55.459999999999994</v>
      </c>
      <c r="O1200" s="22">
        <f>_xlfn.CEILING.MATH(F1200*1.56)-1</f>
        <v>73</v>
      </c>
    </row>
    <row r="1201" spans="1:15" s="22" customFormat="1">
      <c r="A1201" s="22">
        <v>985</v>
      </c>
      <c r="B1201" s="22" t="s">
        <v>1195</v>
      </c>
      <c r="C1201" s="22" t="s">
        <v>2467</v>
      </c>
      <c r="E1201" s="22">
        <v>1</v>
      </c>
      <c r="F1201" s="22">
        <v>58.5</v>
      </c>
      <c r="G1201" s="30">
        <f>IF(OR(M1201="",O1201="",M1201=0),"",(M1201-O1201)/M1201)</f>
        <v>0.22222222222222221</v>
      </c>
      <c r="H1201" s="22">
        <v>58.5</v>
      </c>
      <c r="I1201" s="22">
        <v>18</v>
      </c>
      <c r="J1201" s="22">
        <v>10</v>
      </c>
      <c r="K1201" s="22">
        <v>80</v>
      </c>
      <c r="L1201" s="22">
        <v>18</v>
      </c>
      <c r="M1201" s="22">
        <f>_xlfn.CEILING.MATH(F1201*2)</f>
        <v>117</v>
      </c>
      <c r="N1201" s="22">
        <f>H1201*1.18</f>
        <v>69.03</v>
      </c>
      <c r="O1201" s="22">
        <f>_xlfn.CEILING.MATH(F1201*1.56)-1</f>
        <v>91</v>
      </c>
    </row>
    <row r="1202" spans="1:15" s="22" customFormat="1">
      <c r="A1202" s="22">
        <v>986</v>
      </c>
      <c r="B1202" s="22" t="s">
        <v>1196</v>
      </c>
      <c r="C1202" s="22" t="s">
        <v>2468</v>
      </c>
      <c r="E1202" s="22">
        <v>1</v>
      </c>
      <c r="F1202" s="22">
        <v>63</v>
      </c>
      <c r="G1202" s="30">
        <f>IF(OR(M1202="",O1202="",M1202=0),"",(M1202-O1202)/M1202)</f>
        <v>0.22222222222222221</v>
      </c>
      <c r="H1202" s="22">
        <v>63</v>
      </c>
      <c r="I1202" s="22">
        <v>526</v>
      </c>
      <c r="J1202" s="22">
        <v>5</v>
      </c>
      <c r="K1202" s="22">
        <v>30</v>
      </c>
      <c r="L1202" s="22">
        <v>18</v>
      </c>
      <c r="M1202" s="22">
        <f>_xlfn.CEILING.MATH(F1202*2)</f>
        <v>126</v>
      </c>
      <c r="N1202" s="22">
        <f>H1202*1.18</f>
        <v>74.339999999999989</v>
      </c>
      <c r="O1202" s="22">
        <f>_xlfn.CEILING.MATH(F1202*1.56)-1</f>
        <v>98</v>
      </c>
    </row>
    <row r="1203" spans="1:15" s="22" customFormat="1">
      <c r="A1203" s="22">
        <v>987</v>
      </c>
      <c r="B1203" s="22" t="s">
        <v>1197</v>
      </c>
      <c r="C1203" s="22" t="s">
        <v>2469</v>
      </c>
      <c r="E1203" s="22">
        <v>1</v>
      </c>
      <c r="F1203" s="22">
        <v>82.5</v>
      </c>
      <c r="G1203" s="30">
        <f>IF(OR(M1203="",O1203="",M1203=0),"",(M1203-O1203)/M1203)</f>
        <v>0.22424242424242424</v>
      </c>
      <c r="H1203" s="22">
        <v>82.5</v>
      </c>
      <c r="I1203" s="22">
        <v>5</v>
      </c>
      <c r="J1203" s="22">
        <v>5</v>
      </c>
      <c r="K1203" s="22">
        <v>30</v>
      </c>
      <c r="L1203" s="22">
        <v>18</v>
      </c>
      <c r="M1203" s="22">
        <f>_xlfn.CEILING.MATH(F1203*2)</f>
        <v>165</v>
      </c>
      <c r="N1203" s="22">
        <f>H1203*1.18</f>
        <v>97.35</v>
      </c>
      <c r="O1203" s="22">
        <f>_xlfn.CEILING.MATH(F1203*1.56)-1</f>
        <v>128</v>
      </c>
    </row>
    <row r="1204" spans="1:15" s="22" customFormat="1">
      <c r="A1204" s="22">
        <v>988</v>
      </c>
      <c r="B1204" s="22" t="s">
        <v>1198</v>
      </c>
      <c r="C1204" s="22" t="s">
        <v>2470</v>
      </c>
      <c r="E1204" s="22">
        <v>1</v>
      </c>
      <c r="F1204" s="22">
        <v>88.5</v>
      </c>
      <c r="G1204" s="30">
        <f>IF(OR(M1204="",O1204="",M1204=0),"",(M1204-O1204)/M1204)</f>
        <v>0.22033898305084745</v>
      </c>
      <c r="H1204" s="22">
        <v>88.5</v>
      </c>
      <c r="I1204" s="22">
        <v>473</v>
      </c>
      <c r="J1204" s="22">
        <v>5</v>
      </c>
      <c r="K1204" s="22">
        <v>30</v>
      </c>
      <c r="L1204" s="22">
        <v>18</v>
      </c>
      <c r="M1204" s="22">
        <f>_xlfn.CEILING.MATH(F1204*2)</f>
        <v>177</v>
      </c>
      <c r="N1204" s="22">
        <f>H1204*1.18</f>
        <v>104.42999999999999</v>
      </c>
      <c r="O1204" s="22">
        <f>_xlfn.CEILING.MATH(F1204*1.56)-1</f>
        <v>138</v>
      </c>
    </row>
    <row r="1205" spans="1:15" s="22" customFormat="1">
      <c r="A1205" s="22">
        <v>989</v>
      </c>
      <c r="B1205" s="22" t="s">
        <v>1199</v>
      </c>
      <c r="C1205" s="22" t="s">
        <v>2471</v>
      </c>
      <c r="E1205" s="22">
        <v>1</v>
      </c>
      <c r="F1205" s="22">
        <v>88.5</v>
      </c>
      <c r="G1205" s="22">
        <f>IF(OR(M1205="",O1205="",M1205=0),"",(M1205-O1205)/M1205)</f>
        <v>0.22033898305084745</v>
      </c>
      <c r="H1205" s="22">
        <v>88.5</v>
      </c>
      <c r="I1205" s="22">
        <v>7</v>
      </c>
      <c r="J1205" s="22">
        <v>5</v>
      </c>
      <c r="K1205" s="22">
        <v>30</v>
      </c>
      <c r="L1205" s="22">
        <v>18</v>
      </c>
      <c r="M1205" s="22">
        <f>_xlfn.CEILING.MATH(F1205*2)</f>
        <v>177</v>
      </c>
      <c r="N1205" s="22">
        <f>H1205*1.18</f>
        <v>104.42999999999999</v>
      </c>
      <c r="O1205" s="22">
        <f>_xlfn.CEILING.MATH(F1205*1.56)-1</f>
        <v>138</v>
      </c>
    </row>
    <row r="1206" spans="1:15" s="22" customFormat="1">
      <c r="A1206" s="22">
        <v>990</v>
      </c>
      <c r="B1206" s="22" t="s">
        <v>1200</v>
      </c>
      <c r="C1206" s="22" t="s">
        <v>2472</v>
      </c>
      <c r="E1206" s="22">
        <v>1</v>
      </c>
      <c r="F1206" s="22">
        <v>99</v>
      </c>
      <c r="G1206" s="22">
        <f>IF(OR(M1206="",O1206="",M1206=0),"",(M1206-O1206)/M1206)</f>
        <v>0.22222222222222221</v>
      </c>
      <c r="H1206" s="22">
        <v>99</v>
      </c>
      <c r="I1206" s="22">
        <v>452</v>
      </c>
      <c r="J1206" s="22">
        <v>5</v>
      </c>
      <c r="K1206" s="22">
        <v>30</v>
      </c>
      <c r="L1206" s="22">
        <v>18</v>
      </c>
      <c r="M1206" s="22">
        <f>_xlfn.CEILING.MATH(F1206*2)</f>
        <v>198</v>
      </c>
      <c r="N1206" s="22">
        <f>H1206*1.18</f>
        <v>116.82</v>
      </c>
      <c r="O1206" s="22">
        <f>_xlfn.CEILING.MATH(F1206*1.56)-1</f>
        <v>154</v>
      </c>
    </row>
    <row r="1207" spans="1:15" s="22" customFormat="1">
      <c r="A1207" s="22">
        <v>991</v>
      </c>
      <c r="B1207" s="22" t="s">
        <v>1201</v>
      </c>
      <c r="C1207" s="22" t="s">
        <v>2473</v>
      </c>
      <c r="E1207" s="22">
        <v>1</v>
      </c>
      <c r="F1207" s="22">
        <v>118.5</v>
      </c>
      <c r="G1207" s="22">
        <f>IF(OR(M1207="",O1207="",M1207=0),"",(M1207-O1207)/M1207)</f>
        <v>0.22362869198312235</v>
      </c>
      <c r="H1207" s="22">
        <v>118.5</v>
      </c>
      <c r="I1207" s="22">
        <v>179</v>
      </c>
      <c r="J1207" s="22">
        <v>5</v>
      </c>
      <c r="K1207" s="22">
        <v>30</v>
      </c>
      <c r="L1207" s="22">
        <v>18</v>
      </c>
      <c r="M1207" s="22">
        <f>_xlfn.CEILING.MATH(F1207*2)</f>
        <v>237</v>
      </c>
      <c r="N1207" s="22">
        <f>H1207*1.18</f>
        <v>139.82999999999998</v>
      </c>
      <c r="O1207" s="22">
        <f>_xlfn.CEILING.MATH(F1207*1.56)-1</f>
        <v>184</v>
      </c>
    </row>
    <row r="1208" spans="1:15" s="22" customFormat="1">
      <c r="A1208" s="22">
        <v>992</v>
      </c>
      <c r="B1208" s="22" t="s">
        <v>1202</v>
      </c>
      <c r="C1208" s="22" t="s">
        <v>2474</v>
      </c>
      <c r="E1208" s="22">
        <v>1</v>
      </c>
      <c r="F1208" s="22">
        <v>118.5</v>
      </c>
      <c r="G1208" s="22">
        <f>IF(OR(M1208="",O1208="",M1208=0),"",(M1208-O1208)/M1208)</f>
        <v>0.22362869198312235</v>
      </c>
      <c r="H1208" s="22">
        <v>118.5</v>
      </c>
      <c r="I1208" s="22">
        <v>271</v>
      </c>
      <c r="J1208" s="22">
        <v>5</v>
      </c>
      <c r="K1208" s="22">
        <v>30</v>
      </c>
      <c r="L1208" s="22">
        <v>18</v>
      </c>
      <c r="M1208" s="22">
        <f>_xlfn.CEILING.MATH(F1208*2)</f>
        <v>237</v>
      </c>
      <c r="N1208" s="22">
        <f>H1208*1.18</f>
        <v>139.82999999999998</v>
      </c>
      <c r="O1208" s="22">
        <f>_xlfn.CEILING.MATH(F1208*1.56)-1</f>
        <v>184</v>
      </c>
    </row>
    <row r="1209" spans="1:15" s="22" customFormat="1">
      <c r="A1209" s="22">
        <v>993</v>
      </c>
      <c r="B1209" s="22" t="s">
        <v>1203</v>
      </c>
      <c r="C1209" s="22" t="s">
        <v>2475</v>
      </c>
      <c r="E1209" s="22">
        <v>1</v>
      </c>
      <c r="F1209" s="22">
        <v>108</v>
      </c>
      <c r="G1209" s="22">
        <f>IF(OR(M1209="",O1209="",M1209=0),"",(M1209-O1209)/M1209)</f>
        <v>0.22222222222222221</v>
      </c>
      <c r="H1209" s="22">
        <v>108</v>
      </c>
      <c r="I1209" s="22">
        <v>13</v>
      </c>
      <c r="J1209" s="22">
        <v>1</v>
      </c>
      <c r="K1209" s="22">
        <v>20</v>
      </c>
      <c r="L1209" s="22">
        <v>18</v>
      </c>
      <c r="M1209" s="22">
        <f>_xlfn.CEILING.MATH(F1209*2)</f>
        <v>216</v>
      </c>
      <c r="N1209" s="22">
        <f>H1209*1.18</f>
        <v>127.44</v>
      </c>
      <c r="O1209" s="22">
        <f>_xlfn.CEILING.MATH(F1209*1.56)-1</f>
        <v>168</v>
      </c>
    </row>
    <row r="1210" spans="1:15" s="22" customFormat="1">
      <c r="A1210" s="22">
        <v>994</v>
      </c>
      <c r="B1210" s="22" t="s">
        <v>1204</v>
      </c>
      <c r="C1210" s="22" t="s">
        <v>2476</v>
      </c>
      <c r="E1210" s="22">
        <v>1</v>
      </c>
      <c r="F1210" s="22">
        <v>121.5</v>
      </c>
      <c r="G1210" s="22">
        <f>IF(OR(M1210="",O1210="",M1210=0),"",(M1210-O1210)/M1210)</f>
        <v>0.22222222222222221</v>
      </c>
      <c r="H1210" s="22">
        <v>121.5</v>
      </c>
      <c r="I1210" s="22">
        <v>98</v>
      </c>
      <c r="J1210" s="22">
        <v>1</v>
      </c>
      <c r="K1210" s="22">
        <v>20</v>
      </c>
      <c r="L1210" s="22">
        <v>18</v>
      </c>
      <c r="M1210" s="22">
        <f>_xlfn.CEILING.MATH(F1210*2)</f>
        <v>243</v>
      </c>
      <c r="N1210" s="22">
        <f>H1210*1.18</f>
        <v>143.37</v>
      </c>
      <c r="O1210" s="22">
        <f>_xlfn.CEILING.MATH(F1210*1.56)-1</f>
        <v>189</v>
      </c>
    </row>
    <row r="1211" spans="1:15" s="22" customFormat="1">
      <c r="A1211" s="22">
        <v>995</v>
      </c>
      <c r="B1211" s="22" t="s">
        <v>1205</v>
      </c>
      <c r="C1211" s="22" t="s">
        <v>2477</v>
      </c>
      <c r="E1211" s="22">
        <v>1</v>
      </c>
      <c r="F1211" s="22">
        <v>142.5</v>
      </c>
      <c r="G1211" s="22">
        <f>IF(OR(M1211="",O1211="",M1211=0),"",(M1211-O1211)/M1211)</f>
        <v>0.22105263157894736</v>
      </c>
      <c r="H1211" s="22">
        <v>142.5</v>
      </c>
      <c r="I1211" s="22">
        <v>483</v>
      </c>
      <c r="J1211" s="22">
        <v>1</v>
      </c>
      <c r="K1211" s="22">
        <v>20</v>
      </c>
      <c r="L1211" s="22">
        <v>18</v>
      </c>
      <c r="M1211" s="22">
        <f>_xlfn.CEILING.MATH(F1211*2)</f>
        <v>285</v>
      </c>
      <c r="N1211" s="22">
        <f>H1211*1.18</f>
        <v>168.14999999999998</v>
      </c>
      <c r="O1211" s="22">
        <f>_xlfn.CEILING.MATH(F1211*1.56)-1</f>
        <v>222</v>
      </c>
    </row>
    <row r="1212" spans="1:15" s="22" customFormat="1">
      <c r="A1212" s="22">
        <v>996</v>
      </c>
      <c r="B1212" s="22" t="s">
        <v>1206</v>
      </c>
      <c r="C1212" s="22" t="s">
        <v>2478</v>
      </c>
      <c r="E1212" s="22">
        <v>1</v>
      </c>
      <c r="F1212" s="22">
        <v>138</v>
      </c>
      <c r="G1212" s="22">
        <f>IF(OR(M1212="",O1212="",M1212=0),"",(M1212-O1212)/M1212)</f>
        <v>0.2210144927536232</v>
      </c>
      <c r="H1212" s="22">
        <v>138</v>
      </c>
      <c r="I1212" s="22">
        <v>206</v>
      </c>
      <c r="J1212" s="22">
        <v>12</v>
      </c>
      <c r="K1212" s="22">
        <v>48</v>
      </c>
      <c r="L1212" s="22">
        <v>18</v>
      </c>
      <c r="M1212" s="22">
        <f>_xlfn.CEILING.MATH(F1212*2)</f>
        <v>276</v>
      </c>
      <c r="N1212" s="22">
        <f>H1212*1.18</f>
        <v>162.84</v>
      </c>
      <c r="O1212" s="22">
        <f>_xlfn.CEILING.MATH(F1212*1.56)-1</f>
        <v>215</v>
      </c>
    </row>
    <row r="1213" spans="1:15" s="22" customFormat="1">
      <c r="A1213" s="22">
        <v>997</v>
      </c>
      <c r="B1213" s="22" t="s">
        <v>1207</v>
      </c>
      <c r="C1213" s="22" t="s">
        <v>2479</v>
      </c>
      <c r="E1213" s="22">
        <v>1</v>
      </c>
      <c r="F1213" s="22">
        <v>132</v>
      </c>
      <c r="G1213" s="22">
        <f>IF(OR(M1213="",O1213="",M1213=0),"",(M1213-O1213)/M1213)</f>
        <v>0.22348484848484848</v>
      </c>
      <c r="H1213" s="22">
        <v>132</v>
      </c>
      <c r="I1213" s="22">
        <v>63</v>
      </c>
      <c r="J1213" s="22">
        <v>12</v>
      </c>
      <c r="K1213" s="22">
        <v>48</v>
      </c>
      <c r="L1213" s="22">
        <v>18</v>
      </c>
      <c r="M1213" s="22">
        <f>_xlfn.CEILING.MATH(F1213*2)</f>
        <v>264</v>
      </c>
      <c r="N1213" s="22">
        <f>H1213*1.18</f>
        <v>155.76</v>
      </c>
      <c r="O1213" s="22">
        <f>_xlfn.CEILING.MATH(F1213*1.56)-1</f>
        <v>205</v>
      </c>
    </row>
    <row r="1214" spans="1:15" s="22" customFormat="1">
      <c r="A1214" s="22">
        <v>998</v>
      </c>
      <c r="B1214" s="22" t="s">
        <v>1208</v>
      </c>
      <c r="C1214" s="22" t="s">
        <v>2480</v>
      </c>
      <c r="E1214" s="22">
        <v>1</v>
      </c>
      <c r="F1214" s="22">
        <v>121.5</v>
      </c>
      <c r="G1214" s="22">
        <f>IF(OR(M1214="",O1214="",M1214=0),"",(M1214-O1214)/M1214)</f>
        <v>0.22222222222222221</v>
      </c>
      <c r="H1214" s="22">
        <v>121.5</v>
      </c>
      <c r="I1214" s="22">
        <v>409</v>
      </c>
      <c r="J1214" s="22">
        <v>12</v>
      </c>
      <c r="K1214" s="22">
        <v>48</v>
      </c>
      <c r="L1214" s="22">
        <v>18</v>
      </c>
      <c r="M1214" s="22">
        <f>_xlfn.CEILING.MATH(F1214*2)</f>
        <v>243</v>
      </c>
      <c r="N1214" s="22">
        <f>H1214*1.18</f>
        <v>143.37</v>
      </c>
      <c r="O1214" s="22">
        <f>_xlfn.CEILING.MATH(F1214*1.56)-1</f>
        <v>189</v>
      </c>
    </row>
    <row r="1215" spans="1:15" s="22" customFormat="1">
      <c r="A1215" s="22">
        <v>999</v>
      </c>
      <c r="B1215" s="22" t="s">
        <v>1209</v>
      </c>
      <c r="C1215" s="22" t="s">
        <v>2481</v>
      </c>
      <c r="E1215" s="22">
        <v>1</v>
      </c>
      <c r="F1215" s="22">
        <v>112.5</v>
      </c>
      <c r="G1215" s="22">
        <f>IF(OR(M1215="",O1215="",M1215=0),"",(M1215-O1215)/M1215)</f>
        <v>0.22222222222222221</v>
      </c>
      <c r="H1215" s="22">
        <v>112.5</v>
      </c>
      <c r="I1215" s="22">
        <v>509</v>
      </c>
      <c r="J1215" s="22">
        <v>1</v>
      </c>
      <c r="K1215" s="22">
        <v>1</v>
      </c>
      <c r="L1215" s="22">
        <v>18</v>
      </c>
      <c r="M1215" s="22">
        <f>_xlfn.CEILING.MATH(F1215*2)</f>
        <v>225</v>
      </c>
      <c r="N1215" s="22">
        <f>H1215*1.18</f>
        <v>132.75</v>
      </c>
      <c r="O1215" s="22">
        <f>_xlfn.CEILING.MATH(F1215*1.56)-1</f>
        <v>175</v>
      </c>
    </row>
    <row r="1216" spans="1:15" s="22" customFormat="1">
      <c r="A1216" s="22">
        <v>1000</v>
      </c>
      <c r="B1216" s="22" t="s">
        <v>1210</v>
      </c>
      <c r="C1216" s="22" t="s">
        <v>2482</v>
      </c>
      <c r="E1216" s="22">
        <v>1</v>
      </c>
      <c r="F1216" s="22">
        <v>277.5</v>
      </c>
      <c r="G1216" s="22">
        <f>IF(OR(M1216="",O1216="",M1216=0),"",(M1216-O1216)/M1216)</f>
        <v>0.22162162162162163</v>
      </c>
      <c r="H1216" s="22">
        <v>277.5</v>
      </c>
      <c r="I1216" s="22">
        <v>30</v>
      </c>
      <c r="J1216" s="22">
        <v>1</v>
      </c>
      <c r="K1216" s="22">
        <v>20</v>
      </c>
      <c r="L1216" s="22">
        <v>18</v>
      </c>
      <c r="M1216" s="22">
        <f>_xlfn.CEILING.MATH(F1216*2)</f>
        <v>555</v>
      </c>
      <c r="N1216" s="22">
        <f>H1216*1.18</f>
        <v>327.45</v>
      </c>
      <c r="O1216" s="22">
        <f>_xlfn.CEILING.MATH(F1216*1.56)-1</f>
        <v>432</v>
      </c>
    </row>
    <row r="1217" spans="1:15" s="22" customFormat="1">
      <c r="A1217" s="22">
        <v>1001</v>
      </c>
      <c r="B1217" s="22" t="s">
        <v>2483</v>
      </c>
      <c r="C1217" s="22" t="s">
        <v>2484</v>
      </c>
      <c r="E1217" s="22">
        <v>1</v>
      </c>
      <c r="F1217" s="22">
        <v>315</v>
      </c>
      <c r="G1217" s="22">
        <f>IF(OR(M1217="",O1217="",M1217=0),"",(M1217-O1217)/M1217)</f>
        <v>0.22063492063492063</v>
      </c>
      <c r="H1217" s="22">
        <v>315</v>
      </c>
      <c r="I1217" s="22">
        <v>0</v>
      </c>
      <c r="J1217" s="22">
        <v>0</v>
      </c>
      <c r="K1217" s="22">
        <v>0</v>
      </c>
      <c r="L1217" s="22">
        <v>18</v>
      </c>
      <c r="M1217" s="22">
        <f>_xlfn.CEILING.MATH(F1217*2)</f>
        <v>630</v>
      </c>
      <c r="N1217" s="22">
        <f>H1217*1.18</f>
        <v>371.7</v>
      </c>
      <c r="O1217" s="22">
        <f>_xlfn.CEILING.MATH(F1217*1.56)-1</f>
        <v>491</v>
      </c>
    </row>
    <row r="1218" spans="1:15" s="22" customFormat="1">
      <c r="A1218" s="22">
        <v>1002</v>
      </c>
      <c r="B1218" s="22" t="s">
        <v>2485</v>
      </c>
      <c r="C1218" s="22" t="s">
        <v>2486</v>
      </c>
      <c r="E1218" s="22">
        <v>1</v>
      </c>
      <c r="F1218" s="22">
        <v>375</v>
      </c>
      <c r="G1218" s="22">
        <f>IF(OR(M1218="",O1218="",M1218=0),"",(M1218-O1218)/M1218)</f>
        <v>0.22133333333333333</v>
      </c>
      <c r="H1218" s="22">
        <v>375</v>
      </c>
      <c r="I1218" s="22">
        <v>139</v>
      </c>
      <c r="J1218" s="22">
        <v>1</v>
      </c>
      <c r="K1218" s="22">
        <v>10</v>
      </c>
      <c r="L1218" s="22">
        <v>18</v>
      </c>
      <c r="M1218" s="22">
        <f>_xlfn.CEILING.MATH(F1218*2)</f>
        <v>750</v>
      </c>
      <c r="N1218" s="22">
        <f>H1218*1.18</f>
        <v>442.5</v>
      </c>
      <c r="O1218" s="22">
        <f>_xlfn.CEILING.MATH(F1218*1.56)-1</f>
        <v>584</v>
      </c>
    </row>
    <row r="1219" spans="1:15" s="22" customFormat="1">
      <c r="A1219" s="22">
        <v>1003</v>
      </c>
      <c r="B1219" s="22" t="s">
        <v>2487</v>
      </c>
      <c r="C1219" s="22" t="s">
        <v>2488</v>
      </c>
      <c r="E1219" s="22">
        <v>1</v>
      </c>
      <c r="F1219" s="22">
        <v>375</v>
      </c>
      <c r="G1219" s="22">
        <f>IF(OR(M1219="",O1219="",M1219=0),"",(M1219-O1219)/M1219)</f>
        <v>0.22133333333333333</v>
      </c>
      <c r="H1219" s="22">
        <v>375</v>
      </c>
      <c r="I1219" s="22">
        <v>154</v>
      </c>
      <c r="J1219" s="22">
        <v>1</v>
      </c>
      <c r="K1219" s="22">
        <v>10</v>
      </c>
      <c r="L1219" s="22">
        <v>18</v>
      </c>
      <c r="M1219" s="22">
        <f>_xlfn.CEILING.MATH(F1219*2)</f>
        <v>750</v>
      </c>
      <c r="N1219" s="22">
        <f>H1219*1.18</f>
        <v>442.5</v>
      </c>
      <c r="O1219" s="22">
        <f>_xlfn.CEILING.MATH(F1219*1.56)-1</f>
        <v>584</v>
      </c>
    </row>
    <row r="1220" spans="1:15" s="22" customFormat="1">
      <c r="A1220" s="22">
        <v>1004</v>
      </c>
      <c r="B1220" s="22" t="s">
        <v>2489</v>
      </c>
      <c r="C1220" s="22" t="s">
        <v>2490</v>
      </c>
      <c r="E1220" s="22">
        <v>1</v>
      </c>
      <c r="F1220" s="22">
        <v>375</v>
      </c>
      <c r="G1220" s="22">
        <f>IF(OR(M1220="",O1220="",M1220=0),"",(M1220-O1220)/M1220)</f>
        <v>0.22133333333333333</v>
      </c>
      <c r="H1220" s="22">
        <v>375</v>
      </c>
      <c r="I1220" s="22">
        <v>111</v>
      </c>
      <c r="J1220" s="22">
        <v>1</v>
      </c>
      <c r="K1220" s="22">
        <v>10</v>
      </c>
      <c r="L1220" s="22">
        <v>18</v>
      </c>
      <c r="M1220" s="22">
        <f>_xlfn.CEILING.MATH(F1220*2)</f>
        <v>750</v>
      </c>
      <c r="N1220" s="22">
        <f>H1220*1.18</f>
        <v>442.5</v>
      </c>
      <c r="O1220" s="22">
        <f>_xlfn.CEILING.MATH(F1220*1.56)-1</f>
        <v>584</v>
      </c>
    </row>
    <row r="1221" spans="1:15" s="22" customFormat="1">
      <c r="A1221" s="22">
        <v>1005</v>
      </c>
      <c r="B1221" s="22" t="s">
        <v>2491</v>
      </c>
      <c r="C1221" s="22" t="s">
        <v>2492</v>
      </c>
      <c r="E1221" s="22">
        <v>1</v>
      </c>
      <c r="F1221" s="22">
        <v>375</v>
      </c>
      <c r="G1221" s="22">
        <f>IF(OR(M1221="",O1221="",M1221=0),"",(M1221-O1221)/M1221)</f>
        <v>0.22133333333333333</v>
      </c>
      <c r="H1221" s="22">
        <v>375</v>
      </c>
      <c r="I1221" s="22">
        <v>123</v>
      </c>
      <c r="J1221" s="22">
        <v>1</v>
      </c>
      <c r="K1221" s="22">
        <v>10</v>
      </c>
      <c r="L1221" s="22">
        <v>18</v>
      </c>
      <c r="M1221" s="22">
        <f>_xlfn.CEILING.MATH(F1221*2)</f>
        <v>750</v>
      </c>
      <c r="N1221" s="22">
        <f>H1221*1.18</f>
        <v>442.5</v>
      </c>
      <c r="O1221" s="22">
        <f>_xlfn.CEILING.MATH(F1221*1.56)-1</f>
        <v>584</v>
      </c>
    </row>
    <row r="1222" spans="1:15" s="22" customFormat="1">
      <c r="A1222" s="22">
        <v>1006</v>
      </c>
      <c r="B1222" s="22" t="s">
        <v>2493</v>
      </c>
      <c r="C1222" s="22" t="s">
        <v>2494</v>
      </c>
      <c r="E1222" s="22">
        <v>1</v>
      </c>
      <c r="F1222" s="22">
        <v>525</v>
      </c>
      <c r="G1222" s="22">
        <f>IF(OR(M1222="",O1222="",M1222=0),"",(M1222-O1222)/M1222)</f>
        <v>0.22095238095238096</v>
      </c>
      <c r="H1222" s="22">
        <v>525</v>
      </c>
      <c r="I1222" s="22">
        <v>0</v>
      </c>
      <c r="J1222" s="22">
        <v>1</v>
      </c>
      <c r="K1222" s="22">
        <v>10</v>
      </c>
      <c r="L1222" s="22">
        <v>18</v>
      </c>
      <c r="M1222" s="22">
        <f>_xlfn.CEILING.MATH(F1222*2)</f>
        <v>1050</v>
      </c>
      <c r="N1222" s="22">
        <f>H1222*1.18</f>
        <v>619.5</v>
      </c>
      <c r="O1222" s="22">
        <f>_xlfn.CEILING.MATH(F1222*1.56)-1</f>
        <v>818</v>
      </c>
    </row>
    <row r="1223" spans="1:15" s="22" customFormat="1">
      <c r="A1223" s="22">
        <v>1007</v>
      </c>
      <c r="B1223" s="22" t="s">
        <v>2495</v>
      </c>
      <c r="C1223" s="22" t="s">
        <v>2496</v>
      </c>
      <c r="E1223" s="22">
        <v>1</v>
      </c>
      <c r="F1223" s="22">
        <v>375</v>
      </c>
      <c r="G1223" s="22">
        <f>IF(OR(M1223="",O1223="",M1223=0),"",(M1223-O1223)/M1223)</f>
        <v>0.22133333333333333</v>
      </c>
      <c r="H1223" s="22">
        <v>375</v>
      </c>
      <c r="I1223" s="22">
        <v>17</v>
      </c>
      <c r="J1223" s="22">
        <v>1</v>
      </c>
      <c r="K1223" s="22">
        <v>10</v>
      </c>
      <c r="L1223" s="22">
        <v>18</v>
      </c>
      <c r="M1223" s="22">
        <f>_xlfn.CEILING.MATH(F1223*2)</f>
        <v>750</v>
      </c>
      <c r="N1223" s="22">
        <f>H1223*1.18</f>
        <v>442.5</v>
      </c>
      <c r="O1223" s="22">
        <f>_xlfn.CEILING.MATH(F1223*1.56)-1</f>
        <v>584</v>
      </c>
    </row>
    <row r="1224" spans="1:15" s="22" customFormat="1">
      <c r="A1224" s="22">
        <v>1008</v>
      </c>
      <c r="B1224" s="22" t="s">
        <v>2497</v>
      </c>
      <c r="C1224" s="22" t="s">
        <v>2498</v>
      </c>
      <c r="E1224" s="22">
        <v>1</v>
      </c>
      <c r="F1224" s="22">
        <v>375</v>
      </c>
      <c r="G1224" s="22">
        <f>IF(OR(M1224="",O1224="",M1224=0),"",(M1224-O1224)/M1224)</f>
        <v>0.22133333333333333</v>
      </c>
      <c r="H1224" s="22">
        <v>375</v>
      </c>
      <c r="I1224" s="22">
        <v>400</v>
      </c>
      <c r="J1224" s="22">
        <v>1</v>
      </c>
      <c r="K1224" s="22">
        <v>10</v>
      </c>
      <c r="L1224" s="22">
        <v>18</v>
      </c>
      <c r="M1224" s="22">
        <f>_xlfn.CEILING.MATH(F1224*2)</f>
        <v>750</v>
      </c>
      <c r="N1224" s="22">
        <f>H1224*1.18</f>
        <v>442.5</v>
      </c>
      <c r="O1224" s="22">
        <f>_xlfn.CEILING.MATH(F1224*1.56)-1</f>
        <v>584</v>
      </c>
    </row>
    <row r="1225" spans="1:15" s="22" customFormat="1">
      <c r="A1225" s="22">
        <v>1009</v>
      </c>
      <c r="B1225" s="22" t="s">
        <v>2499</v>
      </c>
      <c r="C1225" s="22" t="s">
        <v>2500</v>
      </c>
      <c r="E1225" s="22">
        <v>1</v>
      </c>
      <c r="F1225" s="22">
        <v>375</v>
      </c>
      <c r="G1225" s="22">
        <f>IF(OR(M1225="",O1225="",M1225=0),"",(M1225-O1225)/M1225)</f>
        <v>0.22133333333333333</v>
      </c>
      <c r="H1225" s="22">
        <v>375</v>
      </c>
      <c r="I1225" s="22">
        <v>188</v>
      </c>
      <c r="J1225" s="22">
        <v>1</v>
      </c>
      <c r="K1225" s="22">
        <v>10</v>
      </c>
      <c r="L1225" s="22">
        <v>18</v>
      </c>
      <c r="M1225" s="22">
        <f>_xlfn.CEILING.MATH(F1225*2)</f>
        <v>750</v>
      </c>
      <c r="N1225" s="22">
        <f>H1225*1.18</f>
        <v>442.5</v>
      </c>
      <c r="O1225" s="22">
        <f>_xlfn.CEILING.MATH(F1225*1.56)-1</f>
        <v>584</v>
      </c>
    </row>
    <row r="1226" spans="1:15" s="22" customFormat="1">
      <c r="A1226" s="22">
        <v>1010</v>
      </c>
      <c r="B1226" s="22" t="s">
        <v>1211</v>
      </c>
      <c r="C1226" s="22" t="s">
        <v>2501</v>
      </c>
      <c r="E1226" s="22">
        <v>1</v>
      </c>
      <c r="F1226" s="22">
        <v>277.5</v>
      </c>
      <c r="G1226" s="22">
        <f>IF(OR(M1226="",O1226="",M1226=0),"",(M1226-O1226)/M1226)</f>
        <v>0.22162162162162163</v>
      </c>
      <c r="H1226" s="22">
        <v>277.5</v>
      </c>
      <c r="I1226" s="22">
        <v>0</v>
      </c>
      <c r="J1226" s="22">
        <v>1</v>
      </c>
      <c r="K1226" s="22">
        <v>10</v>
      </c>
      <c r="L1226" s="22">
        <v>18</v>
      </c>
      <c r="M1226" s="22">
        <f>_xlfn.CEILING.MATH(F1226*2)</f>
        <v>555</v>
      </c>
      <c r="N1226" s="22">
        <f>H1226*1.18</f>
        <v>327.45</v>
      </c>
      <c r="O1226" s="22">
        <f>_xlfn.CEILING.MATH(F1226*1.56)-1</f>
        <v>432</v>
      </c>
    </row>
    <row r="1227" spans="1:15" s="22" customFormat="1">
      <c r="A1227" s="22">
        <v>1011</v>
      </c>
      <c r="B1227" s="22" t="s">
        <v>1212</v>
      </c>
      <c r="C1227" s="22" t="s">
        <v>2502</v>
      </c>
      <c r="E1227" s="22">
        <v>1</v>
      </c>
      <c r="F1227" s="22">
        <v>375</v>
      </c>
      <c r="G1227" s="22">
        <f>IF(OR(M1227="",O1227="",M1227=0),"",(M1227-O1227)/M1227)</f>
        <v>0.22133333333333333</v>
      </c>
      <c r="H1227" s="22">
        <v>375</v>
      </c>
      <c r="I1227" s="22">
        <v>0</v>
      </c>
      <c r="J1227" s="22">
        <v>1</v>
      </c>
      <c r="K1227" s="22">
        <v>10</v>
      </c>
      <c r="L1227" s="22">
        <v>18</v>
      </c>
      <c r="M1227" s="22">
        <f>_xlfn.CEILING.MATH(F1227*2)</f>
        <v>750</v>
      </c>
      <c r="N1227" s="22">
        <f>H1227*1.18</f>
        <v>442.5</v>
      </c>
      <c r="O1227" s="22">
        <f>_xlfn.CEILING.MATH(F1227*1.56)-1</f>
        <v>584</v>
      </c>
    </row>
    <row r="1228" spans="1:15" s="22" customFormat="1">
      <c r="A1228" s="22">
        <v>1012</v>
      </c>
      <c r="B1228" s="22" t="s">
        <v>1213</v>
      </c>
      <c r="C1228" s="22" t="s">
        <v>2503</v>
      </c>
      <c r="E1228" s="22">
        <v>1</v>
      </c>
      <c r="F1228" s="22">
        <v>375</v>
      </c>
      <c r="G1228" s="22">
        <f>IF(OR(M1228="",O1228="",M1228=0),"",(M1228-O1228)/M1228)</f>
        <v>0.22133333333333333</v>
      </c>
      <c r="H1228" s="22">
        <v>375</v>
      </c>
      <c r="I1228" s="22">
        <v>11</v>
      </c>
      <c r="J1228" s="22">
        <v>1</v>
      </c>
      <c r="K1228" s="22">
        <v>10</v>
      </c>
      <c r="L1228" s="22">
        <v>18</v>
      </c>
      <c r="M1228" s="22">
        <f>_xlfn.CEILING.MATH(F1228*2)</f>
        <v>750</v>
      </c>
      <c r="N1228" s="22">
        <f>H1228*1.18</f>
        <v>442.5</v>
      </c>
      <c r="O1228" s="22">
        <f>_xlfn.CEILING.MATH(F1228*1.56)-1</f>
        <v>584</v>
      </c>
    </row>
    <row r="1229" spans="1:15" s="22" customFormat="1">
      <c r="A1229" s="22">
        <v>1013</v>
      </c>
      <c r="B1229" s="22" t="s">
        <v>1214</v>
      </c>
      <c r="C1229" s="22" t="s">
        <v>2504</v>
      </c>
      <c r="E1229" s="22">
        <v>1</v>
      </c>
      <c r="F1229" s="22">
        <v>33.5</v>
      </c>
      <c r="G1229" s="22">
        <f>IF(OR(M1229="",O1229="",M1229=0),"",(M1229-O1229)/M1229)</f>
        <v>0.22388059701492538</v>
      </c>
      <c r="H1229" s="22">
        <v>33.5</v>
      </c>
      <c r="I1229" s="22">
        <v>5543</v>
      </c>
      <c r="J1229" s="22">
        <v>20</v>
      </c>
      <c r="K1229" s="22">
        <v>120</v>
      </c>
      <c r="L1229" s="22">
        <v>18</v>
      </c>
      <c r="M1229" s="22">
        <f>_xlfn.CEILING.MATH(F1229*2)</f>
        <v>67</v>
      </c>
      <c r="N1229" s="22">
        <f>H1229*1.18</f>
        <v>39.53</v>
      </c>
      <c r="O1229" s="22">
        <f>_xlfn.CEILING.MATH(F1229*1.56)-1</f>
        <v>52</v>
      </c>
    </row>
    <row r="1230" spans="1:15" s="22" customFormat="1">
      <c r="A1230" s="22">
        <v>1014</v>
      </c>
      <c r="B1230" s="22" t="s">
        <v>2505</v>
      </c>
      <c r="C1230" s="22" t="s">
        <v>2506</v>
      </c>
      <c r="E1230" s="22">
        <v>1</v>
      </c>
      <c r="F1230" s="22">
        <v>39</v>
      </c>
      <c r="G1230" s="22">
        <f>IF(OR(M1230="",O1230="",M1230=0),"",(M1230-O1230)/M1230)</f>
        <v>0.23076923076923078</v>
      </c>
      <c r="H1230" s="22">
        <v>39</v>
      </c>
      <c r="I1230" s="22">
        <v>0</v>
      </c>
      <c r="J1230" s="22">
        <v>20</v>
      </c>
      <c r="K1230" s="22">
        <v>120</v>
      </c>
      <c r="L1230" s="22">
        <v>18</v>
      </c>
      <c r="M1230" s="22">
        <f>_xlfn.CEILING.MATH(F1230*2)</f>
        <v>78</v>
      </c>
      <c r="N1230" s="22">
        <f>H1230*1.18</f>
        <v>46.019999999999996</v>
      </c>
      <c r="O1230" s="22">
        <f>_xlfn.CEILING.MATH(F1230*1.56)-1</f>
        <v>60</v>
      </c>
    </row>
    <row r="1231" spans="1:15" s="22" customFormat="1">
      <c r="A1231" s="22">
        <v>1015</v>
      </c>
      <c r="B1231" s="22" t="s">
        <v>1215</v>
      </c>
      <c r="C1231" s="22" t="s">
        <v>2507</v>
      </c>
      <c r="E1231" s="22">
        <v>1</v>
      </c>
      <c r="F1231" s="22">
        <v>124.5</v>
      </c>
      <c r="G1231" s="22">
        <f>IF(OR(M1231="",O1231="",M1231=0),"",(M1231-O1231)/M1231)</f>
        <v>0.22088353413654618</v>
      </c>
      <c r="H1231" s="22">
        <v>124.5</v>
      </c>
      <c r="I1231" s="22">
        <v>236</v>
      </c>
      <c r="J1231" s="22">
        <v>1</v>
      </c>
      <c r="K1231" s="22">
        <v>60</v>
      </c>
      <c r="L1231" s="22">
        <v>18</v>
      </c>
      <c r="M1231" s="22">
        <f>_xlfn.CEILING.MATH(F1231*2)</f>
        <v>249</v>
      </c>
      <c r="N1231" s="22">
        <f>H1231*1.18</f>
        <v>146.91</v>
      </c>
      <c r="O1231" s="22">
        <f>_xlfn.CEILING.MATH(F1231*1.56)-1</f>
        <v>194</v>
      </c>
    </row>
    <row r="1232" spans="1:15" s="22" customFormat="1">
      <c r="A1232" s="22">
        <v>1016</v>
      </c>
      <c r="B1232" s="22" t="s">
        <v>1216</v>
      </c>
      <c r="C1232" s="22" t="s">
        <v>2508</v>
      </c>
      <c r="E1232" s="22">
        <v>1</v>
      </c>
      <c r="F1232" s="22">
        <v>112.5</v>
      </c>
      <c r="G1232" s="22">
        <f>IF(OR(M1232="",O1232="",M1232=0),"",(M1232-O1232)/M1232)</f>
        <v>0.22222222222222221</v>
      </c>
      <c r="H1232" s="22">
        <v>112.5</v>
      </c>
      <c r="I1232" s="22">
        <v>1609</v>
      </c>
      <c r="J1232" s="22">
        <v>1</v>
      </c>
      <c r="K1232" s="22">
        <v>60</v>
      </c>
      <c r="L1232" s="22">
        <v>18</v>
      </c>
      <c r="M1232" s="22">
        <f>_xlfn.CEILING.MATH(F1232*2)</f>
        <v>225</v>
      </c>
      <c r="N1232" s="22">
        <f>H1232*1.18</f>
        <v>132.75</v>
      </c>
      <c r="O1232" s="22">
        <f>_xlfn.CEILING.MATH(F1232*1.56)-1</f>
        <v>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FC3A-A167-4020-AEA6-4F160F618127}">
  <dimension ref="A1:P382"/>
  <sheetViews>
    <sheetView workbookViewId="0">
      <pane ySplit="1" topLeftCell="A293" activePane="bottomLeft" state="frozen"/>
      <selection pane="bottomLeft" activeCell="D293" sqref="D293"/>
    </sheetView>
  </sheetViews>
  <sheetFormatPr defaultRowHeight="14.4"/>
  <cols>
    <col min="3" max="3" width="27.21875" bestFit="1" customWidth="1"/>
    <col min="4" max="4" width="27.21875" style="22" customWidth="1"/>
  </cols>
  <sheetData>
    <row r="1" spans="1:16" s="22" customFormat="1" ht="28.8">
      <c r="A1" s="28" t="s">
        <v>1219</v>
      </c>
      <c r="B1" s="28" t="s">
        <v>1220</v>
      </c>
      <c r="C1" s="28" t="s">
        <v>15</v>
      </c>
      <c r="D1" s="28"/>
      <c r="E1" s="28" t="s">
        <v>4</v>
      </c>
      <c r="F1" s="28" t="s">
        <v>1221</v>
      </c>
      <c r="G1" s="28" t="s">
        <v>2509</v>
      </c>
      <c r="H1" s="28" t="s">
        <v>20</v>
      </c>
      <c r="I1" s="28" t="s">
        <v>1222</v>
      </c>
      <c r="J1" s="28" t="s">
        <v>1223</v>
      </c>
      <c r="K1" s="28" t="s">
        <v>1224</v>
      </c>
      <c r="L1" s="28" t="s">
        <v>1225</v>
      </c>
      <c r="M1" s="28" t="s">
        <v>1217</v>
      </c>
      <c r="N1" s="28" t="s">
        <v>19</v>
      </c>
      <c r="O1" s="28" t="s">
        <v>2510</v>
      </c>
      <c r="P1" s="28" t="s">
        <v>21</v>
      </c>
    </row>
    <row r="2" spans="1:16" s="22" customFormat="1">
      <c r="C2" s="22" t="s">
        <v>2693</v>
      </c>
      <c r="G2" s="22">
        <v>107142.86</v>
      </c>
      <c r="H2" s="22" t="str">
        <f>IF(OR(N2="",P2="",N2=0),"",(N2-P2)/N2)</f>
        <v/>
      </c>
      <c r="M2" s="22">
        <v>12</v>
      </c>
      <c r="O2" s="22">
        <f>_xlfn.CEILING.MATH((G2+G2*M2/100),1)</f>
        <v>120001</v>
      </c>
      <c r="P2" s="22">
        <f>_xlfn.CEILING.MATH((O2+O2*18%),1)</f>
        <v>141602</v>
      </c>
    </row>
    <row r="3" spans="1:16" s="22" customFormat="1">
      <c r="A3" s="22">
        <v>16</v>
      </c>
      <c r="C3" s="22" t="s">
        <v>2526</v>
      </c>
      <c r="H3" s="22" t="str">
        <f>IF(OR(N3="",P3="",N3=0),"",(N3-P3)/N3)</f>
        <v/>
      </c>
      <c r="O3" s="22">
        <v>28</v>
      </c>
      <c r="P3" s="22">
        <f>_xlfn.CEILING.MATH((O3+O3*18%),1)</f>
        <v>34</v>
      </c>
    </row>
    <row r="4" spans="1:16" s="22" customFormat="1">
      <c r="A4" s="22">
        <v>17</v>
      </c>
      <c r="C4" s="22" t="s">
        <v>2527</v>
      </c>
      <c r="H4" s="22" t="str">
        <f>IF(OR(N4="",P4="",N4=0),"",(N4-P4)/N4)</f>
        <v/>
      </c>
      <c r="O4" s="22">
        <v>42</v>
      </c>
      <c r="P4" s="22">
        <f>_xlfn.CEILING.MATH((O4+O4*18%),1)</f>
        <v>50</v>
      </c>
    </row>
    <row r="5" spans="1:16" s="22" customFormat="1">
      <c r="A5" s="22">
        <v>18</v>
      </c>
      <c r="C5" s="22" t="s">
        <v>2528</v>
      </c>
      <c r="H5" s="22" t="str">
        <f>IF(OR(N5="",P5="",N5=0),"",(N5-P5)/N5)</f>
        <v/>
      </c>
      <c r="O5" s="22">
        <v>48</v>
      </c>
      <c r="P5" s="22">
        <f>_xlfn.CEILING.MATH((O5+O5*18%),1)</f>
        <v>57</v>
      </c>
    </row>
    <row r="6" spans="1:16" s="22" customFormat="1">
      <c r="A6" s="22">
        <v>19</v>
      </c>
      <c r="C6" s="22" t="s">
        <v>2529</v>
      </c>
      <c r="H6" s="22" t="str">
        <f>IF(OR(N6="",P6="",N6=0),"",(N6-P6)/N6)</f>
        <v/>
      </c>
      <c r="O6" s="22">
        <v>65</v>
      </c>
      <c r="P6" s="22">
        <f>_xlfn.CEILING.MATH((O6+O6*18%),1)</f>
        <v>77</v>
      </c>
    </row>
    <row r="7" spans="1:16" s="22" customFormat="1">
      <c r="A7" s="22">
        <v>20</v>
      </c>
      <c r="C7" s="22" t="s">
        <v>2530</v>
      </c>
      <c r="H7" s="22" t="str">
        <f>IF(OR(N7="",P7="",N7=0),"",(N7-P7)/N7)</f>
        <v/>
      </c>
      <c r="O7" s="22">
        <v>2550</v>
      </c>
      <c r="P7" s="22">
        <f>_xlfn.CEILING.MATH((O7+O7*18%),1)</f>
        <v>3009</v>
      </c>
    </row>
    <row r="8" spans="1:16" s="22" customFormat="1">
      <c r="C8" s="22" t="s">
        <v>2530</v>
      </c>
      <c r="G8" s="22">
        <v>3200</v>
      </c>
      <c r="H8" s="22" t="str">
        <f>IF(OR(N8="",P8="",N8=0),"",(N8-P8)/N8)</f>
        <v/>
      </c>
      <c r="M8" s="22">
        <v>18</v>
      </c>
      <c r="O8" s="22">
        <f>_xlfn.CEILING.MATH((G8+G8*M8/100),1)</f>
        <v>3776</v>
      </c>
      <c r="P8" s="22">
        <f>_xlfn.CEILING.MATH((O8+O8*18%),1)</f>
        <v>4456</v>
      </c>
    </row>
    <row r="9" spans="1:16" s="22" customFormat="1">
      <c r="C9" s="22" t="s">
        <v>2530</v>
      </c>
      <c r="G9" s="22">
        <v>811.98</v>
      </c>
      <c r="H9" s="22" t="str">
        <f>IF(OR(N9="",P9="",N9=0),"",(N9-P9)/N9)</f>
        <v/>
      </c>
      <c r="M9" s="22">
        <v>18</v>
      </c>
      <c r="O9" s="22">
        <f>_xlfn.CEILING.MATH((G9+G9*M9/100),1)</f>
        <v>959</v>
      </c>
      <c r="P9" s="22">
        <f>_xlfn.CEILING.MATH((O9+O9*18%),1)</f>
        <v>1132</v>
      </c>
    </row>
    <row r="10" spans="1:16" s="22" customFormat="1">
      <c r="C10" s="22" t="s">
        <v>2659</v>
      </c>
      <c r="G10" s="22">
        <v>811.98</v>
      </c>
      <c r="H10" s="22" t="str">
        <f>IF(OR(N10="",P10="",N10=0),"",(N10-P10)/N10)</f>
        <v/>
      </c>
      <c r="M10" s="22">
        <v>18</v>
      </c>
      <c r="O10" s="22">
        <f>_xlfn.CEILING.MATH((G10+G10*M10/100),1)</f>
        <v>959</v>
      </c>
      <c r="P10" s="22">
        <f>_xlfn.CEILING.MATH((O10+O10*18%),1)</f>
        <v>1132</v>
      </c>
    </row>
    <row r="11" spans="1:16" s="22" customFormat="1">
      <c r="A11" s="22">
        <v>21</v>
      </c>
      <c r="C11" s="22" t="s">
        <v>2531</v>
      </c>
      <c r="H11" s="22" t="str">
        <f>IF(OR(N11="",P11="",N11=0),"",(N11-P11)/N11)</f>
        <v/>
      </c>
      <c r="O11" s="22">
        <v>3975</v>
      </c>
      <c r="P11" s="22">
        <f>_xlfn.CEILING.MATH((O11+O11*18%),1)</f>
        <v>4691</v>
      </c>
    </row>
    <row r="12" spans="1:16" s="22" customFormat="1">
      <c r="C12" s="22" t="s">
        <v>2531</v>
      </c>
      <c r="G12" s="22">
        <v>2124.42</v>
      </c>
      <c r="H12" s="22" t="str">
        <f>IF(OR(N12="",P12="",N12=0),"",(N12-P12)/N12)</f>
        <v/>
      </c>
      <c r="M12" s="22">
        <v>18</v>
      </c>
      <c r="O12" s="22">
        <f>_xlfn.CEILING.MATH((G12+G12*M12/100),1)</f>
        <v>2507</v>
      </c>
      <c r="P12" s="22">
        <f>_xlfn.CEILING.MATH((O12+O12*18%),1)</f>
        <v>2959</v>
      </c>
    </row>
    <row r="13" spans="1:16" s="22" customFormat="1">
      <c r="A13" s="22">
        <v>22</v>
      </c>
      <c r="C13" s="22" t="s">
        <v>2532</v>
      </c>
      <c r="H13" s="22" t="str">
        <f>IF(OR(N13="",P13="",N13=0),"",(N13-P13)/N13)</f>
        <v/>
      </c>
      <c r="O13" s="22">
        <v>4890</v>
      </c>
      <c r="P13" s="22">
        <f>_xlfn.CEILING.MATH((O13+O13*18%),1)</f>
        <v>5771</v>
      </c>
    </row>
    <row r="14" spans="1:16" s="22" customFormat="1">
      <c r="C14" s="22" t="s">
        <v>2532</v>
      </c>
      <c r="G14" s="22">
        <v>2750.12</v>
      </c>
      <c r="H14" s="22" t="str">
        <f>IF(OR(N14="",P14="",N14=0),"",(N14-P14)/N14)</f>
        <v/>
      </c>
      <c r="M14" s="22">
        <v>18</v>
      </c>
      <c r="O14" s="22">
        <f>_xlfn.CEILING.MATH((G14+G14*M14/100),1)</f>
        <v>3246</v>
      </c>
      <c r="P14" s="22">
        <f>_xlfn.CEILING.MATH((O14+O14*18%),1)</f>
        <v>3831</v>
      </c>
    </row>
    <row r="15" spans="1:16" s="22" customFormat="1">
      <c r="A15" s="22">
        <v>23</v>
      </c>
      <c r="C15" s="22" t="s">
        <v>2533</v>
      </c>
      <c r="H15" s="22" t="str">
        <f>IF(OR(N15="",P15="",N15=0),"",(N15-P15)/N15)</f>
        <v/>
      </c>
      <c r="O15" s="22">
        <v>20</v>
      </c>
      <c r="P15" s="22">
        <f>_xlfn.CEILING.MATH((O15+O15*18%),1)</f>
        <v>24</v>
      </c>
    </row>
    <row r="16" spans="1:16" s="22" customFormat="1">
      <c r="C16" s="22" t="s">
        <v>2533</v>
      </c>
      <c r="G16" s="22">
        <v>13.66</v>
      </c>
      <c r="H16" s="22" t="str">
        <f>IF(OR(N16="",P16="",N16=0),"",(N16-P16)/N16)</f>
        <v/>
      </c>
      <c r="M16" s="22">
        <v>18</v>
      </c>
      <c r="O16" s="22">
        <f>_xlfn.CEILING.MATH((G16+G16*M16/100),1)</f>
        <v>17</v>
      </c>
      <c r="P16" s="22">
        <f>_xlfn.CEILING.MATH((O16+O16*18%),1)</f>
        <v>21</v>
      </c>
    </row>
    <row r="17" spans="1:16" s="22" customFormat="1">
      <c r="A17" s="22">
        <v>24</v>
      </c>
      <c r="C17" s="22" t="s">
        <v>2534</v>
      </c>
      <c r="H17" s="22" t="str">
        <f>IF(OR(N17="",P17="",N17=0),"",(N17-P17)/N17)</f>
        <v/>
      </c>
      <c r="O17" s="22">
        <v>25</v>
      </c>
      <c r="P17" s="22">
        <f>_xlfn.CEILING.MATH((O17+O17*18%),1)</f>
        <v>30</v>
      </c>
    </row>
    <row r="18" spans="1:16" s="22" customFormat="1">
      <c r="C18" s="22" t="s">
        <v>2534</v>
      </c>
      <c r="G18" s="22">
        <v>17.82</v>
      </c>
      <c r="H18" s="22" t="str">
        <f>IF(OR(N18="",P18="",N18=0),"",(N18-P18)/N18)</f>
        <v/>
      </c>
      <c r="M18" s="22">
        <v>18</v>
      </c>
      <c r="O18" s="22">
        <f>_xlfn.CEILING.MATH((G18+G18*M18/100),1)</f>
        <v>22</v>
      </c>
      <c r="P18" s="22">
        <f>_xlfn.CEILING.MATH((O18+O18*18%),1)</f>
        <v>26</v>
      </c>
    </row>
    <row r="19" spans="1:16" s="22" customFormat="1">
      <c r="A19" s="22">
        <v>1</v>
      </c>
      <c r="C19" s="22" t="s">
        <v>2563</v>
      </c>
      <c r="E19" s="22" t="s">
        <v>2575</v>
      </c>
      <c r="H19" s="22" t="str">
        <f>IF(OR(N19="",P19="",N19=0),"",(N19-P19)/N19)</f>
        <v/>
      </c>
      <c r="O19" s="22">
        <v>336</v>
      </c>
      <c r="P19" s="22">
        <f>_xlfn.CEILING.MATH((O19+O19*18%),1)</f>
        <v>397</v>
      </c>
    </row>
    <row r="20" spans="1:16" s="22" customFormat="1">
      <c r="C20" s="22" t="s">
        <v>2563</v>
      </c>
      <c r="E20" s="22" t="s">
        <v>2575</v>
      </c>
      <c r="G20" s="22">
        <v>240</v>
      </c>
      <c r="H20" s="22" t="str">
        <f>IF(OR(N20="",P20="",N20=0),"",(N20-P20)/N20)</f>
        <v/>
      </c>
      <c r="M20" s="22">
        <v>18</v>
      </c>
      <c r="O20" s="22">
        <f>_xlfn.CEILING.MATH((G20+G20*M20/100),1)</f>
        <v>284</v>
      </c>
      <c r="P20" s="22">
        <f>_xlfn.CEILING.MATH((O20+O20*18%),1)</f>
        <v>336</v>
      </c>
    </row>
    <row r="21" spans="1:16" s="22" customFormat="1">
      <c r="A21" s="22">
        <v>25</v>
      </c>
      <c r="C21" s="22" t="s">
        <v>2535</v>
      </c>
      <c r="H21" s="22" t="str">
        <f>IF(OR(N21="",P21="",N21=0),"",(N21-P21)/N21)</f>
        <v/>
      </c>
      <c r="O21" s="22">
        <v>250</v>
      </c>
      <c r="P21" s="22">
        <f>_xlfn.CEILING.MATH((O21+O21*18%),1)</f>
        <v>295</v>
      </c>
    </row>
    <row r="22" spans="1:16" s="22" customFormat="1">
      <c r="C22" s="22" t="s">
        <v>2654</v>
      </c>
      <c r="G22" s="22">
        <v>220</v>
      </c>
      <c r="H22" s="22" t="str">
        <f>IF(OR(N22="",P22="",N22=0),"",(N22-P22)/N22)</f>
        <v/>
      </c>
      <c r="M22" s="22">
        <v>18</v>
      </c>
      <c r="O22" s="22">
        <f>_xlfn.CEILING.MATH((G22+G22*M22/100),1)</f>
        <v>260</v>
      </c>
      <c r="P22" s="22">
        <f>_xlfn.CEILING.MATH((O22+O22*18%),1)</f>
        <v>307</v>
      </c>
    </row>
    <row r="23" spans="1:16" s="22" customFormat="1">
      <c r="A23" s="22">
        <v>26</v>
      </c>
      <c r="C23" s="22" t="s">
        <v>2536</v>
      </c>
      <c r="H23" s="22" t="str">
        <f>IF(OR(N23="",P23="",N23=0),"",(N23-P23)/N23)</f>
        <v/>
      </c>
      <c r="O23" s="22">
        <v>161</v>
      </c>
      <c r="P23" s="22">
        <f>_xlfn.CEILING.MATH((O23+O23*18%),1)</f>
        <v>190</v>
      </c>
    </row>
    <row r="24" spans="1:16" s="22" customFormat="1">
      <c r="C24" s="22" t="s">
        <v>2536</v>
      </c>
      <c r="G24" s="22">
        <v>115</v>
      </c>
      <c r="H24" s="22" t="str">
        <f>IF(OR(N24="",P24="",N24=0),"",(N24-P24)/N24)</f>
        <v/>
      </c>
      <c r="M24" s="22">
        <v>18</v>
      </c>
      <c r="O24" s="22">
        <f>_xlfn.CEILING.MATH((G24+G24*M24/100),1)</f>
        <v>136</v>
      </c>
      <c r="P24" s="22">
        <f>_xlfn.CEILING.MATH((O24+O24*18%),1)</f>
        <v>161</v>
      </c>
    </row>
    <row r="25" spans="1:16" s="22" customFormat="1">
      <c r="C25" s="22" t="s">
        <v>2536</v>
      </c>
      <c r="G25" s="22">
        <v>68</v>
      </c>
      <c r="H25" s="22" t="str">
        <f>IF(OR(N25="",P25="",N25=0),"",(N25-P25)/N25)</f>
        <v/>
      </c>
      <c r="M25" s="22">
        <v>18</v>
      </c>
      <c r="O25" s="22">
        <f>_xlfn.CEILING.MATH((G25+G25*M25/100),1)</f>
        <v>81</v>
      </c>
      <c r="P25" s="22">
        <f>_xlfn.CEILING.MATH((O25+O25*18%),1)</f>
        <v>96</v>
      </c>
    </row>
    <row r="26" spans="1:16" s="22" customFormat="1">
      <c r="A26" s="22">
        <v>1</v>
      </c>
      <c r="C26" s="22" t="s">
        <v>2511</v>
      </c>
      <c r="H26" s="22">
        <f>IF(OR(N26="",P26="",N26=0),"",(N26-P26)/N26)</f>
        <v>0.50832624716553287</v>
      </c>
      <c r="N26" s="22">
        <f>O26*2.4</f>
        <v>28224</v>
      </c>
      <c r="O26" s="22">
        <v>11760</v>
      </c>
      <c r="P26" s="22">
        <f>_xlfn.CEILING.MATH((O26+O26*18%),1)</f>
        <v>13877</v>
      </c>
    </row>
    <row r="27" spans="1:16" s="22" customFormat="1">
      <c r="C27" s="22" t="s">
        <v>2511</v>
      </c>
      <c r="G27" s="22">
        <v>8400</v>
      </c>
      <c r="H27" s="22" t="str">
        <f>IF(OR(N27="",P27="",N27=0),"",(N27-P27)/N27)</f>
        <v/>
      </c>
      <c r="M27" s="22">
        <v>18</v>
      </c>
      <c r="O27" s="22">
        <f>_xlfn.CEILING.MATH((G27+G27*M27/100),1)</f>
        <v>9912</v>
      </c>
      <c r="P27" s="22">
        <f>_xlfn.CEILING.MATH((O27+O27*18%),1)</f>
        <v>11697</v>
      </c>
    </row>
    <row r="28" spans="1:16" s="22" customFormat="1">
      <c r="A28" s="22">
        <v>2</v>
      </c>
      <c r="C28" s="22" t="s">
        <v>2512</v>
      </c>
      <c r="H28" s="22">
        <f>IF(OR(N28="",P28="",N28=0),"",(N28-P28)/N28)</f>
        <v>0.5083333333333333</v>
      </c>
      <c r="N28" s="22">
        <f>O28*2.4</f>
        <v>35280</v>
      </c>
      <c r="O28" s="22">
        <v>14700</v>
      </c>
      <c r="P28" s="22">
        <f>_xlfn.CEILING.MATH((O28+O28*18%),1)</f>
        <v>17346</v>
      </c>
    </row>
    <row r="29" spans="1:16" s="22" customFormat="1">
      <c r="C29" s="22" t="s">
        <v>2512</v>
      </c>
      <c r="G29" s="22">
        <v>12000</v>
      </c>
      <c r="H29" s="22" t="str">
        <f>IF(OR(N29="",P29="",N29=0),"",(N29-P29)/N29)</f>
        <v/>
      </c>
      <c r="M29" s="22">
        <v>18</v>
      </c>
      <c r="O29" s="22">
        <f>_xlfn.CEILING.MATH((G29+G29*M29/100),1)</f>
        <v>14160</v>
      </c>
      <c r="P29" s="22">
        <f>_xlfn.CEILING.MATH((O29+O29*18%),1)</f>
        <v>16709</v>
      </c>
    </row>
    <row r="30" spans="1:16" s="22" customFormat="1">
      <c r="A30" s="22">
        <v>60</v>
      </c>
      <c r="C30" s="22" t="s">
        <v>2636</v>
      </c>
      <c r="E30" s="22" t="s">
        <v>2647</v>
      </c>
      <c r="H30" s="22" t="str">
        <f>IF(OR(N30="",P30="",N30=0),"",(N30-P30)/N30)</f>
        <v/>
      </c>
      <c r="O30" s="22">
        <v>110</v>
      </c>
      <c r="P30" s="22">
        <f>_xlfn.CEILING.MATH((O30+O30*18%),1)</f>
        <v>130</v>
      </c>
    </row>
    <row r="31" spans="1:16" s="22" customFormat="1">
      <c r="C31" s="22" t="s">
        <v>2636</v>
      </c>
      <c r="G31" s="22" t="s">
        <v>2705</v>
      </c>
      <c r="H31" s="22" t="str">
        <f>IF(OR(N31="",P31="",N31=0),"",(N31-P31)/N31)</f>
        <v/>
      </c>
      <c r="M31" s="22">
        <v>18</v>
      </c>
      <c r="O31" s="22">
        <f>_xlfn.CEILING.MATH((G31+G31*M31/100),1)</f>
        <v>93</v>
      </c>
      <c r="P31" s="22">
        <f>_xlfn.CEILING.MATH((O31+O31*18%),1)</f>
        <v>110</v>
      </c>
    </row>
    <row r="32" spans="1:16" s="22" customFormat="1">
      <c r="A32" s="22">
        <v>61</v>
      </c>
      <c r="C32" s="22" t="s">
        <v>2637</v>
      </c>
      <c r="E32" s="22" t="s">
        <v>2647</v>
      </c>
      <c r="H32" s="22" t="str">
        <f>IF(OR(N32="",P32="",N32=0),"",(N32-P32)/N32)</f>
        <v/>
      </c>
      <c r="O32" s="22">
        <v>77</v>
      </c>
      <c r="P32" s="22">
        <f>_xlfn.CEILING.MATH((O32+O32*18%),1)</f>
        <v>91</v>
      </c>
    </row>
    <row r="33" spans="1:16" s="22" customFormat="1">
      <c r="C33" s="22" t="s">
        <v>2637</v>
      </c>
      <c r="G33" s="22" t="s">
        <v>2704</v>
      </c>
      <c r="H33" s="22" t="str">
        <f>IF(OR(N33="",P33="",N33=0),"",(N33-P33)/N33)</f>
        <v/>
      </c>
      <c r="M33" s="22">
        <v>18</v>
      </c>
      <c r="O33" s="22">
        <f>_xlfn.CEILING.MATH((G33+G33*M33/100),1)</f>
        <v>65</v>
      </c>
      <c r="P33" s="22">
        <f>_xlfn.CEILING.MATH((O33+O33*18%),1)</f>
        <v>77</v>
      </c>
    </row>
    <row r="34" spans="1:16" s="22" customFormat="1">
      <c r="A34" s="22">
        <v>2</v>
      </c>
      <c r="C34" s="22" t="s">
        <v>2564</v>
      </c>
      <c r="E34" s="22" t="s">
        <v>2575</v>
      </c>
      <c r="H34" s="22" t="str">
        <f>IF(OR(N34="",P34="",N34=0),"",(N34-P34)/N34)</f>
        <v/>
      </c>
      <c r="O34" s="22">
        <v>275</v>
      </c>
      <c r="P34" s="22">
        <f>_xlfn.CEILING.MATH((O34+O34*18%),1)</f>
        <v>325</v>
      </c>
    </row>
    <row r="35" spans="1:16" s="22" customFormat="1">
      <c r="C35" s="22" t="s">
        <v>2564</v>
      </c>
      <c r="E35" s="22" t="s">
        <v>2575</v>
      </c>
      <c r="G35" s="22">
        <v>196</v>
      </c>
      <c r="H35" s="22" t="str">
        <f>IF(OR(N35="",P35="",N35=0),"",(N35-P35)/N35)</f>
        <v/>
      </c>
      <c r="M35" s="22">
        <v>18</v>
      </c>
      <c r="O35" s="22">
        <f>_xlfn.CEILING.MATH((G35+G35*M35/100),1)</f>
        <v>232</v>
      </c>
      <c r="P35" s="22">
        <f>_xlfn.CEILING.MATH((O35+O35*18%),1)</f>
        <v>274</v>
      </c>
    </row>
    <row r="36" spans="1:16" s="22" customFormat="1">
      <c r="A36" s="22">
        <v>27</v>
      </c>
      <c r="C36" s="22" t="s">
        <v>2537</v>
      </c>
      <c r="H36" s="22" t="str">
        <f>IF(OR(N36="",P36="",N36=0),"",(N36-P36)/N36)</f>
        <v/>
      </c>
      <c r="O36" s="22">
        <v>84</v>
      </c>
      <c r="P36" s="22">
        <f>_xlfn.CEILING.MATH((O36+O36*18%),1)</f>
        <v>100</v>
      </c>
    </row>
    <row r="37" spans="1:16" s="22" customFormat="1">
      <c r="C37" s="22" t="s">
        <v>2537</v>
      </c>
      <c r="G37" s="22">
        <v>60</v>
      </c>
      <c r="H37" s="22" t="str">
        <f>IF(OR(N37="",P37="",N37=0),"",(N37-P37)/N37)</f>
        <v/>
      </c>
      <c r="M37" s="22">
        <v>18</v>
      </c>
      <c r="O37" s="22">
        <f>_xlfn.CEILING.MATH((G37+G37*M37/100),1)</f>
        <v>71</v>
      </c>
      <c r="P37" s="22">
        <f>_xlfn.CEILING.MATH((O37+O37*18%),1)</f>
        <v>84</v>
      </c>
    </row>
    <row r="38" spans="1:16" s="22" customFormat="1">
      <c r="A38" s="22">
        <v>28</v>
      </c>
      <c r="C38" s="22" t="s">
        <v>2538</v>
      </c>
      <c r="H38" s="22" t="str">
        <f>IF(OR(N38="",P38="",N38=0),"",(N38-P38)/N38)</f>
        <v/>
      </c>
      <c r="O38" s="22">
        <v>84</v>
      </c>
      <c r="P38" s="22">
        <f>_xlfn.CEILING.MATH((O38+O38*18%),1)</f>
        <v>100</v>
      </c>
    </row>
    <row r="39" spans="1:16" s="22" customFormat="1">
      <c r="C39" s="22" t="s">
        <v>2538</v>
      </c>
      <c r="G39" s="22">
        <v>60</v>
      </c>
      <c r="H39" s="22" t="str">
        <f>IF(OR(N39="",P39="",N39=0),"",(N39-P39)/N39)</f>
        <v/>
      </c>
      <c r="M39" s="22">
        <v>18</v>
      </c>
      <c r="O39" s="22">
        <f>_xlfn.CEILING.MATH((G39+G39*M39/100),1)</f>
        <v>71</v>
      </c>
      <c r="P39" s="22">
        <f>_xlfn.CEILING.MATH((O39+O39*18%),1)</f>
        <v>84</v>
      </c>
    </row>
    <row r="40" spans="1:16" s="22" customFormat="1">
      <c r="A40" s="22">
        <v>1</v>
      </c>
      <c r="C40" s="22" t="s">
        <v>2576</v>
      </c>
      <c r="E40" s="22" t="s">
        <v>2623</v>
      </c>
      <c r="H40" s="22" t="str">
        <f>IF(OR(N40="",P40="",N40=0),"",(N40-P40)/N40)</f>
        <v/>
      </c>
      <c r="O40" s="22">
        <v>1064</v>
      </c>
      <c r="P40" s="22">
        <f>_xlfn.CEILING.MATH((O40+O40*18%),1)</f>
        <v>1256</v>
      </c>
    </row>
    <row r="41" spans="1:16" s="22" customFormat="1">
      <c r="C41" s="22" t="s">
        <v>2576</v>
      </c>
      <c r="G41" s="22">
        <v>759.33</v>
      </c>
      <c r="H41" s="22" t="str">
        <f>IF(OR(N41="",P41="",N41=0),"",(N41-P41)/N41)</f>
        <v/>
      </c>
      <c r="M41" s="22">
        <v>18</v>
      </c>
      <c r="O41" s="22">
        <f>_xlfn.CEILING.MATH((G41+G41*M41/100),1)</f>
        <v>897</v>
      </c>
      <c r="P41" s="22">
        <f>_xlfn.CEILING.MATH((O41+O41*18%),1)</f>
        <v>1059</v>
      </c>
    </row>
    <row r="42" spans="1:16" s="22" customFormat="1">
      <c r="A42" s="22">
        <v>2</v>
      </c>
      <c r="C42" s="22" t="s">
        <v>2577</v>
      </c>
      <c r="E42" s="22" t="s">
        <v>2623</v>
      </c>
      <c r="H42" s="22" t="str">
        <f>IF(OR(N42="",P42="",N42=0),"",(N42-P42)/N42)</f>
        <v/>
      </c>
      <c r="O42" s="22">
        <v>766</v>
      </c>
      <c r="P42" s="22">
        <f>_xlfn.CEILING.MATH((O42+O42*18%),1)</f>
        <v>904</v>
      </c>
    </row>
    <row r="43" spans="1:16" s="22" customFormat="1">
      <c r="C43" s="22" t="s">
        <v>2577</v>
      </c>
      <c r="G43" s="22">
        <v>546.98</v>
      </c>
      <c r="H43" s="22" t="str">
        <f>IF(OR(N43="",P43="",N43=0),"",(N43-P43)/N43)</f>
        <v/>
      </c>
      <c r="M43" s="22">
        <v>18</v>
      </c>
      <c r="O43" s="22">
        <f>_xlfn.CEILING.MATH((G43+G43*M43/100),1)</f>
        <v>646</v>
      </c>
      <c r="P43" s="22">
        <f>_xlfn.CEILING.MATH((O43+O43*18%),1)</f>
        <v>763</v>
      </c>
    </row>
    <row r="44" spans="1:16" s="22" customFormat="1">
      <c r="A44" s="22">
        <v>3</v>
      </c>
      <c r="C44" s="22" t="s">
        <v>2578</v>
      </c>
      <c r="E44" s="22" t="s">
        <v>2623</v>
      </c>
      <c r="H44" s="22" t="str">
        <f>IF(OR(N44="",P44="",N44=0),"",(N44-P44)/N44)</f>
        <v/>
      </c>
      <c r="O44" s="22">
        <v>744</v>
      </c>
      <c r="P44" s="22">
        <f>_xlfn.CEILING.MATH((O44+O44*18%),1)</f>
        <v>878</v>
      </c>
    </row>
    <row r="45" spans="1:16" s="22" customFormat="1">
      <c r="C45" s="22" t="s">
        <v>2578</v>
      </c>
      <c r="G45" s="22">
        <v>531.14</v>
      </c>
      <c r="H45" s="22" t="str">
        <f>IF(OR(N45="",P45="",N45=0),"",(N45-P45)/N45)</f>
        <v/>
      </c>
      <c r="M45" s="22">
        <v>18</v>
      </c>
      <c r="O45" s="22">
        <f>_xlfn.CEILING.MATH((G45+G45*M45/100),1)</f>
        <v>627</v>
      </c>
      <c r="P45" s="22">
        <f>_xlfn.CEILING.MATH((O45+O45*18%),1)</f>
        <v>740</v>
      </c>
    </row>
    <row r="46" spans="1:16" s="22" customFormat="1">
      <c r="A46" s="22">
        <v>4</v>
      </c>
      <c r="C46" s="22" t="s">
        <v>2579</v>
      </c>
      <c r="E46" s="22" t="s">
        <v>2623</v>
      </c>
      <c r="H46" s="22" t="str">
        <f>IF(OR(N46="",P46="",N46=0),"",(N46-P46)/N46)</f>
        <v/>
      </c>
      <c r="O46" s="22">
        <v>595</v>
      </c>
      <c r="P46" s="22">
        <f>_xlfn.CEILING.MATH((O46+O46*18%),1)</f>
        <v>703</v>
      </c>
    </row>
    <row r="47" spans="1:16" s="22" customFormat="1">
      <c r="C47" s="22" t="s">
        <v>2579</v>
      </c>
      <c r="G47" s="22">
        <v>424.71</v>
      </c>
      <c r="H47" s="22" t="str">
        <f>IF(OR(N47="",P47="",N47=0),"",(N47-P47)/N47)</f>
        <v/>
      </c>
      <c r="M47" s="22">
        <v>18</v>
      </c>
      <c r="O47" s="22">
        <f>_xlfn.CEILING.MATH((G47+G47*M47/100),1)</f>
        <v>502</v>
      </c>
      <c r="P47" s="22">
        <f>_xlfn.CEILING.MATH((O47+O47*18%),1)</f>
        <v>593</v>
      </c>
    </row>
    <row r="48" spans="1:16" s="22" customFormat="1">
      <c r="A48" s="22">
        <v>5</v>
      </c>
      <c r="C48" s="22" t="s">
        <v>2580</v>
      </c>
      <c r="E48" s="22" t="s">
        <v>2623</v>
      </c>
      <c r="H48" s="22" t="str">
        <f>IF(OR(N48="",P48="",N48=0),"",(N48-P48)/N48)</f>
        <v/>
      </c>
      <c r="O48" s="22">
        <v>847</v>
      </c>
      <c r="P48" s="22">
        <f>_xlfn.CEILING.MATH((O48+O48*18%),1)</f>
        <v>1000</v>
      </c>
    </row>
    <row r="49" spans="1:16" s="22" customFormat="1">
      <c r="C49" s="22" t="s">
        <v>2580</v>
      </c>
      <c r="G49" s="22">
        <v>604.89</v>
      </c>
      <c r="H49" s="22" t="str">
        <f>IF(OR(N49="",P49="",N49=0),"",(N49-P49)/N49)</f>
        <v/>
      </c>
      <c r="M49" s="22">
        <v>18</v>
      </c>
      <c r="O49" s="22">
        <f>_xlfn.CEILING.MATH((G49+G49*M49/100),1)</f>
        <v>714</v>
      </c>
      <c r="P49" s="22">
        <f>_xlfn.CEILING.MATH((O49+O49*18%),1)</f>
        <v>843</v>
      </c>
    </row>
    <row r="50" spans="1:16" s="22" customFormat="1">
      <c r="A50" s="22">
        <v>6</v>
      </c>
      <c r="C50" s="22" t="s">
        <v>2581</v>
      </c>
      <c r="E50" s="22" t="s">
        <v>2623</v>
      </c>
      <c r="H50" s="22" t="str">
        <f>IF(OR(N50="",P50="",N50=0),"",(N50-P50)/N50)</f>
        <v/>
      </c>
      <c r="O50" s="22">
        <v>685</v>
      </c>
      <c r="P50" s="22">
        <f>_xlfn.CEILING.MATH((O50+O50*18%),1)</f>
        <v>809</v>
      </c>
    </row>
    <row r="51" spans="1:16" s="22" customFormat="1">
      <c r="C51" s="22" t="s">
        <v>2581</v>
      </c>
      <c r="G51" s="22">
        <v>489.06</v>
      </c>
      <c r="H51" s="22" t="str">
        <f>IF(OR(N51="",P51="",N51=0),"",(N51-P51)/N51)</f>
        <v/>
      </c>
      <c r="M51" s="22">
        <v>18</v>
      </c>
      <c r="O51" s="22">
        <f>_xlfn.CEILING.MATH((G51+G51*M51/100),1)</f>
        <v>578</v>
      </c>
      <c r="P51" s="22">
        <f>_xlfn.CEILING.MATH((O51+O51*18%),1)</f>
        <v>683</v>
      </c>
    </row>
    <row r="52" spans="1:16" s="22" customFormat="1">
      <c r="A52" s="22">
        <v>7</v>
      </c>
      <c r="C52" s="22" t="s">
        <v>2582</v>
      </c>
      <c r="E52" s="22" t="s">
        <v>2623</v>
      </c>
      <c r="H52" s="22" t="str">
        <f>IF(OR(N52="",P52="",N52=0),"",(N52-P52)/N52)</f>
        <v/>
      </c>
      <c r="O52" s="22">
        <v>70</v>
      </c>
      <c r="P52" s="22">
        <f>_xlfn.CEILING.MATH((O52+O52*18%),1)</f>
        <v>83</v>
      </c>
    </row>
    <row r="53" spans="1:16" s="22" customFormat="1">
      <c r="C53" s="22" t="s">
        <v>2582</v>
      </c>
      <c r="G53" s="22">
        <v>49.5</v>
      </c>
      <c r="H53" s="22" t="str">
        <f>IF(OR(N53="",P53="",N53=0),"",(N53-P53)/N53)</f>
        <v/>
      </c>
      <c r="M53" s="22">
        <v>18</v>
      </c>
      <c r="O53" s="22">
        <f>_xlfn.CEILING.MATH((G53+G53*M53/100),1)</f>
        <v>59</v>
      </c>
      <c r="P53" s="22">
        <f>_xlfn.CEILING.MATH((O53+O53*18%),1)</f>
        <v>70</v>
      </c>
    </row>
    <row r="54" spans="1:16" s="22" customFormat="1">
      <c r="A54" s="22">
        <v>8</v>
      </c>
      <c r="C54" s="22" t="s">
        <v>2583</v>
      </c>
      <c r="E54" s="22" t="s">
        <v>2623</v>
      </c>
      <c r="H54" s="22" t="str">
        <f>IF(OR(N54="",P54="",N54=0),"",(N54-P54)/N54)</f>
        <v/>
      </c>
      <c r="O54" s="22">
        <v>235</v>
      </c>
      <c r="P54" s="22">
        <f>_xlfn.CEILING.MATH((O54+O54*18%),1)</f>
        <v>278</v>
      </c>
    </row>
    <row r="55" spans="1:16" s="22" customFormat="1">
      <c r="C55" s="22" t="s">
        <v>2583</v>
      </c>
      <c r="G55" s="22">
        <v>167.31</v>
      </c>
      <c r="H55" s="22" t="str">
        <f>IF(OR(N55="",P55="",N55=0),"",(N55-P55)/N55)</f>
        <v/>
      </c>
      <c r="M55" s="22">
        <v>18</v>
      </c>
      <c r="O55" s="22">
        <f>_xlfn.CEILING.MATH((G55+G55*M55/100),1)</f>
        <v>198</v>
      </c>
      <c r="P55" s="22">
        <f>_xlfn.CEILING.MATH((O55+O55*18%),1)</f>
        <v>234</v>
      </c>
    </row>
    <row r="56" spans="1:16" s="22" customFormat="1">
      <c r="A56" s="22">
        <v>9</v>
      </c>
      <c r="C56" s="22" t="s">
        <v>2584</v>
      </c>
      <c r="E56" s="22" t="s">
        <v>2623</v>
      </c>
      <c r="H56" s="22" t="str">
        <f>IF(OR(N56="",P56="",N56=0),"",(N56-P56)/N56)</f>
        <v/>
      </c>
      <c r="O56" s="22">
        <v>590</v>
      </c>
      <c r="P56" s="22">
        <f>_xlfn.CEILING.MATH((O56+O56*18%),1)</f>
        <v>697</v>
      </c>
    </row>
    <row r="57" spans="1:16" s="22" customFormat="1">
      <c r="C57" s="22" t="s">
        <v>2584</v>
      </c>
      <c r="G57" s="22">
        <v>420.75</v>
      </c>
      <c r="H57" s="22" t="str">
        <f>IF(OR(N57="",P57="",N57=0),"",(N57-P57)/N57)</f>
        <v/>
      </c>
      <c r="M57" s="22">
        <v>18</v>
      </c>
      <c r="O57" s="22">
        <f>_xlfn.CEILING.MATH((G57+G57*M57/100),1)</f>
        <v>497</v>
      </c>
      <c r="P57" s="22">
        <f>_xlfn.CEILING.MATH((O57+O57*18%),1)</f>
        <v>587</v>
      </c>
    </row>
    <row r="58" spans="1:16" s="22" customFormat="1">
      <c r="C58" s="22" t="s">
        <v>2694</v>
      </c>
      <c r="G58" s="22">
        <v>80508.47</v>
      </c>
      <c r="H58" s="22" t="str">
        <f>IF(OR(N58="",P58="",N58=0),"",(N58-P58)/N58)</f>
        <v/>
      </c>
      <c r="M58" s="22">
        <v>18</v>
      </c>
      <c r="O58" s="22">
        <f>_xlfn.CEILING.MATH((G58+G58*M58/100),1)</f>
        <v>95000</v>
      </c>
      <c r="P58" s="22">
        <f>_xlfn.CEILING.MATH((O58+O58*18%),1)</f>
        <v>112100</v>
      </c>
    </row>
    <row r="59" spans="1:16" s="22" customFormat="1">
      <c r="C59" s="22" t="s">
        <v>2655</v>
      </c>
      <c r="G59" s="22">
        <v>850</v>
      </c>
      <c r="H59" s="22" t="str">
        <f>IF(OR(N59="",P59="",N59=0),"",(N59-P59)/N59)</f>
        <v/>
      </c>
      <c r="M59" s="22">
        <v>18</v>
      </c>
      <c r="O59" s="22">
        <f>_xlfn.CEILING.MATH((G59+G59*M59/100),1)</f>
        <v>1003</v>
      </c>
      <c r="P59" s="22">
        <f>_xlfn.CEILING.MATH((O59+O59*18%),1)</f>
        <v>1184</v>
      </c>
    </row>
    <row r="60" spans="1:16" s="22" customFormat="1">
      <c r="A60" s="22">
        <v>29</v>
      </c>
      <c r="C60" s="22" t="s">
        <v>2539</v>
      </c>
      <c r="H60" s="22" t="str">
        <f>IF(OR(N60="",P60="",N60=0),"",(N60-P60)/N60)</f>
        <v/>
      </c>
      <c r="O60" s="22">
        <v>1250</v>
      </c>
      <c r="P60" s="22">
        <f>_xlfn.CEILING.MATH((O60+O60*18%),1)</f>
        <v>1475</v>
      </c>
    </row>
    <row r="61" spans="1:16" s="22" customFormat="1">
      <c r="C61" s="22" t="s">
        <v>2539</v>
      </c>
      <c r="G61" s="22">
        <v>1250</v>
      </c>
      <c r="H61" s="22" t="str">
        <f>IF(OR(N61="",P61="",N61=0),"",(N61-P61)/N61)</f>
        <v/>
      </c>
      <c r="M61" s="22">
        <v>18</v>
      </c>
      <c r="O61" s="22">
        <f>_xlfn.CEILING.MATH((G61+G61*M61/100),1)</f>
        <v>1475</v>
      </c>
      <c r="P61" s="22">
        <f>_xlfn.CEILING.MATH((O61+O61*18%),1)</f>
        <v>1741</v>
      </c>
    </row>
    <row r="62" spans="1:16" s="22" customFormat="1">
      <c r="A62" s="22">
        <v>30</v>
      </c>
      <c r="C62" s="22" t="s">
        <v>2540</v>
      </c>
      <c r="H62" s="22" t="str">
        <f>IF(OR(N62="",P62="",N62=0),"",(N62-P62)/N62)</f>
        <v/>
      </c>
      <c r="O62" s="22">
        <v>46000</v>
      </c>
      <c r="P62" s="22">
        <f>_xlfn.CEILING.MATH((O62+O62*18%),1)</f>
        <v>54280</v>
      </c>
    </row>
    <row r="63" spans="1:16" s="22" customFormat="1">
      <c r="C63" s="22" t="s">
        <v>2540</v>
      </c>
      <c r="G63" s="22">
        <v>42500</v>
      </c>
      <c r="H63" s="22" t="str">
        <f>IF(OR(N63="",P63="",N63=0),"",(N63-P63)/N63)</f>
        <v/>
      </c>
      <c r="M63" s="22">
        <v>18</v>
      </c>
      <c r="O63" s="22">
        <f>_xlfn.CEILING.MATH((G63+G63*M63/100),1)</f>
        <v>50150</v>
      </c>
      <c r="P63" s="22">
        <f>_xlfn.CEILING.MATH((O63+O63*18%),1)</f>
        <v>59177</v>
      </c>
    </row>
    <row r="64" spans="1:16" s="22" customFormat="1">
      <c r="A64" s="22">
        <v>62</v>
      </c>
      <c r="C64" s="22" t="s">
        <v>2638</v>
      </c>
      <c r="E64" s="22" t="s">
        <v>2647</v>
      </c>
      <c r="H64" s="22" t="str">
        <f>IF(OR(N64="",P64="",N64=0),"",(N64-P64)/N64)</f>
        <v/>
      </c>
      <c r="O64" s="22">
        <v>700</v>
      </c>
      <c r="P64" s="22">
        <f>_xlfn.CEILING.MATH((O64+O64*18%),1)</f>
        <v>826</v>
      </c>
    </row>
    <row r="65" spans="1:16" s="22" customFormat="1">
      <c r="A65" s="22">
        <v>63</v>
      </c>
      <c r="C65" s="22" t="s">
        <v>2638</v>
      </c>
      <c r="E65" s="22" t="s">
        <v>2647</v>
      </c>
      <c r="H65" s="22" t="str">
        <f>IF(OR(N65="",P65="",N65=0),"",(N65-P65)/N65)</f>
        <v/>
      </c>
      <c r="O65" s="22">
        <v>875</v>
      </c>
      <c r="P65" s="22">
        <f>_xlfn.CEILING.MATH((O65+O65*18%),1)</f>
        <v>1033</v>
      </c>
    </row>
    <row r="66" spans="1:16" s="22" customFormat="1">
      <c r="C66" s="22" t="s">
        <v>2638</v>
      </c>
      <c r="G66" s="22" t="s">
        <v>2701</v>
      </c>
      <c r="H66" s="22" t="str">
        <f>IF(OR(N66="",P66="",N66=0),"",(N66-P66)/N66)</f>
        <v/>
      </c>
      <c r="M66" s="22">
        <v>18</v>
      </c>
      <c r="O66" s="22">
        <f>_xlfn.CEILING.MATH((G66+G66*M66/100),1)</f>
        <v>590</v>
      </c>
      <c r="P66" s="22">
        <f>_xlfn.CEILING.MATH((O66+O66*18%),1)</f>
        <v>697</v>
      </c>
    </row>
    <row r="67" spans="1:16" s="22" customFormat="1">
      <c r="C67" s="22" t="s">
        <v>2638</v>
      </c>
      <c r="G67" s="22" t="s">
        <v>2702</v>
      </c>
      <c r="H67" s="22" t="str">
        <f>IF(OR(N67="",P67="",N67=0),"",(N67-P67)/N67)</f>
        <v/>
      </c>
      <c r="M67" s="22">
        <v>18</v>
      </c>
      <c r="O67" s="22">
        <f>_xlfn.CEILING.MATH((G67+G67*M67/100),1)</f>
        <v>738</v>
      </c>
      <c r="P67" s="22">
        <f>_xlfn.CEILING.MATH((O67+O67*18%),1)</f>
        <v>871</v>
      </c>
    </row>
    <row r="68" spans="1:16" s="22" customFormat="1">
      <c r="A68" s="22">
        <v>64</v>
      </c>
      <c r="C68" s="22" t="s">
        <v>2639</v>
      </c>
      <c r="E68" s="22" t="s">
        <v>2647</v>
      </c>
      <c r="H68" s="22" t="str">
        <f>IF(OR(N68="",P68="",N68=0),"",(N68-P68)/N68)</f>
        <v/>
      </c>
      <c r="O68" s="22">
        <v>138</v>
      </c>
      <c r="P68" s="22">
        <f>_xlfn.CEILING.MATH((O68+O68*18%),1)</f>
        <v>163</v>
      </c>
    </row>
    <row r="69" spans="1:16" s="22" customFormat="1">
      <c r="C69" s="22" t="s">
        <v>2639</v>
      </c>
      <c r="G69" s="22" t="s">
        <v>2699</v>
      </c>
      <c r="H69" s="22" t="str">
        <f>IF(OR(N69="",P69="",N69=0),"",(N69-P69)/N69)</f>
        <v/>
      </c>
      <c r="M69" s="22">
        <v>18</v>
      </c>
      <c r="O69" s="22">
        <f>_xlfn.CEILING.MATH((G69+G69*M69/100),1)</f>
        <v>116</v>
      </c>
      <c r="P69" s="22">
        <f>_xlfn.CEILING.MATH((O69+O69*18%),1)</f>
        <v>137</v>
      </c>
    </row>
    <row r="70" spans="1:16" s="22" customFormat="1">
      <c r="A70" s="22">
        <v>65</v>
      </c>
      <c r="C70" s="22" t="s">
        <v>2640</v>
      </c>
      <c r="E70" s="22" t="s">
        <v>2647</v>
      </c>
      <c r="H70" s="22" t="str">
        <f>IF(OR(N70="",P70="",N70=0),"",(N70-P70)/N70)</f>
        <v/>
      </c>
      <c r="O70" s="22">
        <v>167</v>
      </c>
      <c r="P70" s="22">
        <f>_xlfn.CEILING.MATH((O70+O70*18%),1)</f>
        <v>198</v>
      </c>
    </row>
    <row r="71" spans="1:16" s="22" customFormat="1">
      <c r="C71" s="22" t="s">
        <v>2640</v>
      </c>
      <c r="G71" s="22" t="s">
        <v>2700</v>
      </c>
      <c r="H71" s="22" t="str">
        <f>IF(OR(N71="",P71="",N71=0),"",(N71-P71)/N71)</f>
        <v/>
      </c>
      <c r="M71" s="22">
        <v>18</v>
      </c>
      <c r="O71" s="22">
        <f>_xlfn.CEILING.MATH((G71+G71*M71/100),1)</f>
        <v>141</v>
      </c>
      <c r="P71" s="22">
        <f>_xlfn.CEILING.MATH((O71+O71*18%),1)</f>
        <v>167</v>
      </c>
    </row>
    <row r="72" spans="1:16" s="22" customFormat="1">
      <c r="A72" s="22">
        <v>66</v>
      </c>
      <c r="C72" s="22" t="s">
        <v>2641</v>
      </c>
      <c r="E72" s="22" t="s">
        <v>2647</v>
      </c>
      <c r="H72" s="22" t="str">
        <f>IF(OR(N72="",P72="",N72=0),"",(N72-P72)/N72)</f>
        <v/>
      </c>
      <c r="O72" s="22">
        <v>19</v>
      </c>
      <c r="P72" s="22">
        <f>_xlfn.CEILING.MATH((O72+O72*18%),1)</f>
        <v>23</v>
      </c>
    </row>
    <row r="73" spans="1:16" s="22" customFormat="1">
      <c r="C73" s="22" t="s">
        <v>2641</v>
      </c>
      <c r="G73" s="22" t="s">
        <v>2706</v>
      </c>
      <c r="H73" s="22" t="str">
        <f>IF(OR(N73="",P73="",N73=0),"",(N73-P73)/N73)</f>
        <v/>
      </c>
      <c r="M73" s="22">
        <v>18</v>
      </c>
      <c r="O73" s="22">
        <f>_xlfn.CEILING.MATH((G73+G73*M73/100),1)</f>
        <v>16</v>
      </c>
      <c r="P73" s="22">
        <f>_xlfn.CEILING.MATH((O73+O73*18%),1)</f>
        <v>19</v>
      </c>
    </row>
    <row r="74" spans="1:16" s="22" customFormat="1">
      <c r="A74" s="22">
        <v>31</v>
      </c>
      <c r="C74" s="22" t="s">
        <v>2541</v>
      </c>
      <c r="H74" s="22" t="str">
        <f>IF(OR(N74="",P74="",N74=0),"",(N74-P74)/N74)</f>
        <v/>
      </c>
      <c r="O74" s="22">
        <v>63</v>
      </c>
      <c r="P74" s="22">
        <f>_xlfn.CEILING.MATH((O74+O74*18%),1)</f>
        <v>75</v>
      </c>
    </row>
    <row r="75" spans="1:16" s="22" customFormat="1">
      <c r="C75" s="22" t="s">
        <v>2541</v>
      </c>
      <c r="G75" s="22">
        <v>45</v>
      </c>
      <c r="H75" s="22" t="str">
        <f>IF(OR(N75="",P75="",N75=0),"",(N75-P75)/N75)</f>
        <v/>
      </c>
      <c r="M75" s="22">
        <v>18</v>
      </c>
      <c r="O75" s="22">
        <f>_xlfn.CEILING.MATH((G75+G75*M75/100),1)</f>
        <v>54</v>
      </c>
      <c r="P75" s="22">
        <f>_xlfn.CEILING.MATH((O75+O75*18%),1)</f>
        <v>64</v>
      </c>
    </row>
    <row r="76" spans="1:16" s="22" customFormat="1">
      <c r="A76" s="22">
        <v>32</v>
      </c>
      <c r="C76" s="22" t="s">
        <v>2542</v>
      </c>
      <c r="H76" s="22" t="str">
        <f>IF(OR(N76="",P76="",N76=0),"",(N76-P76)/N76)</f>
        <v/>
      </c>
      <c r="O76" s="22">
        <v>3480</v>
      </c>
      <c r="P76" s="22">
        <f>_xlfn.CEILING.MATH((O76+O76*18%),1)</f>
        <v>4107</v>
      </c>
    </row>
    <row r="77" spans="1:16" s="22" customFormat="1">
      <c r="C77" s="22" t="s">
        <v>2542</v>
      </c>
      <c r="G77" s="22">
        <v>3200</v>
      </c>
      <c r="H77" s="22" t="str">
        <f>IF(OR(N77="",P77="",N77=0),"",(N77-P77)/N77)</f>
        <v/>
      </c>
      <c r="M77" s="22">
        <v>18</v>
      </c>
      <c r="O77" s="22">
        <f>_xlfn.CEILING.MATH((G77+G77*M77/100),1)</f>
        <v>3776</v>
      </c>
      <c r="P77" s="22">
        <f>_xlfn.CEILING.MATH((O77+O77*18%),1)</f>
        <v>4456</v>
      </c>
    </row>
    <row r="78" spans="1:16" s="22" customFormat="1">
      <c r="C78" s="22" t="s">
        <v>2542</v>
      </c>
      <c r="G78" s="22">
        <v>666.9</v>
      </c>
      <c r="H78" s="22" t="str">
        <f>IF(OR(N78="",P78="",N78=0),"",(N78-P78)/N78)</f>
        <v/>
      </c>
      <c r="M78" s="22">
        <v>18</v>
      </c>
      <c r="O78" s="22">
        <f>_xlfn.CEILING.MATH((G78+G78*M78/100),1)</f>
        <v>787</v>
      </c>
      <c r="P78" s="22">
        <f>_xlfn.CEILING.MATH((O78+O78*18%),1)</f>
        <v>929</v>
      </c>
    </row>
    <row r="79" spans="1:16" s="22" customFormat="1">
      <c r="C79" s="22" t="s">
        <v>2660</v>
      </c>
      <c r="G79" s="22">
        <v>666.9</v>
      </c>
      <c r="H79" s="22" t="str">
        <f>IF(OR(N79="",P79="",N79=0),"",(N79-P79)/N79)</f>
        <v/>
      </c>
      <c r="M79" s="22">
        <v>18</v>
      </c>
      <c r="O79" s="22">
        <f>_xlfn.CEILING.MATH((G79+G79*M79/100),1)</f>
        <v>787</v>
      </c>
      <c r="P79" s="22">
        <f>_xlfn.CEILING.MATH((O79+O79*18%),1)</f>
        <v>929</v>
      </c>
    </row>
    <row r="80" spans="1:16" s="22" customFormat="1">
      <c r="A80" s="22">
        <v>33</v>
      </c>
      <c r="C80" s="22" t="s">
        <v>2543</v>
      </c>
      <c r="H80" s="22" t="str">
        <f>IF(OR(N80="",P80="",N80=0),"",(N80-P80)/N80)</f>
        <v/>
      </c>
      <c r="O80" s="22">
        <v>6830</v>
      </c>
      <c r="P80" s="22">
        <f>_xlfn.CEILING.MATH((O80+O80*18%),1)</f>
        <v>8060</v>
      </c>
    </row>
    <row r="81" spans="1:16" s="22" customFormat="1">
      <c r="C81" s="22" t="s">
        <v>2543</v>
      </c>
      <c r="G81" s="22">
        <v>2561.5</v>
      </c>
      <c r="H81" s="22" t="str">
        <f>IF(OR(N81="",P81="",N81=0),"",(N81-P81)/N81)</f>
        <v/>
      </c>
      <c r="M81" s="22">
        <v>18</v>
      </c>
      <c r="O81" s="22">
        <f>_xlfn.CEILING.MATH((G81+G81*M81/100),1)</f>
        <v>3023</v>
      </c>
      <c r="P81" s="22">
        <f>_xlfn.CEILING.MATH((O81+O81*18%),1)</f>
        <v>3568</v>
      </c>
    </row>
    <row r="82" spans="1:16" s="22" customFormat="1">
      <c r="A82" s="22">
        <v>34</v>
      </c>
      <c r="C82" s="22" t="s">
        <v>2544</v>
      </c>
      <c r="H82" s="22" t="str">
        <f>IF(OR(N82="",P82="",N82=0),"",(N82-P82)/N82)</f>
        <v/>
      </c>
      <c r="O82" s="22">
        <v>5280</v>
      </c>
      <c r="P82" s="22">
        <f>_xlfn.CEILING.MATH((O82+O82*18%),1)</f>
        <v>6231</v>
      </c>
    </row>
    <row r="83" spans="1:16" s="22" customFormat="1">
      <c r="C83" s="22" t="s">
        <v>2544</v>
      </c>
      <c r="G83" s="22">
        <v>2354.09</v>
      </c>
      <c r="H83" s="22" t="str">
        <f>IF(OR(N83="",P83="",N83=0),"",(N83-P83)/N83)</f>
        <v/>
      </c>
      <c r="M83" s="22">
        <v>18</v>
      </c>
      <c r="O83" s="22">
        <f>_xlfn.CEILING.MATH((G83+G83*M83/100),1)</f>
        <v>2778</v>
      </c>
      <c r="P83" s="22">
        <f>_xlfn.CEILING.MATH((O83+O83*18%),1)</f>
        <v>3279</v>
      </c>
    </row>
    <row r="84" spans="1:16" s="22" customFormat="1">
      <c r="A84" s="22">
        <v>35</v>
      </c>
      <c r="C84" s="22" t="s">
        <v>2545</v>
      </c>
      <c r="H84" s="22" t="str">
        <f>IF(OR(N84="",P84="",N84=0),"",(N84-P84)/N84)</f>
        <v/>
      </c>
      <c r="O84" s="22">
        <v>42</v>
      </c>
      <c r="P84" s="22">
        <f>_xlfn.CEILING.MATH((O84+O84*18%),1)</f>
        <v>50</v>
      </c>
    </row>
    <row r="85" spans="1:16" s="22" customFormat="1">
      <c r="C85" s="22" t="s">
        <v>2545</v>
      </c>
      <c r="G85" s="22">
        <v>20</v>
      </c>
      <c r="H85" s="22" t="str">
        <f>IF(OR(N85="",P85="",N85=0),"",(N85-P85)/N85)</f>
        <v/>
      </c>
      <c r="M85" s="22">
        <v>18</v>
      </c>
      <c r="O85" s="22">
        <f>_xlfn.CEILING.MATH((G85+G85*M85/100),1)</f>
        <v>24</v>
      </c>
      <c r="P85" s="22">
        <f>_xlfn.CEILING.MATH((O85+O85*18%),1)</f>
        <v>29</v>
      </c>
    </row>
    <row r="86" spans="1:16" s="22" customFormat="1">
      <c r="C86" s="22" t="s">
        <v>2685</v>
      </c>
      <c r="G86" s="22">
        <v>130</v>
      </c>
      <c r="H86" s="22" t="str">
        <f>IF(OR(N86="",P86="",N86=0),"",(N86-P86)/N86)</f>
        <v/>
      </c>
      <c r="M86" s="22">
        <v>18</v>
      </c>
      <c r="O86" s="22">
        <f>_xlfn.CEILING.MATH((G86+G86*M86/100),1)</f>
        <v>154</v>
      </c>
      <c r="P86" s="22">
        <f>_xlfn.CEILING.MATH((O86+O86*18%),1)</f>
        <v>182</v>
      </c>
    </row>
    <row r="87" spans="1:16" s="22" customFormat="1">
      <c r="A87" s="22">
        <v>50</v>
      </c>
      <c r="C87" s="22" t="s">
        <v>2625</v>
      </c>
      <c r="E87" s="22" t="s">
        <v>2624</v>
      </c>
      <c r="H87" s="22" t="str">
        <f>IF(OR(N87="",P87="",N87=0),"",(N87-P87)/N87)</f>
        <v/>
      </c>
      <c r="O87" s="22">
        <v>350</v>
      </c>
      <c r="P87" s="22">
        <f>_xlfn.CEILING.MATH((O87+O87*18%),1)</f>
        <v>413</v>
      </c>
    </row>
    <row r="88" spans="1:16" s="22" customFormat="1">
      <c r="C88" s="22" t="s">
        <v>2625</v>
      </c>
      <c r="G88" s="22">
        <v>250</v>
      </c>
      <c r="H88" s="22" t="str">
        <f>IF(OR(N88="",P88="",N88=0),"",(N88-P88)/N88)</f>
        <v/>
      </c>
      <c r="M88" s="22">
        <v>18</v>
      </c>
      <c r="O88" s="22">
        <f>_xlfn.CEILING.MATH((G88+G88*M88/100),1)</f>
        <v>295</v>
      </c>
      <c r="P88" s="22">
        <f>_xlfn.CEILING.MATH((O88+O88*18%),1)</f>
        <v>349</v>
      </c>
    </row>
    <row r="89" spans="1:16" s="22" customFormat="1">
      <c r="C89" s="22" t="s">
        <v>2680</v>
      </c>
      <c r="G89" s="22">
        <v>28</v>
      </c>
      <c r="H89" s="22" t="str">
        <f>IF(OR(N89="",P89="",N89=0),"",(N89-P89)/N89)</f>
        <v/>
      </c>
      <c r="M89" s="22">
        <v>18</v>
      </c>
      <c r="O89" s="22">
        <f>_xlfn.CEILING.MATH((G89+G89*M89/100),1)</f>
        <v>34</v>
      </c>
      <c r="P89" s="22">
        <f>_xlfn.CEILING.MATH((O89+O89*18%),1)</f>
        <v>41</v>
      </c>
    </row>
    <row r="90" spans="1:16" s="22" customFormat="1">
      <c r="A90" s="22">
        <v>51</v>
      </c>
      <c r="C90" s="22" t="s">
        <v>2626</v>
      </c>
      <c r="E90" s="22" t="s">
        <v>2624</v>
      </c>
      <c r="H90" s="22" t="str">
        <f>IF(OR(N90="",P90="",N90=0),"",(N90-P90)/N90)</f>
        <v/>
      </c>
      <c r="O90" s="22">
        <v>84</v>
      </c>
      <c r="P90" s="22">
        <f>_xlfn.CEILING.MATH((O90+O90*18%),1)</f>
        <v>100</v>
      </c>
    </row>
    <row r="91" spans="1:16" s="22" customFormat="1">
      <c r="C91" s="22" t="s">
        <v>2626</v>
      </c>
      <c r="G91" s="22">
        <v>60</v>
      </c>
      <c r="H91" s="22" t="str">
        <f>IF(OR(N91="",P91="",N91=0),"",(N91-P91)/N91)</f>
        <v/>
      </c>
      <c r="M91" s="22">
        <v>18</v>
      </c>
      <c r="O91" s="22">
        <f>_xlfn.CEILING.MATH((G91+G91*M91/100),1)</f>
        <v>71</v>
      </c>
      <c r="P91" s="22">
        <f>_xlfn.CEILING.MATH((O91+O91*18%),1)</f>
        <v>84</v>
      </c>
    </row>
    <row r="92" spans="1:16" s="22" customFormat="1">
      <c r="C92" s="22" t="s">
        <v>2677</v>
      </c>
      <c r="G92" s="22">
        <v>10</v>
      </c>
      <c r="H92" s="22" t="str">
        <f>IF(OR(N92="",P92="",N92=0),"",(N92-P92)/N92)</f>
        <v/>
      </c>
      <c r="M92" s="22">
        <v>18</v>
      </c>
      <c r="O92" s="22">
        <f>_xlfn.CEILING.MATH((G92+G92*M92/100),1)</f>
        <v>12</v>
      </c>
      <c r="P92" s="22">
        <f>_xlfn.CEILING.MATH((O92+O92*18%),1)</f>
        <v>15</v>
      </c>
    </row>
    <row r="93" spans="1:16" s="22" customFormat="1">
      <c r="A93" s="22">
        <v>52</v>
      </c>
      <c r="C93" s="22" t="s">
        <v>2627</v>
      </c>
      <c r="E93" s="22" t="s">
        <v>2624</v>
      </c>
      <c r="H93" s="22" t="str">
        <f>IF(OR(N93="",P93="",N93=0),"",(N93-P93)/N93)</f>
        <v/>
      </c>
      <c r="O93" s="22">
        <v>26</v>
      </c>
      <c r="P93" s="22">
        <f>_xlfn.CEILING.MATH((O93+O93*18%),1)</f>
        <v>31</v>
      </c>
    </row>
    <row r="94" spans="1:16" s="22" customFormat="1">
      <c r="C94" s="22" t="s">
        <v>2627</v>
      </c>
      <c r="G94" s="22">
        <v>18</v>
      </c>
      <c r="H94" s="22" t="str">
        <f>IF(OR(N94="",P94="",N94=0),"",(N94-P94)/N94)</f>
        <v/>
      </c>
      <c r="M94" s="22">
        <v>18</v>
      </c>
      <c r="O94" s="22">
        <f>_xlfn.CEILING.MATH((G94+G94*M94/100),1)</f>
        <v>22</v>
      </c>
      <c r="P94" s="22">
        <f>_xlfn.CEILING.MATH((O94+O94*18%),1)</f>
        <v>26</v>
      </c>
    </row>
    <row r="95" spans="1:16" s="22" customFormat="1">
      <c r="C95" s="22" t="s">
        <v>2688</v>
      </c>
      <c r="G95" s="22">
        <v>300</v>
      </c>
      <c r="H95" s="22" t="str">
        <f>IF(OR(N95="",P95="",N95=0),"",(N95-P95)/N95)</f>
        <v/>
      </c>
      <c r="M95" s="22">
        <v>18</v>
      </c>
      <c r="O95" s="22">
        <f>_xlfn.CEILING.MATH((G95+G95*M95/100),1)</f>
        <v>354</v>
      </c>
      <c r="P95" s="22">
        <f>_xlfn.CEILING.MATH((O95+O95*18%),1)</f>
        <v>418</v>
      </c>
    </row>
    <row r="96" spans="1:16" s="22" customFormat="1">
      <c r="C96" s="22" t="s">
        <v>2683</v>
      </c>
      <c r="G96" s="22">
        <v>90</v>
      </c>
      <c r="H96" s="22" t="str">
        <f>IF(OR(N96="",P96="",N96=0),"",(N96-P96)/N96)</f>
        <v/>
      </c>
      <c r="M96" s="22">
        <v>18</v>
      </c>
      <c r="O96" s="22">
        <f>_xlfn.CEILING.MATH((G96+G96*M96/100),1)</f>
        <v>107</v>
      </c>
      <c r="P96" s="22">
        <f>_xlfn.CEILING.MATH((O96+O96*18%),1)</f>
        <v>127</v>
      </c>
    </row>
    <row r="97" spans="1:16" s="22" customFormat="1">
      <c r="A97" s="22">
        <v>53</v>
      </c>
      <c r="C97" s="22" t="s">
        <v>2628</v>
      </c>
      <c r="E97" s="22" t="s">
        <v>2624</v>
      </c>
      <c r="H97" s="22" t="str">
        <f>IF(OR(N97="",P97="",N97=0),"",(N97-P97)/N97)</f>
        <v/>
      </c>
      <c r="O97" s="22">
        <v>252</v>
      </c>
      <c r="P97" s="22">
        <f>_xlfn.CEILING.MATH((O97+O97*18%),1)</f>
        <v>298</v>
      </c>
    </row>
    <row r="98" spans="1:16" s="22" customFormat="1">
      <c r="C98" s="22" t="s">
        <v>2628</v>
      </c>
      <c r="G98" s="22">
        <v>180</v>
      </c>
      <c r="H98" s="22" t="str">
        <f>IF(OR(N98="",P98="",N98=0),"",(N98-P98)/N98)</f>
        <v/>
      </c>
      <c r="M98" s="22">
        <v>18</v>
      </c>
      <c r="O98" s="22">
        <f>_xlfn.CEILING.MATH((G98+G98*M98/100),1)</f>
        <v>213</v>
      </c>
      <c r="P98" s="22">
        <f>_xlfn.CEILING.MATH((O98+O98*18%),1)</f>
        <v>252</v>
      </c>
    </row>
    <row r="99" spans="1:16" s="22" customFormat="1">
      <c r="C99" s="22" t="s">
        <v>2689</v>
      </c>
      <c r="G99" s="22">
        <v>240</v>
      </c>
      <c r="H99" s="22" t="str">
        <f>IF(OR(N99="",P99="",N99=0),"",(N99-P99)/N99)</f>
        <v/>
      </c>
      <c r="M99" s="22">
        <v>18</v>
      </c>
      <c r="O99" s="22">
        <f>_xlfn.CEILING.MATH((G99+G99*M99/100),1)</f>
        <v>284</v>
      </c>
      <c r="P99" s="22">
        <f>_xlfn.CEILING.MATH((O99+O99*18%),1)</f>
        <v>336</v>
      </c>
    </row>
    <row r="100" spans="1:16" s="22" customFormat="1">
      <c r="C100" s="22" t="s">
        <v>2690</v>
      </c>
      <c r="G100" s="22">
        <v>320</v>
      </c>
      <c r="H100" s="22" t="str">
        <f>IF(OR(N100="",P100="",N100=0),"",(N100-P100)/N100)</f>
        <v/>
      </c>
      <c r="M100" s="22">
        <v>18</v>
      </c>
      <c r="O100" s="22">
        <f>_xlfn.CEILING.MATH((G100+G100*M100/100),1)</f>
        <v>378</v>
      </c>
      <c r="P100" s="22">
        <f>_xlfn.CEILING.MATH((O100+O100*18%),1)</f>
        <v>447</v>
      </c>
    </row>
    <row r="101" spans="1:16" s="22" customFormat="1">
      <c r="C101" s="22" t="s">
        <v>2691</v>
      </c>
      <c r="G101" s="22">
        <v>350</v>
      </c>
      <c r="H101" s="22" t="str">
        <f>IF(OR(N101="",P101="",N101=0),"",(N101-P101)/N101)</f>
        <v/>
      </c>
      <c r="M101" s="22">
        <v>18</v>
      </c>
      <c r="O101" s="22">
        <f>_xlfn.CEILING.MATH((G101+G101*M101/100),1)</f>
        <v>413</v>
      </c>
      <c r="P101" s="22">
        <f>_xlfn.CEILING.MATH((O101+O101*18%),1)</f>
        <v>488</v>
      </c>
    </row>
    <row r="102" spans="1:16" s="22" customFormat="1">
      <c r="C102" s="22" t="s">
        <v>2692</v>
      </c>
      <c r="G102" s="22">
        <v>380</v>
      </c>
      <c r="H102" s="22" t="str">
        <f>IF(OR(N102="",P102="",N102=0),"",(N102-P102)/N102)</f>
        <v/>
      </c>
      <c r="M102" s="22">
        <v>18</v>
      </c>
      <c r="O102" s="22">
        <f>_xlfn.CEILING.MATH((G102+G102*M102/100),1)</f>
        <v>449</v>
      </c>
      <c r="P102" s="22">
        <f>_xlfn.CEILING.MATH((O102+O102*18%),1)</f>
        <v>530</v>
      </c>
    </row>
    <row r="103" spans="1:16" s="22" customFormat="1">
      <c r="C103" s="22" t="s">
        <v>2678</v>
      </c>
      <c r="G103" s="22">
        <v>18</v>
      </c>
      <c r="H103" s="22" t="str">
        <f>IF(OR(N103="",P103="",N103=0),"",(N103-P103)/N103)</f>
        <v/>
      </c>
      <c r="M103" s="22">
        <v>18</v>
      </c>
      <c r="O103" s="22">
        <f>_xlfn.CEILING.MATH((G103+G103*M103/100),1)</f>
        <v>22</v>
      </c>
      <c r="P103" s="22">
        <f>_xlfn.CEILING.MATH((O103+O103*18%),1)</f>
        <v>26</v>
      </c>
    </row>
    <row r="104" spans="1:16" s="22" customFormat="1">
      <c r="A104" s="22">
        <v>54</v>
      </c>
      <c r="C104" s="22" t="s">
        <v>2629</v>
      </c>
      <c r="E104" s="22" t="s">
        <v>2624</v>
      </c>
      <c r="H104" s="22" t="str">
        <f>IF(OR(N104="",P104="",N104=0),"",(N104-P104)/N104)</f>
        <v/>
      </c>
      <c r="O104" s="22">
        <v>56</v>
      </c>
      <c r="P104" s="22">
        <f>_xlfn.CEILING.MATH((O104+O104*18%),1)</f>
        <v>67</v>
      </c>
    </row>
    <row r="105" spans="1:16" s="22" customFormat="1">
      <c r="C105" s="22" t="s">
        <v>2629</v>
      </c>
      <c r="G105" s="22">
        <v>40</v>
      </c>
      <c r="H105" s="22" t="str">
        <f>IF(OR(N105="",P105="",N105=0),"",(N105-P105)/N105)</f>
        <v/>
      </c>
      <c r="M105" s="22">
        <v>18</v>
      </c>
      <c r="O105" s="22">
        <f>_xlfn.CEILING.MATH((G105+G105*M105/100),1)</f>
        <v>48</v>
      </c>
      <c r="P105" s="22">
        <f>_xlfn.CEILING.MATH((O105+O105*18%),1)</f>
        <v>57</v>
      </c>
    </row>
    <row r="106" spans="1:16" s="22" customFormat="1">
      <c r="C106" s="22" t="s">
        <v>2682</v>
      </c>
      <c r="G106" s="22">
        <v>65</v>
      </c>
      <c r="H106" s="22" t="str">
        <f>IF(OR(N106="",P106="",N106=0),"",(N106-P106)/N106)</f>
        <v/>
      </c>
      <c r="M106" s="22">
        <v>18</v>
      </c>
      <c r="O106" s="22">
        <f>_xlfn.CEILING.MATH((G106+G106*M106/100),1)</f>
        <v>77</v>
      </c>
      <c r="P106" s="22">
        <f>_xlfn.CEILING.MATH((O106+O106*18%),1)</f>
        <v>91</v>
      </c>
    </row>
    <row r="107" spans="1:16" s="22" customFormat="1">
      <c r="A107" s="22">
        <v>55</v>
      </c>
      <c r="C107" s="22" t="s">
        <v>2630</v>
      </c>
      <c r="E107" s="22" t="s">
        <v>2624</v>
      </c>
      <c r="H107" s="22" t="str">
        <f>IF(OR(N107="",P107="",N107=0),"",(N107-P107)/N107)</f>
        <v/>
      </c>
      <c r="O107" s="22">
        <v>224</v>
      </c>
      <c r="P107" s="22">
        <f>_xlfn.CEILING.MATH((O107+O107*18%),1)</f>
        <v>265</v>
      </c>
    </row>
    <row r="108" spans="1:16" s="22" customFormat="1">
      <c r="C108" s="22" t="s">
        <v>2630</v>
      </c>
      <c r="G108" s="22">
        <v>160</v>
      </c>
      <c r="H108" s="22" t="str">
        <f>IF(OR(N108="",P108="",N108=0),"",(N108-P108)/N108)</f>
        <v/>
      </c>
      <c r="M108" s="22">
        <v>18</v>
      </c>
      <c r="O108" s="22">
        <f>_xlfn.CEILING.MATH((G108+G108*M108/100),1)</f>
        <v>189</v>
      </c>
      <c r="P108" s="22">
        <f>_xlfn.CEILING.MATH((O108+O108*18%),1)</f>
        <v>224</v>
      </c>
    </row>
    <row r="109" spans="1:16" s="22" customFormat="1">
      <c r="C109" s="22" t="s">
        <v>2681</v>
      </c>
      <c r="G109" s="22">
        <v>50</v>
      </c>
      <c r="H109" s="22" t="str">
        <f>IF(OR(N109="",P109="",N109=0),"",(N109-P109)/N109)</f>
        <v/>
      </c>
      <c r="M109" s="22">
        <v>18</v>
      </c>
      <c r="O109" s="22">
        <f>_xlfn.CEILING.MATH((G109+G109*M109/100),1)</f>
        <v>59</v>
      </c>
      <c r="P109" s="22">
        <f>_xlfn.CEILING.MATH((O109+O109*18%),1)</f>
        <v>70</v>
      </c>
    </row>
    <row r="110" spans="1:16" s="22" customFormat="1">
      <c r="A110" s="22">
        <v>56</v>
      </c>
      <c r="C110" s="22" t="s">
        <v>2631</v>
      </c>
      <c r="E110" s="22" t="s">
        <v>2624</v>
      </c>
      <c r="H110" s="22" t="str">
        <f>IF(OR(N110="",P110="",N110=0),"",(N110-P110)/N110)</f>
        <v/>
      </c>
      <c r="O110" s="22">
        <v>140</v>
      </c>
      <c r="P110" s="22">
        <f>_xlfn.CEILING.MATH((O110+O110*18%),1)</f>
        <v>166</v>
      </c>
    </row>
    <row r="111" spans="1:16" s="22" customFormat="1">
      <c r="C111" s="22" t="s">
        <v>2631</v>
      </c>
      <c r="G111" s="22">
        <v>100</v>
      </c>
      <c r="H111" s="22" t="str">
        <f>IF(OR(N111="",P111="",N111=0),"",(N111-P111)/N111)</f>
        <v/>
      </c>
      <c r="M111" s="22">
        <v>18</v>
      </c>
      <c r="O111" s="22">
        <f>_xlfn.CEILING.MATH((G111+G111*M111/100),1)</f>
        <v>118</v>
      </c>
      <c r="P111" s="22">
        <f>_xlfn.CEILING.MATH((O111+O111*18%),1)</f>
        <v>140</v>
      </c>
    </row>
    <row r="112" spans="1:16" s="22" customFormat="1">
      <c r="C112" s="22" t="s">
        <v>2679</v>
      </c>
      <c r="G112" s="22">
        <v>16</v>
      </c>
      <c r="H112" s="22" t="str">
        <f>IF(OR(N112="",P112="",N112=0),"",(N112-P112)/N112)</f>
        <v/>
      </c>
      <c r="M112" s="22">
        <v>18</v>
      </c>
      <c r="O112" s="22">
        <f>_xlfn.CEILING.MATH((G112+G112*M112/100),1)</f>
        <v>19</v>
      </c>
      <c r="P112" s="22">
        <f>_xlfn.CEILING.MATH((O112+O112*18%),1)</f>
        <v>23</v>
      </c>
    </row>
    <row r="113" spans="1:16" s="22" customFormat="1">
      <c r="A113" s="22">
        <v>57</v>
      </c>
      <c r="C113" s="22" t="s">
        <v>2632</v>
      </c>
      <c r="E113" s="22" t="s">
        <v>2624</v>
      </c>
      <c r="H113" s="22" t="str">
        <f>IF(OR(N113="",P113="",N113=0),"",(N113-P113)/N113)</f>
        <v/>
      </c>
      <c r="O113" s="22">
        <v>35</v>
      </c>
      <c r="P113" s="22">
        <f>_xlfn.CEILING.MATH((O113+O113*18%),1)</f>
        <v>42</v>
      </c>
    </row>
    <row r="114" spans="1:16" s="22" customFormat="1">
      <c r="C114" s="22" t="s">
        <v>2632</v>
      </c>
      <c r="G114" s="22">
        <v>25</v>
      </c>
      <c r="H114" s="22" t="str">
        <f>IF(OR(N114="",P114="",N114=0),"",(N114-P114)/N114)</f>
        <v/>
      </c>
      <c r="M114" s="22">
        <v>18</v>
      </c>
      <c r="O114" s="22">
        <f>_xlfn.CEILING.MATH((G114+G114*M114/100),1)</f>
        <v>30</v>
      </c>
      <c r="P114" s="22">
        <f>_xlfn.CEILING.MATH((O114+O114*18%),1)</f>
        <v>36</v>
      </c>
    </row>
    <row r="115" spans="1:16" s="22" customFormat="1">
      <c r="C115" s="22" t="s">
        <v>2687</v>
      </c>
      <c r="G115" s="22">
        <v>260</v>
      </c>
      <c r="H115" s="22" t="str">
        <f>IF(OR(N115="",P115="",N115=0),"",(N115-P115)/N115)</f>
        <v/>
      </c>
      <c r="M115" s="22">
        <v>18</v>
      </c>
      <c r="O115" s="22">
        <f>_xlfn.CEILING.MATH((G115+G115*M115/100),1)</f>
        <v>307</v>
      </c>
      <c r="P115" s="22">
        <f>_xlfn.CEILING.MATH((O115+O115*18%),1)</f>
        <v>363</v>
      </c>
    </row>
    <row r="116" spans="1:16" s="22" customFormat="1">
      <c r="C116" s="22" t="s">
        <v>2684</v>
      </c>
      <c r="G116" s="22">
        <v>100</v>
      </c>
      <c r="H116" s="22" t="str">
        <f>IF(OR(N116="",P116="",N116=0),"",(N116-P116)/N116)</f>
        <v/>
      </c>
      <c r="M116" s="22">
        <v>18</v>
      </c>
      <c r="O116" s="22">
        <f>_xlfn.CEILING.MATH((G116+G116*M116/100),1)</f>
        <v>118</v>
      </c>
      <c r="P116" s="22">
        <f>_xlfn.CEILING.MATH((O116+O116*18%),1)</f>
        <v>140</v>
      </c>
    </row>
    <row r="117" spans="1:16" s="22" customFormat="1">
      <c r="A117" s="22">
        <v>58</v>
      </c>
      <c r="C117" s="22" t="s">
        <v>2633</v>
      </c>
      <c r="E117" s="22" t="s">
        <v>2624</v>
      </c>
      <c r="H117" s="22" t="str">
        <f>IF(OR(N117="",P117="",N117=0),"",(N117-P117)/N117)</f>
        <v/>
      </c>
      <c r="O117" s="22">
        <v>308</v>
      </c>
      <c r="P117" s="22">
        <f>_xlfn.CEILING.MATH((O117+O117*18%),1)</f>
        <v>364</v>
      </c>
    </row>
    <row r="118" spans="1:16" s="22" customFormat="1">
      <c r="C118" s="22" t="s">
        <v>2633</v>
      </c>
      <c r="G118" s="22">
        <v>220</v>
      </c>
      <c r="H118" s="22" t="str">
        <f>IF(OR(N118="",P118="",N118=0),"",(N118-P118)/N118)</f>
        <v/>
      </c>
      <c r="M118" s="22">
        <v>18</v>
      </c>
      <c r="O118" s="22">
        <f>_xlfn.CEILING.MATH((G118+G118*M118/100),1)</f>
        <v>260</v>
      </c>
      <c r="P118" s="22">
        <f>_xlfn.CEILING.MATH((O118+O118*18%),1)</f>
        <v>307</v>
      </c>
    </row>
    <row r="119" spans="1:16" s="22" customFormat="1">
      <c r="C119" s="22" t="s">
        <v>2686</v>
      </c>
      <c r="G119" s="22">
        <v>230</v>
      </c>
      <c r="H119" s="22" t="str">
        <f>IF(OR(N119="",P119="",N119=0),"",(N119-P119)/N119)</f>
        <v/>
      </c>
      <c r="M119" s="22">
        <v>18</v>
      </c>
      <c r="O119" s="22">
        <f>_xlfn.CEILING.MATH((G119+G119*M119/100),1)</f>
        <v>272</v>
      </c>
      <c r="P119" s="22">
        <f>_xlfn.CEILING.MATH((O119+O119*18%),1)</f>
        <v>321</v>
      </c>
    </row>
    <row r="120" spans="1:16" s="22" customFormat="1">
      <c r="A120" s="22">
        <v>59</v>
      </c>
      <c r="C120" s="22" t="s">
        <v>2634</v>
      </c>
      <c r="E120" s="22" t="s">
        <v>2624</v>
      </c>
      <c r="H120" s="22" t="str">
        <f>IF(OR(N120="",P120="",N120=0),"",(N120-P120)/N120)</f>
        <v/>
      </c>
      <c r="O120" s="22">
        <v>98</v>
      </c>
      <c r="P120" s="22">
        <f>_xlfn.CEILING.MATH((O120+O120*18%),1)</f>
        <v>116</v>
      </c>
    </row>
    <row r="121" spans="1:16" s="22" customFormat="1">
      <c r="C121" s="22" t="s">
        <v>2634</v>
      </c>
      <c r="G121" s="22">
        <v>70</v>
      </c>
      <c r="H121" s="22" t="str">
        <f>IF(OR(N121="",P121="",N121=0),"",(N121-P121)/N121)</f>
        <v/>
      </c>
      <c r="M121" s="22">
        <v>18</v>
      </c>
      <c r="O121" s="22">
        <f>_xlfn.CEILING.MATH((G121+G121*M121/100),1)</f>
        <v>83</v>
      </c>
      <c r="P121" s="22">
        <f>_xlfn.CEILING.MATH((O121+O121*18%),1)</f>
        <v>98</v>
      </c>
    </row>
    <row r="122" spans="1:16" s="22" customFormat="1">
      <c r="A122" s="22">
        <v>67</v>
      </c>
      <c r="C122" s="22" t="s">
        <v>2642</v>
      </c>
      <c r="E122" s="22" t="s">
        <v>2647</v>
      </c>
      <c r="H122" s="22" t="str">
        <f>IF(OR(N122="",P122="",N122=0),"",(N122-P122)/N122)</f>
        <v/>
      </c>
      <c r="O122" s="22">
        <v>679</v>
      </c>
      <c r="P122" s="22">
        <f>_xlfn.CEILING.MATH((O122+O122*18%),1)</f>
        <v>802</v>
      </c>
    </row>
    <row r="123" spans="1:16" s="22" customFormat="1">
      <c r="C123" s="22" t="s">
        <v>2642</v>
      </c>
      <c r="G123" s="22" t="s">
        <v>2712</v>
      </c>
      <c r="H123" s="22" t="str">
        <f>IF(OR(N123="",P123="",N123=0),"",(N123-P123)/N123)</f>
        <v/>
      </c>
      <c r="M123" s="22">
        <v>18</v>
      </c>
      <c r="O123" s="22">
        <f>_xlfn.CEILING.MATH((G123+G123*M123/100),1)</f>
        <v>573</v>
      </c>
      <c r="P123" s="22">
        <f>_xlfn.CEILING.MATH((O123+O123*18%),1)</f>
        <v>677</v>
      </c>
    </row>
    <row r="124" spans="1:16" s="22" customFormat="1">
      <c r="A124" s="22">
        <v>68</v>
      </c>
      <c r="C124" s="22" t="s">
        <v>2643</v>
      </c>
      <c r="E124" s="22" t="s">
        <v>2647</v>
      </c>
      <c r="H124" s="22" t="str">
        <f>IF(OR(N124="",P124="",N124=0),"",(N124-P124)/N124)</f>
        <v/>
      </c>
      <c r="O124" s="22">
        <v>105</v>
      </c>
      <c r="P124" s="22">
        <f>_xlfn.CEILING.MATH((O124+O124*18%),1)</f>
        <v>124</v>
      </c>
    </row>
    <row r="125" spans="1:16" s="22" customFormat="1">
      <c r="C125" s="22" t="s">
        <v>2643</v>
      </c>
      <c r="G125" s="22" t="s">
        <v>2713</v>
      </c>
      <c r="H125" s="22" t="str">
        <f>IF(OR(N125="",P125="",N125=0),"",(N125-P125)/N125)</f>
        <v/>
      </c>
      <c r="M125" s="22">
        <v>18</v>
      </c>
      <c r="O125" s="22">
        <f>_xlfn.CEILING.MATH((G125+G125*M125/100),1)</f>
        <v>89</v>
      </c>
      <c r="P125" s="22">
        <f>_xlfn.CEILING.MATH((O125+O125*18%),1)</f>
        <v>106</v>
      </c>
    </row>
    <row r="126" spans="1:16" s="22" customFormat="1">
      <c r="A126" s="22">
        <v>69</v>
      </c>
      <c r="C126" s="22" t="s">
        <v>2644</v>
      </c>
      <c r="E126" s="22" t="s">
        <v>2647</v>
      </c>
      <c r="H126" s="22" t="str">
        <f>IF(OR(N126="",P126="",N126=0),"",(N126-P126)/N126)</f>
        <v/>
      </c>
      <c r="O126" s="22">
        <v>2030</v>
      </c>
      <c r="P126" s="22">
        <f>_xlfn.CEILING.MATH((O126+O126*18%),1)</f>
        <v>2396</v>
      </c>
    </row>
    <row r="127" spans="1:16" s="22" customFormat="1">
      <c r="C127" s="22" t="s">
        <v>2644</v>
      </c>
      <c r="G127" s="22">
        <v>1450</v>
      </c>
      <c r="H127" s="22" t="str">
        <f>IF(OR(N127="",P127="",N127=0),"",(N127-P127)/N127)</f>
        <v/>
      </c>
      <c r="M127" s="22">
        <v>18</v>
      </c>
      <c r="O127" s="22">
        <f>_xlfn.CEILING.MATH((G127+G127*M127/100),1)</f>
        <v>1711</v>
      </c>
      <c r="P127" s="22">
        <f>_xlfn.CEILING.MATH((O127+O127*18%),1)</f>
        <v>2019</v>
      </c>
    </row>
    <row r="128" spans="1:16" s="22" customFormat="1">
      <c r="A128" s="22">
        <v>3</v>
      </c>
      <c r="C128" s="22" t="s">
        <v>2565</v>
      </c>
      <c r="E128" s="22" t="s">
        <v>2575</v>
      </c>
      <c r="H128" s="22" t="str">
        <f>IF(OR(N128="",P128="",N128=0),"",(N128-P128)/N128)</f>
        <v/>
      </c>
      <c r="O128" s="22">
        <v>404</v>
      </c>
      <c r="P128" s="22">
        <f>_xlfn.CEILING.MATH((O128+O128*18%),1)</f>
        <v>477</v>
      </c>
    </row>
    <row r="129" spans="1:16" s="22" customFormat="1">
      <c r="C129" s="22" t="s">
        <v>2565</v>
      </c>
      <c r="E129" s="22" t="s">
        <v>2575</v>
      </c>
      <c r="G129" s="22">
        <v>288</v>
      </c>
      <c r="H129" s="22" t="str">
        <f>IF(OR(N129="",P129="",N129=0),"",(N129-P129)/N129)</f>
        <v/>
      </c>
      <c r="M129" s="22">
        <v>18</v>
      </c>
      <c r="O129" s="22">
        <f>_xlfn.CEILING.MATH((G129+G129*M129/100),1)</f>
        <v>340</v>
      </c>
      <c r="P129" s="22">
        <f>_xlfn.CEILING.MATH((O129+O129*18%),1)</f>
        <v>402</v>
      </c>
    </row>
    <row r="130" spans="1:16" s="22" customFormat="1">
      <c r="A130" s="22">
        <v>36</v>
      </c>
      <c r="C130" s="22" t="s">
        <v>2546</v>
      </c>
      <c r="H130" s="22" t="str">
        <f>IF(OR(N130="",P130="",N130=0),"",(N130-P130)/N130)</f>
        <v/>
      </c>
      <c r="O130" s="22">
        <v>160</v>
      </c>
      <c r="P130" s="22">
        <f>_xlfn.CEILING.MATH((O130+O130*18%),1)</f>
        <v>189</v>
      </c>
    </row>
    <row r="131" spans="1:16" s="22" customFormat="1">
      <c r="C131" s="22" t="s">
        <v>2546</v>
      </c>
      <c r="G131" s="22">
        <v>113.85</v>
      </c>
      <c r="H131" s="22" t="str">
        <f>IF(OR(N131="",P131="",N131=0),"",(N131-P131)/N131)</f>
        <v/>
      </c>
      <c r="M131" s="22">
        <v>18</v>
      </c>
      <c r="O131" s="22">
        <f>_xlfn.CEILING.MATH((G131+G131*M131/100),1)</f>
        <v>135</v>
      </c>
      <c r="P131" s="22">
        <f>_xlfn.CEILING.MATH((O131+O131*18%),1)</f>
        <v>160</v>
      </c>
    </row>
    <row r="132" spans="1:16" s="22" customFormat="1">
      <c r="C132" s="22" t="s">
        <v>2653</v>
      </c>
      <c r="G132" s="22">
        <v>950</v>
      </c>
      <c r="H132" s="22" t="str">
        <f>IF(OR(N132="",P132="",N132=0),"",(N132-P132)/N132)</f>
        <v/>
      </c>
      <c r="M132" s="22">
        <v>18</v>
      </c>
      <c r="O132" s="22">
        <f>_xlfn.CEILING.MATH((G132+G132*M132/100),1)</f>
        <v>1121</v>
      </c>
      <c r="P132" s="22">
        <f>_xlfn.CEILING.MATH((O132+O132*18%),1)</f>
        <v>1323</v>
      </c>
    </row>
    <row r="133" spans="1:16" s="22" customFormat="1">
      <c r="A133" s="22">
        <v>37</v>
      </c>
      <c r="C133" s="22" t="s">
        <v>2547</v>
      </c>
      <c r="H133" s="22" t="str">
        <f>IF(OR(N133="",P133="",N133=0),"",(N133-P133)/N133)</f>
        <v/>
      </c>
      <c r="O133" s="22">
        <v>832</v>
      </c>
      <c r="P133" s="22">
        <f>_xlfn.CEILING.MATH((O133+O133*18%),1)</f>
        <v>982</v>
      </c>
    </row>
    <row r="134" spans="1:16" s="22" customFormat="1">
      <c r="C134" s="22" t="s">
        <v>2547</v>
      </c>
      <c r="G134" s="22">
        <v>398.65</v>
      </c>
      <c r="H134" s="22" t="str">
        <f>IF(OR(N134="",P134="",N134=0),"",(N134-P134)/N134)</f>
        <v/>
      </c>
      <c r="M134" s="22">
        <v>18</v>
      </c>
      <c r="O134" s="22">
        <f>_xlfn.CEILING.MATH((G134+G134*M134/100),1)</f>
        <v>471</v>
      </c>
      <c r="P134" s="22">
        <f>_xlfn.CEILING.MATH((O134+O134*18%),1)</f>
        <v>556</v>
      </c>
    </row>
    <row r="135" spans="1:16" s="22" customFormat="1">
      <c r="C135" s="22" t="s">
        <v>2547</v>
      </c>
      <c r="G135" s="22">
        <v>394.66</v>
      </c>
      <c r="H135" s="22" t="str">
        <f>IF(OR(N135="",P135="",N135=0),"",(N135-P135)/N135)</f>
        <v/>
      </c>
      <c r="M135" s="22">
        <v>18</v>
      </c>
      <c r="O135" s="22">
        <f>_xlfn.CEILING.MATH((G135+G135*M135/100),1)</f>
        <v>466</v>
      </c>
      <c r="P135" s="22">
        <f>_xlfn.CEILING.MATH((O135+O135*18%),1)</f>
        <v>550</v>
      </c>
    </row>
    <row r="136" spans="1:16" s="22" customFormat="1">
      <c r="A136" s="22">
        <v>38</v>
      </c>
      <c r="C136" s="22" t="s">
        <v>2548</v>
      </c>
      <c r="H136" s="22" t="str">
        <f>IF(OR(N136="",P136="",N136=0),"",(N136-P136)/N136)</f>
        <v/>
      </c>
      <c r="O136" s="22">
        <v>1330</v>
      </c>
      <c r="P136" s="22">
        <f>_xlfn.CEILING.MATH((O136+O136*18%),1)</f>
        <v>1570</v>
      </c>
    </row>
    <row r="137" spans="1:16" s="22" customFormat="1">
      <c r="C137" s="22" t="s">
        <v>2548</v>
      </c>
      <c r="G137" s="22">
        <v>594</v>
      </c>
      <c r="H137" s="22" t="str">
        <f>IF(OR(N137="",P137="",N137=0),"",(N137-P137)/N137)</f>
        <v/>
      </c>
      <c r="M137" s="22">
        <v>18</v>
      </c>
      <c r="O137" s="22">
        <f>_xlfn.CEILING.MATH((G137+G137*M137/100),1)</f>
        <v>701</v>
      </c>
      <c r="P137" s="22">
        <f>_xlfn.CEILING.MATH((O137+O137*18%),1)</f>
        <v>828</v>
      </c>
    </row>
    <row r="138" spans="1:16" s="22" customFormat="1">
      <c r="A138" s="22">
        <v>39</v>
      </c>
      <c r="C138" s="22" t="s">
        <v>2549</v>
      </c>
      <c r="H138" s="22" t="str">
        <f>IF(OR(N138="",P138="",N138=0),"",(N138-P138)/N138)</f>
        <v/>
      </c>
      <c r="O138" s="22">
        <v>21</v>
      </c>
      <c r="P138" s="22">
        <f>_xlfn.CEILING.MATH((O138+O138*18%),1)</f>
        <v>25</v>
      </c>
    </row>
    <row r="139" spans="1:16" s="22" customFormat="1">
      <c r="C139" s="22" t="s">
        <v>2549</v>
      </c>
      <c r="G139" s="22">
        <v>13.07</v>
      </c>
      <c r="H139" s="22" t="str">
        <f>IF(OR(N139="",P139="",N139=0),"",(N139-P139)/N139)</f>
        <v/>
      </c>
      <c r="M139" s="22">
        <v>18</v>
      </c>
      <c r="O139" s="22">
        <f>_xlfn.CEILING.MATH((G139+G139*M139/100),1)</f>
        <v>16</v>
      </c>
      <c r="P139" s="22">
        <f>_xlfn.CEILING.MATH((O139+O139*18%),1)</f>
        <v>19</v>
      </c>
    </row>
    <row r="140" spans="1:16" s="22" customFormat="1">
      <c r="C140" s="22" t="s">
        <v>2664</v>
      </c>
      <c r="G140" s="22">
        <v>415.8</v>
      </c>
      <c r="H140" s="22" t="str">
        <f>IF(OR(N140="",P140="",N140=0),"",(N140-P140)/N140)</f>
        <v/>
      </c>
      <c r="M140" s="22">
        <v>18</v>
      </c>
      <c r="O140" s="22">
        <f>_xlfn.CEILING.MATH((G140+G140*M140/100),1)</f>
        <v>491</v>
      </c>
      <c r="P140" s="22">
        <f>_xlfn.CEILING.MATH((O140+O140*18%),1)</f>
        <v>580</v>
      </c>
    </row>
    <row r="141" spans="1:16" s="22" customFormat="1">
      <c r="A141" s="22">
        <v>10</v>
      </c>
      <c r="C141" s="22" t="s">
        <v>2585</v>
      </c>
      <c r="E141" s="22" t="s">
        <v>2623</v>
      </c>
      <c r="H141" s="22" t="str">
        <f>IF(OR(N141="",P141="",N141=0),"",(N141-P141)/N141)</f>
        <v/>
      </c>
      <c r="O141" s="22">
        <v>12</v>
      </c>
      <c r="P141" s="22">
        <f>_xlfn.CEILING.MATH((O141+O141*18%),1)</f>
        <v>15</v>
      </c>
    </row>
    <row r="142" spans="1:16" s="22" customFormat="1">
      <c r="C142" s="22" t="s">
        <v>2585</v>
      </c>
      <c r="G142" s="22">
        <v>8</v>
      </c>
      <c r="H142" s="22" t="str">
        <f>IF(OR(N142="",P142="",N142=0),"",(N142-P142)/N142)</f>
        <v/>
      </c>
      <c r="M142" s="22">
        <v>18</v>
      </c>
      <c r="O142" s="22">
        <f>_xlfn.CEILING.MATH((G142+G142*M142/100),1)</f>
        <v>10</v>
      </c>
      <c r="P142" s="22">
        <f>_xlfn.CEILING.MATH((O142+O142*18%),1)</f>
        <v>12</v>
      </c>
    </row>
    <row r="143" spans="1:16" s="22" customFormat="1">
      <c r="A143" s="22">
        <v>11</v>
      </c>
      <c r="C143" s="22" t="s">
        <v>2586</v>
      </c>
      <c r="E143" s="22" t="s">
        <v>2623</v>
      </c>
      <c r="H143" s="22" t="str">
        <f>IF(OR(N143="",P143="",N143=0),"",(N143-P143)/N143)</f>
        <v/>
      </c>
      <c r="O143" s="22">
        <v>21</v>
      </c>
      <c r="P143" s="22">
        <f>_xlfn.CEILING.MATH((O143+O143*18%),1)</f>
        <v>25</v>
      </c>
    </row>
    <row r="144" spans="1:16" s="22" customFormat="1">
      <c r="C144" s="22" t="s">
        <v>2586</v>
      </c>
      <c r="G144" s="22">
        <v>15</v>
      </c>
      <c r="H144" s="22" t="str">
        <f>IF(OR(N144="",P144="",N144=0),"",(N144-P144)/N144)</f>
        <v/>
      </c>
      <c r="M144" s="22">
        <v>18</v>
      </c>
      <c r="O144" s="22">
        <f>_xlfn.CEILING.MATH((G144+G144*M144/100),1)</f>
        <v>18</v>
      </c>
      <c r="P144" s="22">
        <f>_xlfn.CEILING.MATH((O144+O144*18%),1)</f>
        <v>22</v>
      </c>
    </row>
    <row r="145" spans="1:16" s="22" customFormat="1">
      <c r="A145" s="22">
        <v>12</v>
      </c>
      <c r="C145" s="22" t="s">
        <v>2587</v>
      </c>
      <c r="E145" s="22" t="s">
        <v>2623</v>
      </c>
      <c r="H145" s="22" t="str">
        <f>IF(OR(N145="",P145="",N145=0),"",(N145-P145)/N145)</f>
        <v/>
      </c>
      <c r="O145" s="22">
        <v>9</v>
      </c>
      <c r="P145" s="22">
        <f>_xlfn.CEILING.MATH((O145+O145*18%),1)</f>
        <v>11</v>
      </c>
    </row>
    <row r="146" spans="1:16" s="22" customFormat="1">
      <c r="C146" s="22" t="s">
        <v>2587</v>
      </c>
      <c r="G146" s="22">
        <v>6</v>
      </c>
      <c r="H146" s="22" t="str">
        <f>IF(OR(N146="",P146="",N146=0),"",(N146-P146)/N146)</f>
        <v/>
      </c>
      <c r="M146" s="22">
        <v>18</v>
      </c>
      <c r="O146" s="22">
        <f>_xlfn.CEILING.MATH((G146+G146*M146/100),1)</f>
        <v>8</v>
      </c>
      <c r="P146" s="22">
        <f>_xlfn.CEILING.MATH((O146+O146*18%),1)</f>
        <v>10</v>
      </c>
    </row>
    <row r="147" spans="1:16" s="22" customFormat="1">
      <c r="A147" s="22">
        <v>49</v>
      </c>
      <c r="C147" s="22" t="s">
        <v>2559</v>
      </c>
      <c r="H147" s="22" t="str">
        <f>IF(OR(N147="",P147="",N147=0),"",(N147-P147)/N147)</f>
        <v/>
      </c>
      <c r="O147" s="22">
        <v>49</v>
      </c>
      <c r="P147" s="22">
        <f>_xlfn.CEILING.MATH((O147+O147*18%),1)</f>
        <v>58</v>
      </c>
    </row>
    <row r="148" spans="1:16" s="22" customFormat="1">
      <c r="C148" s="22" t="s">
        <v>2676</v>
      </c>
      <c r="G148" s="22" t="s">
        <v>2715</v>
      </c>
      <c r="H148" s="22" t="str">
        <f>IF(OR(N148="",P148="",N148=0),"",(N148-P148)/N148)</f>
        <v/>
      </c>
      <c r="M148" s="22">
        <v>18</v>
      </c>
      <c r="O148" s="22">
        <f>_xlfn.CEILING.MATH((G148+G148*M148/100),1)</f>
        <v>42</v>
      </c>
      <c r="P148" s="22">
        <f>_xlfn.CEILING.MATH((O148+O148*18%),1)</f>
        <v>50</v>
      </c>
    </row>
    <row r="149" spans="1:16" s="22" customFormat="1">
      <c r="A149" s="22">
        <v>50</v>
      </c>
      <c r="C149" s="22" t="s">
        <v>2560</v>
      </c>
      <c r="H149" s="22" t="str">
        <f>IF(OR(N149="",P149="",N149=0),"",(N149-P149)/N149)</f>
        <v/>
      </c>
      <c r="O149" s="22">
        <v>45</v>
      </c>
      <c r="P149" s="22">
        <f>_xlfn.CEILING.MATH((O149+O149*18%),1)</f>
        <v>54</v>
      </c>
    </row>
    <row r="150" spans="1:16" s="22" customFormat="1">
      <c r="C150" s="22" t="s">
        <v>2675</v>
      </c>
      <c r="G150" s="22" t="s">
        <v>2714</v>
      </c>
      <c r="H150" s="22" t="str">
        <f>IF(OR(N150="",P150="",N150=0),"",(N150-P150)/N150)</f>
        <v/>
      </c>
      <c r="M150" s="22">
        <v>18</v>
      </c>
      <c r="O150" s="22">
        <f>_xlfn.CEILING.MATH((G150+G150*M150/100),1)</f>
        <v>38</v>
      </c>
      <c r="P150" s="22">
        <f>_xlfn.CEILING.MATH((O150+O150*18%),1)</f>
        <v>45</v>
      </c>
    </row>
    <row r="151" spans="1:16" s="22" customFormat="1">
      <c r="A151" s="22">
        <v>51</v>
      </c>
      <c r="C151" s="22" t="s">
        <v>2561</v>
      </c>
      <c r="H151" s="22" t="str">
        <f>IF(OR(N151="",P151="",N151=0),"",(N151-P151)/N151)</f>
        <v/>
      </c>
      <c r="O151" s="22">
        <v>56</v>
      </c>
      <c r="P151" s="22">
        <f>_xlfn.CEILING.MATH((O151+O151*18%),1)</f>
        <v>67</v>
      </c>
    </row>
    <row r="152" spans="1:16" s="22" customFormat="1">
      <c r="C152" s="22" t="s">
        <v>2669</v>
      </c>
      <c r="G152" s="22" t="s">
        <v>2703</v>
      </c>
      <c r="H152" s="22" t="str">
        <f>IF(OR(N152="",P152="",N152=0),"",(N152-P152)/N152)</f>
        <v/>
      </c>
      <c r="M152" s="22">
        <v>18</v>
      </c>
      <c r="O152" s="22">
        <f>_xlfn.CEILING.MATH((G152+G152*M152/100),1)</f>
        <v>48</v>
      </c>
      <c r="P152" s="22">
        <f>_xlfn.CEILING.MATH((O152+O152*18%),1)</f>
        <v>57</v>
      </c>
    </row>
    <row r="153" spans="1:16" s="22" customFormat="1">
      <c r="A153" s="22">
        <v>52</v>
      </c>
      <c r="C153" s="22" t="s">
        <v>2562</v>
      </c>
      <c r="H153" s="22" t="str">
        <f>IF(OR(N153="",P153="",N153=0),"",(N153-P153)/N153)</f>
        <v/>
      </c>
      <c r="O153" s="22">
        <v>30</v>
      </c>
      <c r="P153" s="22">
        <f>_xlfn.CEILING.MATH((O153+O153*18%),1)</f>
        <v>36</v>
      </c>
    </row>
    <row r="154" spans="1:16" s="22" customFormat="1">
      <c r="C154" s="22" t="s">
        <v>2562</v>
      </c>
      <c r="G154" s="22" t="s">
        <v>2697</v>
      </c>
      <c r="H154" s="22" t="str">
        <f>IF(OR(N154="",P154="",N154=0),"",(N154-P154)/N154)</f>
        <v/>
      </c>
      <c r="M154" s="22">
        <v>18</v>
      </c>
      <c r="O154" s="22">
        <f>_xlfn.CEILING.MATH((G154+G154*M154/100),1)</f>
        <v>25</v>
      </c>
      <c r="P154" s="22">
        <f>_xlfn.CEILING.MATH((O154+O154*18%),1)</f>
        <v>30</v>
      </c>
    </row>
    <row r="155" spans="1:16" s="22" customFormat="1">
      <c r="A155" s="22">
        <v>4</v>
      </c>
      <c r="C155" s="22" t="s">
        <v>2566</v>
      </c>
      <c r="E155" s="22" t="s">
        <v>2575</v>
      </c>
      <c r="H155" s="22" t="str">
        <f>IF(OR(N155="",P155="",N155=0),"",(N155-P155)/N155)</f>
        <v/>
      </c>
      <c r="O155" s="22">
        <v>182</v>
      </c>
      <c r="P155" s="22">
        <f>_xlfn.CEILING.MATH((O155+O155*18%),1)</f>
        <v>215</v>
      </c>
    </row>
    <row r="156" spans="1:16" s="22" customFormat="1">
      <c r="A156" s="22">
        <v>8</v>
      </c>
      <c r="C156" s="22" t="s">
        <v>2518</v>
      </c>
      <c r="H156" s="22">
        <f>IF(OR(N156="",P156="",N156=0),"",(N156-P156)/N156)</f>
        <v>0.5083333333333333</v>
      </c>
      <c r="N156" s="22">
        <f>O156*2.4</f>
        <v>139200</v>
      </c>
      <c r="O156" s="22">
        <v>58000</v>
      </c>
      <c r="P156" s="22">
        <f>_xlfn.CEILING.MATH((O156+O156*18%),1)</f>
        <v>68440</v>
      </c>
    </row>
    <row r="157" spans="1:16" s="22" customFormat="1">
      <c r="C157" s="22" t="s">
        <v>2518</v>
      </c>
      <c r="G157" s="22">
        <v>54500</v>
      </c>
      <c r="H157" s="22" t="str">
        <f>IF(OR(N157="",P157="",N157=0),"",(N157-P157)/N157)</f>
        <v/>
      </c>
      <c r="M157" s="22">
        <v>12</v>
      </c>
      <c r="O157" s="22">
        <f>_xlfn.CEILING.MATH((G157+G157*M157/100),1)</f>
        <v>61040</v>
      </c>
      <c r="P157" s="22">
        <f>_xlfn.CEILING.MATH((O157+O157*18%),1)</f>
        <v>72028</v>
      </c>
    </row>
    <row r="158" spans="1:16" s="22" customFormat="1">
      <c r="A158" s="22">
        <v>9</v>
      </c>
      <c r="C158" s="22" t="s">
        <v>2519</v>
      </c>
      <c r="H158" s="22">
        <f>IF(OR(N158="",P158="",N158=0),"",(N158-P158)/N158)</f>
        <v>0.5083333333333333</v>
      </c>
      <c r="N158" s="22">
        <f>O158*2.4</f>
        <v>226800</v>
      </c>
      <c r="O158" s="22">
        <v>94500</v>
      </c>
      <c r="P158" s="22">
        <f>_xlfn.CEILING.MATH((O158+O158*18%),1)</f>
        <v>111510</v>
      </c>
    </row>
    <row r="159" spans="1:16" s="22" customFormat="1">
      <c r="C159" s="22" t="s">
        <v>2519</v>
      </c>
      <c r="G159" s="22">
        <v>86000</v>
      </c>
      <c r="H159" s="22" t="str">
        <f>IF(OR(N159="",P159="",N159=0),"",(N159-P159)/N159)</f>
        <v/>
      </c>
      <c r="M159" s="22">
        <v>12</v>
      </c>
      <c r="O159" s="22">
        <f>_xlfn.CEILING.MATH((G159+G159*M159/100),1)</f>
        <v>96320</v>
      </c>
      <c r="P159" s="22">
        <f>_xlfn.CEILING.MATH((O159+O159*18%),1)</f>
        <v>113658</v>
      </c>
    </row>
    <row r="160" spans="1:16" s="22" customFormat="1">
      <c r="A160" s="22">
        <v>3</v>
      </c>
      <c r="C160" s="22" t="s">
        <v>2513</v>
      </c>
      <c r="H160" s="22">
        <f>IF(OR(N160="",P160="",N160=0),"",(N160-P160)/N160)</f>
        <v>0.5083333333333333</v>
      </c>
      <c r="N160" s="22">
        <f>O160*2.4</f>
        <v>48000</v>
      </c>
      <c r="O160" s="22">
        <v>20000</v>
      </c>
      <c r="P160" s="22">
        <f>_xlfn.CEILING.MATH((O160+O160*18%),1)</f>
        <v>23600</v>
      </c>
    </row>
    <row r="161" spans="1:16" s="22" customFormat="1">
      <c r="A161" s="22">
        <v>4</v>
      </c>
      <c r="C161" s="22" t="s">
        <v>2514</v>
      </c>
      <c r="H161" s="22">
        <f>IF(OR(N161="",P161="",N161=0),"",(N161-P161)/N161)</f>
        <v>0.5083333333333333</v>
      </c>
      <c r="N161" s="22">
        <f>O161*2.4</f>
        <v>84000</v>
      </c>
      <c r="O161" s="22">
        <v>35000</v>
      </c>
      <c r="P161" s="22">
        <f>_xlfn.CEILING.MATH((O161+O161*18%),1)</f>
        <v>41300</v>
      </c>
    </row>
    <row r="162" spans="1:16" s="22" customFormat="1">
      <c r="A162" s="22">
        <v>5</v>
      </c>
      <c r="C162" s="22" t="s">
        <v>2515</v>
      </c>
      <c r="H162" s="22">
        <f>IF(OR(N162="",P162="",N162=0),"",(N162-P162)/N162)</f>
        <v>0.5083333333333333</v>
      </c>
      <c r="N162" s="22">
        <f>O162*2.4</f>
        <v>124800</v>
      </c>
      <c r="O162" s="22">
        <v>52000</v>
      </c>
      <c r="P162" s="22">
        <f>_xlfn.CEILING.MATH((O162+O162*18%),1)</f>
        <v>61360</v>
      </c>
    </row>
    <row r="163" spans="1:16" s="22" customFormat="1">
      <c r="C163" s="22" t="s">
        <v>2515</v>
      </c>
      <c r="G163" s="22">
        <v>48500</v>
      </c>
      <c r="H163" s="22" t="str">
        <f>IF(OR(N163="",P163="",N163=0),"",(N163-P163)/N163)</f>
        <v/>
      </c>
      <c r="M163" s="22">
        <v>12</v>
      </c>
      <c r="O163" s="22">
        <f>_xlfn.CEILING.MATH((G163+G163*M163/100),1)</f>
        <v>54320</v>
      </c>
      <c r="P163" s="22">
        <f>_xlfn.CEILING.MATH((O163+O163*18%),1)</f>
        <v>64098</v>
      </c>
    </row>
    <row r="164" spans="1:16" s="22" customFormat="1">
      <c r="A164" s="22">
        <v>6</v>
      </c>
      <c r="C164" s="22" t="s">
        <v>2516</v>
      </c>
      <c r="H164" s="22">
        <f>IF(OR(N164="",P164="",N164=0),"",(N164-P164)/N164)</f>
        <v>0.5083333333333333</v>
      </c>
      <c r="N164" s="22">
        <f>O164*2.4</f>
        <v>96000</v>
      </c>
      <c r="O164" s="22">
        <v>40000</v>
      </c>
      <c r="P164" s="22">
        <f>_xlfn.CEILING.MATH((O164+O164*18%),1)</f>
        <v>47200</v>
      </c>
    </row>
    <row r="165" spans="1:16" s="22" customFormat="1">
      <c r="A165" s="22">
        <v>7</v>
      </c>
      <c r="C165" s="22" t="s">
        <v>2517</v>
      </c>
      <c r="H165" s="22">
        <f>IF(OR(N165="",P165="",N165=0),"",(N165-P165)/N165)</f>
        <v>0.5083333333333333</v>
      </c>
      <c r="N165" s="22">
        <f>O165*2.4</f>
        <v>126000</v>
      </c>
      <c r="O165" s="22">
        <v>52500</v>
      </c>
      <c r="P165" s="22">
        <f>_xlfn.CEILING.MATH((O165+O165*18%),1)</f>
        <v>61950</v>
      </c>
    </row>
    <row r="166" spans="1:16" s="22" customFormat="1">
      <c r="A166" s="22">
        <v>13</v>
      </c>
      <c r="C166" s="22" t="s">
        <v>2588</v>
      </c>
      <c r="E166" s="22" t="s">
        <v>2623</v>
      </c>
      <c r="H166" s="22" t="str">
        <f>IF(OR(N166="",P166="",N166=0),"",(N166-P166)/N166)</f>
        <v/>
      </c>
      <c r="O166" s="22">
        <v>118</v>
      </c>
      <c r="P166" s="22">
        <f>_xlfn.CEILING.MATH((O166+O166*18%),1)</f>
        <v>140</v>
      </c>
    </row>
    <row r="167" spans="1:16" s="22" customFormat="1">
      <c r="C167" s="22" t="s">
        <v>2588</v>
      </c>
      <c r="G167" s="22">
        <v>84</v>
      </c>
      <c r="H167" s="22" t="str">
        <f>IF(OR(N167="",P167="",N167=0),"",(N167-P167)/N167)</f>
        <v/>
      </c>
      <c r="M167" s="22">
        <v>18</v>
      </c>
      <c r="O167" s="22">
        <f>_xlfn.CEILING.MATH((G167+G167*M167/100),1)</f>
        <v>100</v>
      </c>
      <c r="P167" s="22">
        <f>_xlfn.CEILING.MATH((O167+O167*18%),1)</f>
        <v>118</v>
      </c>
    </row>
    <row r="168" spans="1:16" s="22" customFormat="1">
      <c r="A168" s="22">
        <v>14</v>
      </c>
      <c r="C168" s="22" t="s">
        <v>2589</v>
      </c>
      <c r="E168" s="22" t="s">
        <v>2623</v>
      </c>
      <c r="H168" s="22" t="str">
        <f>IF(OR(N168="",P168="",N168=0),"",(N168-P168)/N168)</f>
        <v/>
      </c>
      <c r="O168" s="22">
        <v>101</v>
      </c>
      <c r="P168" s="22">
        <f>_xlfn.CEILING.MATH((O168+O168*18%),1)</f>
        <v>120</v>
      </c>
    </row>
    <row r="169" spans="1:16" s="22" customFormat="1">
      <c r="C169" s="22" t="s">
        <v>2589</v>
      </c>
      <c r="G169" s="22">
        <v>71.5</v>
      </c>
      <c r="H169" s="22" t="str">
        <f>IF(OR(N169="",P169="",N169=0),"",(N169-P169)/N169)</f>
        <v/>
      </c>
      <c r="M169" s="22">
        <v>18</v>
      </c>
      <c r="O169" s="22">
        <f>_xlfn.CEILING.MATH((G169+G169*M169/100),1)</f>
        <v>85</v>
      </c>
      <c r="P169" s="22">
        <f>_xlfn.CEILING.MATH((O169+O169*18%),1)</f>
        <v>101</v>
      </c>
    </row>
    <row r="170" spans="1:16" s="22" customFormat="1">
      <c r="A170" s="22">
        <v>15</v>
      </c>
      <c r="C170" s="22" t="s">
        <v>2590</v>
      </c>
      <c r="E170" s="22" t="s">
        <v>2623</v>
      </c>
      <c r="H170" s="22" t="str">
        <f>IF(OR(N170="",P170="",N170=0),"",(N170-P170)/N170)</f>
        <v/>
      </c>
      <c r="O170" s="22">
        <v>96</v>
      </c>
      <c r="P170" s="22">
        <f>_xlfn.CEILING.MATH((O170+O170*18%),1)</f>
        <v>114</v>
      </c>
    </row>
    <row r="171" spans="1:16" s="22" customFormat="1">
      <c r="C171" s="22" t="s">
        <v>2590</v>
      </c>
      <c r="G171" s="22">
        <v>68</v>
      </c>
      <c r="H171" s="22" t="str">
        <f>IF(OR(N171="",P171="",N171=0),"",(N171-P171)/N171)</f>
        <v/>
      </c>
      <c r="M171" s="22">
        <v>18</v>
      </c>
      <c r="O171" s="22">
        <f>_xlfn.CEILING.MATH((G171+G171*M171/100),1)</f>
        <v>81</v>
      </c>
      <c r="P171" s="22">
        <f>_xlfn.CEILING.MATH((O171+O171*18%),1)</f>
        <v>96</v>
      </c>
    </row>
    <row r="172" spans="1:16" s="22" customFormat="1">
      <c r="A172" s="22">
        <v>16</v>
      </c>
      <c r="C172" s="22" t="s">
        <v>2591</v>
      </c>
      <c r="E172" s="22" t="s">
        <v>2623</v>
      </c>
      <c r="H172" s="22" t="str">
        <f>IF(OR(N172="",P172="",N172=0),"",(N172-P172)/N172)</f>
        <v/>
      </c>
      <c r="O172" s="22">
        <v>133</v>
      </c>
      <c r="P172" s="22">
        <f>_xlfn.CEILING.MATH((O172+O172*18%),1)</f>
        <v>157</v>
      </c>
    </row>
    <row r="173" spans="1:16" s="22" customFormat="1">
      <c r="C173" s="22" t="s">
        <v>2591</v>
      </c>
      <c r="G173" s="22">
        <v>95</v>
      </c>
      <c r="H173" s="22" t="str">
        <f>IF(OR(N173="",P173="",N173=0),"",(N173-P173)/N173)</f>
        <v/>
      </c>
      <c r="M173" s="22">
        <v>18</v>
      </c>
      <c r="O173" s="22">
        <f>_xlfn.CEILING.MATH((G173+G173*M173/100),1)</f>
        <v>113</v>
      </c>
      <c r="P173" s="22">
        <f>_xlfn.CEILING.MATH((O173+O173*18%),1)</f>
        <v>134</v>
      </c>
    </row>
    <row r="174" spans="1:16" s="22" customFormat="1">
      <c r="A174" s="22">
        <v>17</v>
      </c>
      <c r="C174" s="22" t="s">
        <v>2592</v>
      </c>
      <c r="E174" s="22" t="s">
        <v>2623</v>
      </c>
      <c r="H174" s="22" t="str">
        <f>IF(OR(N174="",P174="",N174=0),"",(N174-P174)/N174)</f>
        <v/>
      </c>
      <c r="O174" s="22">
        <v>133</v>
      </c>
      <c r="P174" s="22">
        <f>_xlfn.CEILING.MATH((O174+O174*18%),1)</f>
        <v>157</v>
      </c>
    </row>
    <row r="175" spans="1:16" s="22" customFormat="1">
      <c r="C175" s="22" t="s">
        <v>2592</v>
      </c>
      <c r="G175" s="22">
        <v>95</v>
      </c>
      <c r="H175" s="22" t="str">
        <f>IF(OR(N175="",P175="",N175=0),"",(N175-P175)/N175)</f>
        <v/>
      </c>
      <c r="M175" s="22">
        <v>18</v>
      </c>
      <c r="O175" s="22">
        <f>_xlfn.CEILING.MATH((G175+G175*M175/100),1)</f>
        <v>113</v>
      </c>
      <c r="P175" s="22">
        <f>_xlfn.CEILING.MATH((O175+O175*18%),1)</f>
        <v>134</v>
      </c>
    </row>
    <row r="176" spans="1:16" s="22" customFormat="1">
      <c r="A176" s="22">
        <v>18</v>
      </c>
      <c r="C176" s="22" t="s">
        <v>2593</v>
      </c>
      <c r="E176" s="22" t="s">
        <v>2623</v>
      </c>
      <c r="H176" s="22" t="str">
        <f>IF(OR(N176="",P176="",N176=0),"",(N176-P176)/N176)</f>
        <v/>
      </c>
      <c r="O176" s="22">
        <v>119</v>
      </c>
      <c r="P176" s="22">
        <f>_xlfn.CEILING.MATH((O176+O176*18%),1)</f>
        <v>141</v>
      </c>
    </row>
    <row r="177" spans="1:16" s="22" customFormat="1">
      <c r="C177" s="22" t="s">
        <v>2593</v>
      </c>
      <c r="G177" s="22">
        <v>85</v>
      </c>
      <c r="H177" s="22" t="str">
        <f>IF(OR(N177="",P177="",N177=0),"",(N177-P177)/N177)</f>
        <v/>
      </c>
      <c r="M177" s="22">
        <v>18</v>
      </c>
      <c r="O177" s="22">
        <f>_xlfn.CEILING.MATH((G177+G177*M177/100),1)</f>
        <v>101</v>
      </c>
      <c r="P177" s="22">
        <f>_xlfn.CEILING.MATH((O177+O177*18%),1)</f>
        <v>120</v>
      </c>
    </row>
    <row r="178" spans="1:16" s="22" customFormat="1">
      <c r="A178" s="22">
        <v>19</v>
      </c>
      <c r="C178" s="22" t="s">
        <v>2594</v>
      </c>
      <c r="E178" s="22" t="s">
        <v>2623</v>
      </c>
      <c r="H178" s="22" t="str">
        <f>IF(OR(N178="",P178="",N178=0),"",(N178-P178)/N178)</f>
        <v/>
      </c>
      <c r="O178" s="22">
        <v>133</v>
      </c>
      <c r="P178" s="22">
        <f>_xlfn.CEILING.MATH((O178+O178*18%),1)</f>
        <v>157</v>
      </c>
    </row>
    <row r="179" spans="1:16" s="22" customFormat="1">
      <c r="C179" s="22" t="s">
        <v>2594</v>
      </c>
      <c r="G179" s="22">
        <v>95</v>
      </c>
      <c r="H179" s="22" t="str">
        <f>IF(OR(N179="",P179="",N179=0),"",(N179-P179)/N179)</f>
        <v/>
      </c>
      <c r="M179" s="22">
        <v>18</v>
      </c>
      <c r="O179" s="22">
        <f>_xlfn.CEILING.MATH((G179+G179*M179/100),1)</f>
        <v>113</v>
      </c>
      <c r="P179" s="22">
        <f>_xlfn.CEILING.MATH((O179+O179*18%),1)</f>
        <v>134</v>
      </c>
    </row>
    <row r="180" spans="1:16" s="22" customFormat="1">
      <c r="A180" s="22">
        <v>20</v>
      </c>
      <c r="C180" s="22" t="s">
        <v>2595</v>
      </c>
      <c r="E180" s="22" t="s">
        <v>2623</v>
      </c>
      <c r="H180" s="22" t="str">
        <f>IF(OR(N180="",P180="",N180=0),"",(N180-P180)/N180)</f>
        <v/>
      </c>
      <c r="O180" s="22">
        <v>98</v>
      </c>
      <c r="P180" s="22">
        <f>_xlfn.CEILING.MATH((O180+O180*18%),1)</f>
        <v>116</v>
      </c>
    </row>
    <row r="181" spans="1:16" s="22" customFormat="1">
      <c r="C181" s="22" t="s">
        <v>2595</v>
      </c>
      <c r="G181" s="22">
        <v>70</v>
      </c>
      <c r="H181" s="22" t="str">
        <f>IF(OR(N181="",P181="",N181=0),"",(N181-P181)/N181)</f>
        <v/>
      </c>
      <c r="M181" s="22">
        <v>18</v>
      </c>
      <c r="O181" s="22">
        <f>_xlfn.CEILING.MATH((G181+G181*M181/100),1)</f>
        <v>83</v>
      </c>
      <c r="P181" s="22">
        <f>_xlfn.CEILING.MATH((O181+O181*18%),1)</f>
        <v>98</v>
      </c>
    </row>
    <row r="182" spans="1:16" s="22" customFormat="1">
      <c r="A182" s="22">
        <v>21</v>
      </c>
      <c r="C182" s="22" t="s">
        <v>2596</v>
      </c>
      <c r="E182" s="22" t="s">
        <v>2623</v>
      </c>
      <c r="H182" s="22" t="str">
        <f>IF(OR(N182="",P182="",N182=0),"",(N182-P182)/N182)</f>
        <v/>
      </c>
      <c r="O182" s="22">
        <v>182</v>
      </c>
      <c r="P182" s="22">
        <f>_xlfn.CEILING.MATH((O182+O182*18%),1)</f>
        <v>215</v>
      </c>
    </row>
    <row r="183" spans="1:16" s="22" customFormat="1">
      <c r="C183" s="22" t="s">
        <v>2596</v>
      </c>
      <c r="G183" s="22">
        <v>130</v>
      </c>
      <c r="H183" s="22" t="str">
        <f>IF(OR(N183="",P183="",N183=0),"",(N183-P183)/N183)</f>
        <v/>
      </c>
      <c r="M183" s="22">
        <v>18</v>
      </c>
      <c r="O183" s="22">
        <f>_xlfn.CEILING.MATH((G183+G183*M183/100),1)</f>
        <v>154</v>
      </c>
      <c r="P183" s="22">
        <f>_xlfn.CEILING.MATH((O183+O183*18%),1)</f>
        <v>182</v>
      </c>
    </row>
    <row r="184" spans="1:16" s="22" customFormat="1">
      <c r="A184" s="22">
        <v>5</v>
      </c>
      <c r="C184" s="22" t="s">
        <v>2567</v>
      </c>
      <c r="E184" s="22" t="s">
        <v>2575</v>
      </c>
      <c r="H184" s="22" t="str">
        <f>IF(OR(N184="",P184="",N184=0),"",(N184-P184)/N184)</f>
        <v/>
      </c>
      <c r="O184" s="22">
        <v>175</v>
      </c>
      <c r="P184" s="22">
        <f>_xlfn.CEILING.MATH((O184+O184*18%),1)</f>
        <v>207</v>
      </c>
    </row>
    <row r="185" spans="1:16" s="22" customFormat="1">
      <c r="C185" s="22" t="s">
        <v>2567</v>
      </c>
      <c r="E185" s="22" t="s">
        <v>2575</v>
      </c>
      <c r="G185" s="22">
        <v>125</v>
      </c>
      <c r="H185" s="22" t="str">
        <f>IF(OR(N185="",P185="",N185=0),"",(N185-P185)/N185)</f>
        <v/>
      </c>
      <c r="M185" s="22">
        <v>18</v>
      </c>
      <c r="O185" s="22">
        <f>_xlfn.CEILING.MATH((G185+G185*M185/100),1)</f>
        <v>148</v>
      </c>
      <c r="P185" s="22">
        <f>_xlfn.CEILING.MATH((O185+O185*18%),1)</f>
        <v>175</v>
      </c>
    </row>
    <row r="186" spans="1:16" s="22" customFormat="1">
      <c r="A186" s="22">
        <v>6</v>
      </c>
      <c r="C186" s="22" t="s">
        <v>2568</v>
      </c>
      <c r="E186" s="22" t="s">
        <v>2575</v>
      </c>
      <c r="H186" s="22" t="str">
        <f>IF(OR(N186="",P186="",N186=0),"",(N186-P186)/N186)</f>
        <v/>
      </c>
      <c r="O186" s="22">
        <v>572</v>
      </c>
      <c r="P186" s="22">
        <f>_xlfn.CEILING.MATH((O186+O186*18%),1)</f>
        <v>675</v>
      </c>
    </row>
    <row r="187" spans="1:16" s="22" customFormat="1">
      <c r="C187" s="22" t="s">
        <v>2568</v>
      </c>
      <c r="E187" s="22" t="s">
        <v>2575</v>
      </c>
      <c r="G187" s="22">
        <v>408</v>
      </c>
      <c r="H187" s="22" t="str">
        <f>IF(OR(N187="",P187="",N187=0),"",(N187-P187)/N187)</f>
        <v/>
      </c>
      <c r="M187" s="22">
        <v>18</v>
      </c>
      <c r="O187" s="22">
        <f>_xlfn.CEILING.MATH((G187+G187*M187/100),1)</f>
        <v>482</v>
      </c>
      <c r="P187" s="22">
        <f>_xlfn.CEILING.MATH((O187+O187*18%),1)</f>
        <v>569</v>
      </c>
    </row>
    <row r="188" spans="1:16" s="22" customFormat="1">
      <c r="A188" s="22">
        <v>40</v>
      </c>
      <c r="C188" s="22" t="s">
        <v>2550</v>
      </c>
      <c r="H188" s="22" t="str">
        <f>IF(OR(N188="",P188="",N188=0),"",(N188-P188)/N188)</f>
        <v/>
      </c>
      <c r="O188" s="22">
        <v>423</v>
      </c>
      <c r="P188" s="22">
        <f>_xlfn.CEILING.MATH((O188+O188*18%),1)</f>
        <v>500</v>
      </c>
    </row>
    <row r="189" spans="1:16" s="22" customFormat="1">
      <c r="C189" s="22" t="s">
        <v>2550</v>
      </c>
      <c r="G189" s="22">
        <v>258.75</v>
      </c>
      <c r="H189" s="22" t="str">
        <f>IF(OR(N189="",P189="",N189=0),"",(N189-P189)/N189)</f>
        <v/>
      </c>
      <c r="M189" s="22">
        <v>18</v>
      </c>
      <c r="O189" s="22">
        <f>_xlfn.CEILING.MATH((G189+G189*M189/100),1)</f>
        <v>306</v>
      </c>
      <c r="P189" s="22">
        <f>_xlfn.CEILING.MATH((O189+O189*18%),1)</f>
        <v>362</v>
      </c>
    </row>
    <row r="190" spans="1:16" s="22" customFormat="1">
      <c r="A190" s="22">
        <v>41</v>
      </c>
      <c r="C190" s="22" t="s">
        <v>2551</v>
      </c>
      <c r="H190" s="22" t="str">
        <f>IF(OR(N190="",P190="",N190=0),"",(N190-P190)/N190)</f>
        <v/>
      </c>
      <c r="O190" s="22">
        <v>850</v>
      </c>
      <c r="P190" s="22">
        <f>_xlfn.CEILING.MATH((O190+O190*18%),1)</f>
        <v>1003</v>
      </c>
    </row>
    <row r="191" spans="1:16" s="22" customFormat="1">
      <c r="C191" s="22" t="s">
        <v>2551</v>
      </c>
      <c r="G191" s="22">
        <v>386.1</v>
      </c>
      <c r="H191" s="22" t="str">
        <f>IF(OR(N191="",P191="",N191=0),"",(N191-P191)/N191)</f>
        <v/>
      </c>
      <c r="M191" s="22">
        <v>18</v>
      </c>
      <c r="O191" s="22">
        <f>_xlfn.CEILING.MATH((G191+G191*M191/100),1)</f>
        <v>456</v>
      </c>
      <c r="P191" s="22">
        <f>_xlfn.CEILING.MATH((O191+O191*18%),1)</f>
        <v>539</v>
      </c>
    </row>
    <row r="192" spans="1:16" s="22" customFormat="1">
      <c r="C192" s="22" t="s">
        <v>2551</v>
      </c>
      <c r="G192" s="22">
        <v>386.1</v>
      </c>
      <c r="H192" s="22" t="str">
        <f>IF(OR(N192="",P192="",N192=0),"",(N192-P192)/N192)</f>
        <v/>
      </c>
      <c r="M192" s="22">
        <v>18</v>
      </c>
      <c r="O192" s="22">
        <f>_xlfn.CEILING.MATH((G192+G192*M192/100),1)</f>
        <v>456</v>
      </c>
      <c r="P192" s="22">
        <f>_xlfn.CEILING.MATH((O192+O192*18%),1)</f>
        <v>539</v>
      </c>
    </row>
    <row r="193" spans="1:16" s="22" customFormat="1">
      <c r="C193" s="22" t="s">
        <v>2551</v>
      </c>
      <c r="G193" s="22">
        <v>386.1</v>
      </c>
      <c r="H193" s="22" t="str">
        <f>IF(OR(N193="",P193="",N193=0),"",(N193-P193)/N193)</f>
        <v/>
      </c>
      <c r="M193" s="22">
        <v>18</v>
      </c>
      <c r="O193" s="22">
        <f>_xlfn.CEILING.MATH((G193+G193*M193/100),1)</f>
        <v>456</v>
      </c>
      <c r="P193" s="22">
        <f>_xlfn.CEILING.MATH((O193+O193*18%),1)</f>
        <v>539</v>
      </c>
    </row>
    <row r="194" spans="1:16" s="22" customFormat="1">
      <c r="C194" s="22" t="s">
        <v>2658</v>
      </c>
      <c r="G194" s="22">
        <v>37288.129999999997</v>
      </c>
      <c r="H194" s="22" t="str">
        <f>IF(OR(N194="",P194="",N194=0),"",(N194-P194)/N194)</f>
        <v/>
      </c>
      <c r="M194" s="22">
        <v>18</v>
      </c>
      <c r="O194" s="22">
        <f>_xlfn.CEILING.MATH((G194+G194*M194/100),1)</f>
        <v>44000</v>
      </c>
      <c r="P194" s="22">
        <f>_xlfn.CEILING.MATH((O194+O194*18%),1)</f>
        <v>51920</v>
      </c>
    </row>
    <row r="195" spans="1:16" s="22" customFormat="1">
      <c r="A195" s="22">
        <v>10</v>
      </c>
      <c r="C195" s="22" t="s">
        <v>2520</v>
      </c>
      <c r="H195" s="22">
        <f>IF(OR(N195="",P195="",N195=0),"",(N195-P195)/N195)</f>
        <v>0.5083310985109698</v>
      </c>
      <c r="N195" s="22">
        <f>O195*2.4</f>
        <v>125289.59999999999</v>
      </c>
      <c r="O195" s="22">
        <v>52204</v>
      </c>
      <c r="P195" s="22">
        <f>_xlfn.CEILING.MATH((O195+O195*18%),1)</f>
        <v>61601</v>
      </c>
    </row>
    <row r="196" spans="1:16" s="22" customFormat="1">
      <c r="A196" s="22">
        <v>11</v>
      </c>
      <c r="C196" s="22" t="s">
        <v>2521</v>
      </c>
      <c r="H196" s="22">
        <f>IF(OR(N196="",P196="",N196=0),"",(N196-P196)/N196)</f>
        <v>0.5083333333333333</v>
      </c>
      <c r="N196" s="22">
        <f>O196*2.4</f>
        <v>188400</v>
      </c>
      <c r="O196" s="22">
        <v>78500</v>
      </c>
      <c r="P196" s="22">
        <f>_xlfn.CEILING.MATH((O196+O196*18%),1)</f>
        <v>92630</v>
      </c>
    </row>
    <row r="197" spans="1:16" s="22" customFormat="1">
      <c r="C197" s="22" t="s">
        <v>2656</v>
      </c>
      <c r="G197" s="22">
        <v>54500</v>
      </c>
      <c r="H197" s="22" t="str">
        <f>IF(OR(N197="",P197="",N197=0),"",(N197-P197)/N197)</f>
        <v/>
      </c>
      <c r="M197" s="22">
        <v>5</v>
      </c>
      <c r="O197" s="22">
        <f>_xlfn.CEILING.MATH((G197+G197*M197/100),1)</f>
        <v>57225</v>
      </c>
      <c r="P197" s="22">
        <f>_xlfn.CEILING.MATH((O197+O197*18%),1)</f>
        <v>67526</v>
      </c>
    </row>
    <row r="198" spans="1:16" s="22" customFormat="1">
      <c r="C198" s="22" t="s">
        <v>2652</v>
      </c>
      <c r="G198" s="22">
        <v>8555</v>
      </c>
      <c r="H198" s="22" t="str">
        <f>IF(OR(N198="",P198="",N198=0),"",(N198-P198)/N198)</f>
        <v/>
      </c>
      <c r="M198" s="22">
        <v>18</v>
      </c>
      <c r="O198" s="22">
        <f>_xlfn.CEILING.MATH((G198+G198*M198/100),1)</f>
        <v>10095</v>
      </c>
      <c r="P198" s="22">
        <f>_xlfn.CEILING.MATH((O198+O198*18%),1)</f>
        <v>11913</v>
      </c>
    </row>
    <row r="199" spans="1:16" s="22" customFormat="1">
      <c r="A199" s="22">
        <v>42</v>
      </c>
      <c r="C199" s="22" t="s">
        <v>2552</v>
      </c>
      <c r="H199" s="22" t="str">
        <f>IF(OR(N199="",P199="",N199=0),"",(N199-P199)/N199)</f>
        <v/>
      </c>
      <c r="O199" s="22">
        <v>38</v>
      </c>
      <c r="P199" s="22">
        <f>_xlfn.CEILING.MATH((O199+O199*18%),1)</f>
        <v>45</v>
      </c>
    </row>
    <row r="200" spans="1:16" s="22" customFormat="1">
      <c r="C200" s="22" t="s">
        <v>2663</v>
      </c>
      <c r="G200" s="22">
        <v>617.76</v>
      </c>
      <c r="H200" s="22" t="str">
        <f>IF(OR(N200="",P200="",N200=0),"",(N200-P200)/N200)</f>
        <v/>
      </c>
      <c r="M200" s="22">
        <v>18</v>
      </c>
      <c r="O200" s="22">
        <f>_xlfn.CEILING.MATH((G200+G200*M200/100),1)</f>
        <v>729</v>
      </c>
      <c r="P200" s="22">
        <f>_xlfn.CEILING.MATH((O200+O200*18%),1)</f>
        <v>861</v>
      </c>
    </row>
    <row r="201" spans="1:16" s="22" customFormat="1">
      <c r="C201" s="22" t="s">
        <v>2662</v>
      </c>
      <c r="G201" s="22">
        <v>19.8</v>
      </c>
      <c r="H201" s="22" t="str">
        <f>IF(OR(N201="",P201="",N201=0),"",(N201-P201)/N201)</f>
        <v/>
      </c>
      <c r="M201" s="22">
        <v>12</v>
      </c>
      <c r="O201" s="22">
        <f>_xlfn.CEILING.MATH((G201+G201*M201/100),1)</f>
        <v>23</v>
      </c>
      <c r="P201" s="22">
        <f>_xlfn.CEILING.MATH((O201+O201*18%),1)</f>
        <v>28</v>
      </c>
    </row>
    <row r="202" spans="1:16" s="22" customFormat="1">
      <c r="A202" s="22">
        <v>43</v>
      </c>
      <c r="C202" s="22" t="s">
        <v>2553</v>
      </c>
      <c r="H202" s="22" t="str">
        <f>IF(OR(N202="",P202="",N202=0),"",(N202-P202)/N202)</f>
        <v/>
      </c>
      <c r="O202" s="22">
        <v>59</v>
      </c>
      <c r="P202" s="22">
        <f>_xlfn.CEILING.MATH((O202+O202*18%),1)</f>
        <v>70</v>
      </c>
    </row>
    <row r="203" spans="1:16" s="22" customFormat="1">
      <c r="C203" s="22" t="s">
        <v>2661</v>
      </c>
      <c r="G203" s="22">
        <v>19.8</v>
      </c>
      <c r="H203" s="22" t="str">
        <f>IF(OR(N203="",P203="",N203=0),"",(N203-P203)/N203)</f>
        <v/>
      </c>
      <c r="M203" s="22">
        <v>18</v>
      </c>
      <c r="O203" s="22">
        <f>_xlfn.CEILING.MATH((G203+G203*M203/100),1)</f>
        <v>24</v>
      </c>
      <c r="P203" s="22">
        <f>_xlfn.CEILING.MATH((O203+O203*18%),1)</f>
        <v>29</v>
      </c>
    </row>
    <row r="204" spans="1:16" s="22" customFormat="1">
      <c r="C204" s="22" t="s">
        <v>2665</v>
      </c>
      <c r="G204" s="22">
        <v>41.58</v>
      </c>
      <c r="H204" s="22" t="str">
        <f>IF(OR(N204="",P204="",N204=0),"",(N204-P204)/N204)</f>
        <v/>
      </c>
      <c r="M204" s="22">
        <v>18</v>
      </c>
      <c r="O204" s="22">
        <f>_xlfn.CEILING.MATH((G204+G204*M204/100),1)</f>
        <v>50</v>
      </c>
      <c r="P204" s="22">
        <f>_xlfn.CEILING.MATH((O204+O204*18%),1)</f>
        <v>59</v>
      </c>
    </row>
    <row r="205" spans="1:16" s="22" customFormat="1">
      <c r="A205" s="22">
        <v>44</v>
      </c>
      <c r="C205" s="22" t="s">
        <v>2554</v>
      </c>
      <c r="H205" s="22" t="str">
        <f>IF(OR(N205="",P205="",N205=0),"",(N205-P205)/N205)</f>
        <v/>
      </c>
      <c r="O205" s="22">
        <v>109</v>
      </c>
      <c r="P205" s="22">
        <f>_xlfn.CEILING.MATH((O205+O205*18%),1)</f>
        <v>129</v>
      </c>
    </row>
    <row r="206" spans="1:16" s="22" customFormat="1">
      <c r="C206" s="22" t="s">
        <v>2554</v>
      </c>
      <c r="G206" s="22">
        <v>77.22</v>
      </c>
      <c r="H206" s="22" t="str">
        <f>IF(OR(N206="",P206="",N206=0),"",(N206-P206)/N206)</f>
        <v/>
      </c>
      <c r="M206" s="22">
        <v>18</v>
      </c>
      <c r="O206" s="22">
        <f>_xlfn.CEILING.MATH((G206+G206*M206/100),1)</f>
        <v>92</v>
      </c>
      <c r="P206" s="22">
        <f>_xlfn.CEILING.MATH((O206+O206*18%),1)</f>
        <v>109</v>
      </c>
    </row>
    <row r="207" spans="1:16" s="22" customFormat="1">
      <c r="A207" s="22">
        <v>45</v>
      </c>
      <c r="C207" s="22" t="s">
        <v>2555</v>
      </c>
      <c r="H207" s="22" t="str">
        <f>IF(OR(N207="",P207="",N207=0),"",(N207-P207)/N207)</f>
        <v/>
      </c>
      <c r="O207" s="22">
        <v>138</v>
      </c>
      <c r="P207" s="22">
        <f>_xlfn.CEILING.MATH((O207+O207*18%),1)</f>
        <v>163</v>
      </c>
    </row>
    <row r="208" spans="1:16" s="22" customFormat="1">
      <c r="C208" s="22" t="s">
        <v>2555</v>
      </c>
      <c r="G208" s="22">
        <v>98.38</v>
      </c>
      <c r="H208" s="22" t="str">
        <f>IF(OR(N208="",P208="",N208=0),"",(N208-P208)/N208)</f>
        <v/>
      </c>
      <c r="M208" s="22">
        <v>18</v>
      </c>
      <c r="O208" s="22">
        <f>_xlfn.CEILING.MATH((G208+G208*M208/100),1)</f>
        <v>117</v>
      </c>
      <c r="P208" s="22">
        <f>_xlfn.CEILING.MATH((O208+O208*18%),1)</f>
        <v>139</v>
      </c>
    </row>
    <row r="209" spans="1:16" s="22" customFormat="1">
      <c r="A209" s="22">
        <v>31</v>
      </c>
      <c r="C209" s="22" t="s">
        <v>2606</v>
      </c>
      <c r="E209" s="22" t="s">
        <v>2623</v>
      </c>
      <c r="H209" s="22" t="str">
        <f>IF(OR(N209="",P209="",N209=0),"",(N209-P209)/N209)</f>
        <v/>
      </c>
      <c r="O209" s="22">
        <v>84</v>
      </c>
      <c r="P209" s="22">
        <f>_xlfn.CEILING.MATH((O209+O209*18%),1)</f>
        <v>100</v>
      </c>
    </row>
    <row r="210" spans="1:16" s="22" customFormat="1">
      <c r="C210" s="22" t="s">
        <v>2606</v>
      </c>
      <c r="G210" s="22">
        <v>60</v>
      </c>
      <c r="H210" s="22" t="str">
        <f>IF(OR(N210="",P210="",N210=0),"",(N210-P210)/N210)</f>
        <v/>
      </c>
      <c r="M210" s="22">
        <v>18</v>
      </c>
      <c r="O210" s="22">
        <f>_xlfn.CEILING.MATH((G210+G210*M210/100),1)</f>
        <v>71</v>
      </c>
      <c r="P210" s="22">
        <f>_xlfn.CEILING.MATH((O210+O210*18%),1)</f>
        <v>84</v>
      </c>
    </row>
    <row r="211" spans="1:16" s="22" customFormat="1">
      <c r="A211" s="22">
        <v>32</v>
      </c>
      <c r="C211" s="22" t="s">
        <v>2607</v>
      </c>
      <c r="E211" s="22" t="s">
        <v>2623</v>
      </c>
      <c r="H211" s="22" t="str">
        <f>IF(OR(N211="",P211="",N211=0),"",(N211-P211)/N211)</f>
        <v/>
      </c>
      <c r="O211" s="22">
        <v>14</v>
      </c>
      <c r="P211" s="22">
        <f>_xlfn.CEILING.MATH((O211+O211*18%),1)</f>
        <v>17</v>
      </c>
    </row>
    <row r="212" spans="1:16" s="22" customFormat="1">
      <c r="A212" s="22">
        <v>33</v>
      </c>
      <c r="C212" s="22" t="s">
        <v>2607</v>
      </c>
      <c r="E212" s="22" t="s">
        <v>2623</v>
      </c>
      <c r="H212" s="22" t="str">
        <f>IF(OR(N212="",P212="",N212=0),"",(N212-P212)/N212)</f>
        <v/>
      </c>
      <c r="O212" s="22">
        <v>19</v>
      </c>
      <c r="P212" s="22">
        <f>_xlfn.CEILING.MATH((O212+O212*18%),1)</f>
        <v>23</v>
      </c>
    </row>
    <row r="213" spans="1:16" s="22" customFormat="1">
      <c r="A213" s="22">
        <v>34</v>
      </c>
      <c r="C213" s="22" t="s">
        <v>2607</v>
      </c>
      <c r="E213" s="22" t="s">
        <v>2623</v>
      </c>
      <c r="H213" s="22" t="str">
        <f>IF(OR(N213="",P213="",N213=0),"",(N213-P213)/N213)</f>
        <v/>
      </c>
      <c r="O213" s="22">
        <v>12</v>
      </c>
      <c r="P213" s="22">
        <f>_xlfn.CEILING.MATH((O213+O213*18%),1)</f>
        <v>15</v>
      </c>
    </row>
    <row r="214" spans="1:16" s="22" customFormat="1">
      <c r="A214" s="22">
        <v>35</v>
      </c>
      <c r="C214" s="22" t="s">
        <v>2607</v>
      </c>
      <c r="E214" s="22" t="s">
        <v>2623</v>
      </c>
      <c r="H214" s="22" t="str">
        <f>IF(OR(N214="",P214="",N214=0),"",(N214-P214)/N214)</f>
        <v/>
      </c>
      <c r="O214" s="22">
        <v>49</v>
      </c>
      <c r="P214" s="22">
        <f>_xlfn.CEILING.MATH((O214+O214*18%),1)</f>
        <v>58</v>
      </c>
    </row>
    <row r="215" spans="1:16" s="22" customFormat="1">
      <c r="C215" s="22" t="s">
        <v>2607</v>
      </c>
      <c r="G215" s="22">
        <v>10</v>
      </c>
      <c r="H215" s="22" t="str">
        <f>IF(OR(N215="",P215="",N215=0),"",(N215-P215)/N215)</f>
        <v/>
      </c>
      <c r="M215" s="22">
        <v>18</v>
      </c>
      <c r="O215" s="22">
        <f>_xlfn.CEILING.MATH((G215+G215*M215/100),1)</f>
        <v>12</v>
      </c>
      <c r="P215" s="22">
        <f>_xlfn.CEILING.MATH((O215+O215*18%),1)</f>
        <v>15</v>
      </c>
    </row>
    <row r="216" spans="1:16" s="22" customFormat="1">
      <c r="C216" s="22" t="s">
        <v>2607</v>
      </c>
      <c r="G216" s="22">
        <v>13</v>
      </c>
      <c r="H216" s="22" t="str">
        <f>IF(OR(N216="",P216="",N216=0),"",(N216-P216)/N216)</f>
        <v/>
      </c>
      <c r="M216" s="22">
        <v>18</v>
      </c>
      <c r="O216" s="22">
        <f>_xlfn.CEILING.MATH((G216+G216*M216/100),1)</f>
        <v>16</v>
      </c>
      <c r="P216" s="22">
        <f>_xlfn.CEILING.MATH((O216+O216*18%),1)</f>
        <v>19</v>
      </c>
    </row>
    <row r="217" spans="1:16" s="22" customFormat="1">
      <c r="C217" s="22" t="s">
        <v>2607</v>
      </c>
      <c r="G217" s="22">
        <v>8</v>
      </c>
      <c r="H217" s="22" t="str">
        <f>IF(OR(N217="",P217="",N217=0),"",(N217-P217)/N217)</f>
        <v/>
      </c>
      <c r="M217" s="22">
        <v>18</v>
      </c>
      <c r="O217" s="22">
        <f>_xlfn.CEILING.MATH((G217+G217*M217/100),1)</f>
        <v>10</v>
      </c>
      <c r="P217" s="22">
        <f>_xlfn.CEILING.MATH((O217+O217*18%),1)</f>
        <v>12</v>
      </c>
    </row>
    <row r="218" spans="1:16" s="22" customFormat="1">
      <c r="C218" s="22" t="s">
        <v>2607</v>
      </c>
      <c r="G218" s="22">
        <v>35</v>
      </c>
      <c r="H218" s="22" t="str">
        <f>IF(OR(N218="",P218="",N218=0),"",(N218-P218)/N218)</f>
        <v/>
      </c>
      <c r="M218" s="22">
        <v>18</v>
      </c>
      <c r="O218" s="22">
        <f>_xlfn.CEILING.MATH((G218+G218*M218/100),1)</f>
        <v>42</v>
      </c>
      <c r="P218" s="22">
        <f>_xlfn.CEILING.MATH((O218+O218*18%),1)</f>
        <v>50</v>
      </c>
    </row>
    <row r="219" spans="1:16" s="22" customFormat="1">
      <c r="A219" s="22">
        <v>7</v>
      </c>
      <c r="C219" s="22" t="s">
        <v>2569</v>
      </c>
      <c r="E219" s="22" t="s">
        <v>2575</v>
      </c>
      <c r="H219" s="22" t="str">
        <f>IF(OR(N219="",P219="",N219=0),"",(N219-P219)/N219)</f>
        <v/>
      </c>
      <c r="O219" s="22">
        <v>190</v>
      </c>
      <c r="P219" s="22">
        <f>_xlfn.CEILING.MATH((O219+O219*18%),1)</f>
        <v>225</v>
      </c>
    </row>
    <row r="220" spans="1:16" s="22" customFormat="1">
      <c r="A220" s="22">
        <v>22</v>
      </c>
      <c r="C220" s="22" t="s">
        <v>2597</v>
      </c>
      <c r="E220" s="22" t="s">
        <v>2623</v>
      </c>
      <c r="H220" s="22" t="str">
        <f>IF(OR(N220="",P220="",N220=0),"",(N220-P220)/N220)</f>
        <v/>
      </c>
      <c r="O220" s="22">
        <v>161</v>
      </c>
      <c r="P220" s="22">
        <f>_xlfn.CEILING.MATH((O220+O220*18%),1)</f>
        <v>190</v>
      </c>
    </row>
    <row r="221" spans="1:16" s="22" customFormat="1">
      <c r="C221" s="22" t="s">
        <v>2597</v>
      </c>
      <c r="G221" s="22">
        <v>115</v>
      </c>
      <c r="H221" s="22" t="str">
        <f>IF(OR(N221="",P221="",N221=0),"",(N221-P221)/N221)</f>
        <v/>
      </c>
      <c r="M221" s="22">
        <v>18</v>
      </c>
      <c r="O221" s="22">
        <f>_xlfn.CEILING.MATH((G221+G221*M221/100),1)</f>
        <v>136</v>
      </c>
      <c r="P221" s="22">
        <f>_xlfn.CEILING.MATH((O221+O221*18%),1)</f>
        <v>161</v>
      </c>
    </row>
    <row r="222" spans="1:16" s="22" customFormat="1">
      <c r="A222" s="22">
        <v>23</v>
      </c>
      <c r="C222" s="22" t="s">
        <v>2598</v>
      </c>
      <c r="E222" s="22" t="s">
        <v>2623</v>
      </c>
      <c r="H222" s="22" t="str">
        <f>IF(OR(N222="",P222="",N222=0),"",(N222-P222)/N222)</f>
        <v/>
      </c>
      <c r="O222" s="22">
        <v>161</v>
      </c>
      <c r="P222" s="22">
        <f>_xlfn.CEILING.MATH((O222+O222*18%),1)</f>
        <v>190</v>
      </c>
    </row>
    <row r="223" spans="1:16" s="22" customFormat="1">
      <c r="C223" s="22" t="s">
        <v>2598</v>
      </c>
      <c r="G223" s="22">
        <v>115</v>
      </c>
      <c r="H223" s="22" t="str">
        <f>IF(OR(N223="",P223="",N223=0),"",(N223-P223)/N223)</f>
        <v/>
      </c>
      <c r="M223" s="22">
        <v>18</v>
      </c>
      <c r="O223" s="22">
        <f>_xlfn.CEILING.MATH((G223+G223*M223/100),1)</f>
        <v>136</v>
      </c>
      <c r="P223" s="22">
        <f>_xlfn.CEILING.MATH((O223+O223*18%),1)</f>
        <v>161</v>
      </c>
    </row>
    <row r="224" spans="1:16" s="22" customFormat="1">
      <c r="A224" s="22">
        <v>24</v>
      </c>
      <c r="C224" s="22" t="s">
        <v>2599</v>
      </c>
      <c r="E224" s="22" t="s">
        <v>2623</v>
      </c>
      <c r="H224" s="22" t="str">
        <f>IF(OR(N224="",P224="",N224=0),"",(N224-P224)/N224)</f>
        <v/>
      </c>
      <c r="O224" s="22">
        <v>49</v>
      </c>
      <c r="P224" s="22">
        <f>_xlfn.CEILING.MATH((O224+O224*18%),1)</f>
        <v>58</v>
      </c>
    </row>
    <row r="225" spans="1:16" s="22" customFormat="1">
      <c r="C225" s="22" t="s">
        <v>2599</v>
      </c>
      <c r="G225" s="22">
        <v>35</v>
      </c>
      <c r="H225" s="22" t="str">
        <f>IF(OR(N225="",P225="",N225=0),"",(N225-P225)/N225)</f>
        <v/>
      </c>
      <c r="M225" s="22">
        <v>18</v>
      </c>
      <c r="O225" s="22">
        <f>_xlfn.CEILING.MATH((G225+G225*M225/100),1)</f>
        <v>42</v>
      </c>
      <c r="P225" s="22">
        <f>_xlfn.CEILING.MATH((O225+O225*18%),1)</f>
        <v>50</v>
      </c>
    </row>
    <row r="226" spans="1:16" s="22" customFormat="1">
      <c r="A226" s="22">
        <v>70</v>
      </c>
      <c r="C226" s="22" t="s">
        <v>2645</v>
      </c>
      <c r="E226" s="22" t="s">
        <v>2647</v>
      </c>
      <c r="H226" s="22" t="str">
        <f>IF(OR(N226="",P226="",N226=0),"",(N226-P226)/N226)</f>
        <v/>
      </c>
      <c r="O226" s="22">
        <v>63</v>
      </c>
      <c r="P226" s="22">
        <f>_xlfn.CEILING.MATH((O226+O226*18%),1)</f>
        <v>75</v>
      </c>
    </row>
    <row r="227" spans="1:16" s="22" customFormat="1">
      <c r="C227" s="22" t="s">
        <v>2645</v>
      </c>
      <c r="G227" s="22">
        <v>45</v>
      </c>
      <c r="H227" s="22" t="str">
        <f>IF(OR(N227="",P227="",N227=0),"",(N227-P227)/N227)</f>
        <v/>
      </c>
      <c r="M227" s="22">
        <v>18</v>
      </c>
      <c r="O227" s="22">
        <f>_xlfn.CEILING.MATH((G227+G227*M227/100),1)</f>
        <v>54</v>
      </c>
      <c r="P227" s="22">
        <f>_xlfn.CEILING.MATH((O227+O227*18%),1)</f>
        <v>64</v>
      </c>
    </row>
    <row r="228" spans="1:16" s="22" customFormat="1">
      <c r="A228" s="22">
        <v>8</v>
      </c>
      <c r="C228" s="22" t="s">
        <v>2570</v>
      </c>
      <c r="E228" s="22" t="s">
        <v>2575</v>
      </c>
      <c r="H228" s="22" t="str">
        <f>IF(OR(N228="",P228="",N228=0),"",(N228-P228)/N228)</f>
        <v/>
      </c>
      <c r="O228" s="22">
        <v>18</v>
      </c>
      <c r="P228" s="22">
        <f>_xlfn.CEILING.MATH((O228+O228*18%),1)</f>
        <v>22</v>
      </c>
    </row>
    <row r="229" spans="1:16" s="22" customFormat="1">
      <c r="A229" s="22">
        <v>9</v>
      </c>
      <c r="C229" s="22" t="s">
        <v>2571</v>
      </c>
      <c r="E229" s="22" t="s">
        <v>2575</v>
      </c>
      <c r="H229" s="22" t="str">
        <f>IF(OR(N229="",P229="",N229=0),"",(N229-P229)/N229)</f>
        <v/>
      </c>
      <c r="O229" s="22">
        <v>639</v>
      </c>
      <c r="P229" s="22">
        <f>_xlfn.CEILING.MATH((O229+O229*18%),1)</f>
        <v>755</v>
      </c>
    </row>
    <row r="230" spans="1:16" s="22" customFormat="1">
      <c r="C230" s="22" t="s">
        <v>2571</v>
      </c>
      <c r="E230" s="22" t="s">
        <v>2575</v>
      </c>
      <c r="G230" s="22">
        <v>456</v>
      </c>
      <c r="H230" s="22" t="str">
        <f>IF(OR(N230="",P230="",N230=0),"",(N230-P230)/N230)</f>
        <v/>
      </c>
      <c r="M230" s="22">
        <v>18</v>
      </c>
      <c r="O230" s="22">
        <f>_xlfn.CEILING.MATH((G230+G230*M230/100),1)</f>
        <v>539</v>
      </c>
      <c r="P230" s="22">
        <f>_xlfn.CEILING.MATH((O230+O230*18%),1)</f>
        <v>637</v>
      </c>
    </row>
    <row r="231" spans="1:16" s="22" customFormat="1">
      <c r="A231" s="22">
        <v>71</v>
      </c>
      <c r="C231" s="22" t="s">
        <v>2646</v>
      </c>
      <c r="E231" s="22" t="s">
        <v>2647</v>
      </c>
      <c r="H231" s="22" t="str">
        <f>IF(OR(N231="",P231="",N231=0),"",(N231-P231)/N231)</f>
        <v/>
      </c>
      <c r="O231" s="22">
        <v>18</v>
      </c>
      <c r="P231" s="22">
        <f>_xlfn.CEILING.MATH((O231+O231*18%),1)</f>
        <v>22</v>
      </c>
    </row>
    <row r="232" spans="1:16" s="22" customFormat="1">
      <c r="C232" s="22" t="s">
        <v>2646</v>
      </c>
      <c r="G232" s="22" t="s">
        <v>2698</v>
      </c>
      <c r="H232" s="22" t="str">
        <f>IF(OR(N232="",P232="",N232=0),"",(N232-P232)/N232)</f>
        <v/>
      </c>
      <c r="M232" s="22">
        <v>18</v>
      </c>
      <c r="O232" s="22">
        <f>_xlfn.CEILING.MATH((G232+G232*M232/100),1)</f>
        <v>15</v>
      </c>
      <c r="P232" s="22">
        <f>_xlfn.CEILING.MATH((O232+O232*18%),1)</f>
        <v>18</v>
      </c>
    </row>
    <row r="233" spans="1:16" s="22" customFormat="1">
      <c r="A233" s="22">
        <v>36</v>
      </c>
      <c r="C233" s="22" t="s">
        <v>2608</v>
      </c>
      <c r="E233" s="22" t="s">
        <v>2635</v>
      </c>
      <c r="H233" s="22" t="str">
        <f>IF(OR(N233="",P233="",N233=0),"",(N233-P233)/N233)</f>
        <v/>
      </c>
      <c r="O233" s="22">
        <f>_xlfn.CEILING.MATH((406/250),1)</f>
        <v>2</v>
      </c>
      <c r="P233" s="22">
        <f>_xlfn.CEILING.MATH((O233+O233*18%),1)</f>
        <v>3</v>
      </c>
    </row>
    <row r="234" spans="1:16" s="22" customFormat="1">
      <c r="C234" s="22" t="s">
        <v>2670</v>
      </c>
      <c r="G234" s="22" t="s">
        <v>2707</v>
      </c>
      <c r="H234" s="22" t="str">
        <f>IF(OR(N234="",P234="",N234=0),"",(N234-P234)/N234)</f>
        <v/>
      </c>
      <c r="M234" s="22">
        <v>18</v>
      </c>
      <c r="O234" s="22">
        <f>_xlfn.CEILING.MATH((G234+G234*M234/100),1)</f>
        <v>343</v>
      </c>
      <c r="P234" s="22">
        <f>_xlfn.CEILING.MATH((O234+O234*18%),1)</f>
        <v>405</v>
      </c>
    </row>
    <row r="235" spans="1:16" s="22" customFormat="1">
      <c r="A235" s="22">
        <v>37</v>
      </c>
      <c r="C235" s="22" t="s">
        <v>2609</v>
      </c>
      <c r="E235" s="22" t="s">
        <v>2635</v>
      </c>
      <c r="H235" s="22" t="str">
        <f>IF(OR(N235="",P235="",N235=0),"",(N235-P235)/N235)</f>
        <v/>
      </c>
      <c r="O235" s="22">
        <f>_xlfn.CEILING.MATH((693/250),1)</f>
        <v>3</v>
      </c>
      <c r="P235" s="22">
        <f>_xlfn.CEILING.MATH((O235+O235*18%),1)</f>
        <v>4</v>
      </c>
    </row>
    <row r="236" spans="1:16" s="22" customFormat="1">
      <c r="C236" s="22" t="s">
        <v>2673</v>
      </c>
      <c r="G236" s="22" t="s">
        <v>2710</v>
      </c>
      <c r="H236" s="22" t="str">
        <f>IF(OR(N236="",P236="",N236=0),"",(N236-P236)/N236)</f>
        <v/>
      </c>
      <c r="M236" s="22">
        <v>18</v>
      </c>
      <c r="O236" s="22">
        <f>_xlfn.CEILING.MATH((G236+G236*M236/100),1)</f>
        <v>585</v>
      </c>
      <c r="P236" s="22">
        <f>_xlfn.CEILING.MATH((O236+O236*18%),1)</f>
        <v>691</v>
      </c>
    </row>
    <row r="237" spans="1:16" s="22" customFormat="1">
      <c r="A237" s="22">
        <v>38</v>
      </c>
      <c r="C237" s="22" t="s">
        <v>2610</v>
      </c>
      <c r="E237" s="22" t="s">
        <v>2635</v>
      </c>
      <c r="H237" s="22" t="str">
        <f>IF(OR(N237="",P237="",N237=0),"",(N237-P237)/N237)</f>
        <v/>
      </c>
      <c r="O237" s="22">
        <f>_xlfn.CEILING.MATH((770/250),1)</f>
        <v>4</v>
      </c>
      <c r="P237" s="22">
        <f>_xlfn.CEILING.MATH((O237+O237*18%),1)</f>
        <v>5</v>
      </c>
    </row>
    <row r="238" spans="1:16" s="22" customFormat="1">
      <c r="C238" s="22" t="s">
        <v>2674</v>
      </c>
      <c r="G238" s="22" t="s">
        <v>2711</v>
      </c>
      <c r="H238" s="22" t="str">
        <f>IF(OR(N238="",P238="",N238=0),"",(N238-P238)/N238)</f>
        <v/>
      </c>
      <c r="M238" s="22">
        <v>18</v>
      </c>
      <c r="O238" s="22">
        <f>_xlfn.CEILING.MATH((G238+G238*M238/100),1)</f>
        <v>649</v>
      </c>
      <c r="P238" s="22">
        <f>_xlfn.CEILING.MATH((O238+O238*18%),1)</f>
        <v>766</v>
      </c>
    </row>
    <row r="239" spans="1:16" s="22" customFormat="1">
      <c r="A239" s="22">
        <v>39</v>
      </c>
      <c r="C239" s="22" t="s">
        <v>2611</v>
      </c>
      <c r="E239" s="22" t="s">
        <v>2635</v>
      </c>
      <c r="H239" s="22" t="str">
        <f>IF(OR(N239="",P239="",N239=0),"",(N239-P239)/N239)</f>
        <v/>
      </c>
      <c r="O239" s="22">
        <f>_xlfn.CEILING.MATH((546/250),1)</f>
        <v>3</v>
      </c>
      <c r="P239" s="22">
        <f>_xlfn.CEILING.MATH((O239+O239*18%),1)</f>
        <v>4</v>
      </c>
    </row>
    <row r="240" spans="1:16" s="22" customFormat="1">
      <c r="C240" s="22" t="s">
        <v>2671</v>
      </c>
      <c r="G240" s="22" t="s">
        <v>2708</v>
      </c>
      <c r="H240" s="22" t="str">
        <f>IF(OR(N240="",P240="",N240=0),"",(N240-P240)/N240)</f>
        <v/>
      </c>
      <c r="M240" s="22">
        <v>18</v>
      </c>
      <c r="O240" s="22">
        <f>_xlfn.CEILING.MATH((G240+G240*M240/100),1)</f>
        <v>461</v>
      </c>
      <c r="P240" s="22">
        <f>_xlfn.CEILING.MATH((O240+O240*18%),1)</f>
        <v>544</v>
      </c>
    </row>
    <row r="241" spans="1:16" s="22" customFormat="1">
      <c r="A241" s="22">
        <v>40</v>
      </c>
      <c r="C241" s="22" t="s">
        <v>2612</v>
      </c>
      <c r="E241" s="22" t="s">
        <v>2635</v>
      </c>
      <c r="H241" s="22" t="str">
        <f>IF(OR(N241="",P241="",N241=0),"",(N241-P241)/N241)</f>
        <v/>
      </c>
      <c r="O241" s="22">
        <f>_xlfn.CEILING.MATH((700/250),1)</f>
        <v>3</v>
      </c>
      <c r="P241" s="22">
        <f>_xlfn.CEILING.MATH((O241+O241*18%),1)</f>
        <v>4</v>
      </c>
    </row>
    <row r="242" spans="1:16" s="22" customFormat="1">
      <c r="C242" s="22" t="s">
        <v>2672</v>
      </c>
      <c r="G242" s="22" t="s">
        <v>2709</v>
      </c>
      <c r="H242" s="22" t="str">
        <f>IF(OR(N242="",P242="",N242=0),"",(N242-P242)/N242)</f>
        <v/>
      </c>
      <c r="M242" s="22">
        <v>18</v>
      </c>
      <c r="O242" s="22">
        <f>_xlfn.CEILING.MATH((G242+G242*M242/100),1)</f>
        <v>508</v>
      </c>
      <c r="P242" s="22">
        <f>_xlfn.CEILING.MATH((O242+O242*18%),1)</f>
        <v>600</v>
      </c>
    </row>
    <row r="243" spans="1:16" s="22" customFormat="1">
      <c r="A243" s="22">
        <v>72</v>
      </c>
      <c r="C243" s="22" t="s">
        <v>2648</v>
      </c>
      <c r="E243" s="22" t="s">
        <v>2650</v>
      </c>
      <c r="H243" s="22" t="str">
        <f>IF(OR(N243="",P243="",N243=0),"",(N243-P243)/N243)</f>
        <v/>
      </c>
      <c r="O243" s="22">
        <v>24</v>
      </c>
      <c r="P243" s="22">
        <f>_xlfn.CEILING.MATH((O243+O243*18%),1)</f>
        <v>29</v>
      </c>
    </row>
    <row r="244" spans="1:16" s="22" customFormat="1">
      <c r="C244" s="22" t="s">
        <v>2668</v>
      </c>
      <c r="G244" s="22" t="s">
        <v>2696</v>
      </c>
      <c r="H244" s="22" t="str">
        <f>IF(OR(N244="",P244="",N244=0),"",(N244-P244)/N244)</f>
        <v/>
      </c>
      <c r="M244" s="22">
        <v>18</v>
      </c>
      <c r="O244" s="22">
        <f>_xlfn.CEILING.MATH((G244+G244*M244/100),1)</f>
        <v>20</v>
      </c>
      <c r="P244" s="22">
        <f>_xlfn.CEILING.MATH((O244+O244*18%),1)</f>
        <v>24</v>
      </c>
    </row>
    <row r="245" spans="1:16" s="22" customFormat="1">
      <c r="A245" s="22">
        <v>73</v>
      </c>
      <c r="C245" s="22" t="s">
        <v>2649</v>
      </c>
      <c r="E245" s="22" t="s">
        <v>2650</v>
      </c>
      <c r="H245" s="22" t="str">
        <f>IF(OR(N245="",P245="",N245=0),"",(N245-P245)/N245)</f>
        <v/>
      </c>
      <c r="O245" s="22">
        <v>14</v>
      </c>
      <c r="P245" s="22">
        <f>_xlfn.CEILING.MATH((O245+O245*18%),1)</f>
        <v>17</v>
      </c>
    </row>
    <row r="246" spans="1:16" s="22" customFormat="1">
      <c r="C246" s="22" t="s">
        <v>2667</v>
      </c>
      <c r="G246" s="22" t="s">
        <v>2695</v>
      </c>
      <c r="H246" s="22" t="str">
        <f>IF(OR(N246="",P246="",N246=0),"",(N246-P246)/N246)</f>
        <v/>
      </c>
      <c r="M246" s="22">
        <v>18</v>
      </c>
      <c r="O246" s="22">
        <f>_xlfn.CEILING.MATH((G246+G246*M246/100),1)</f>
        <v>12</v>
      </c>
      <c r="P246" s="22">
        <f>_xlfn.CEILING.MATH((O246+O246*18%),1)</f>
        <v>15</v>
      </c>
    </row>
    <row r="247" spans="1:16" s="22" customFormat="1">
      <c r="A247" s="22">
        <v>46</v>
      </c>
      <c r="C247" s="22" t="s">
        <v>2556</v>
      </c>
      <c r="H247" s="22" t="str">
        <f>IF(OR(N247="",P247="",N247=0),"",(N247-P247)/N247)</f>
        <v/>
      </c>
      <c r="O247" s="22">
        <v>48000</v>
      </c>
      <c r="P247" s="22">
        <f>_xlfn.CEILING.MATH((O247+O247*18%),1)</f>
        <v>56640</v>
      </c>
    </row>
    <row r="248" spans="1:16" s="22" customFormat="1">
      <c r="C248" s="22" t="s">
        <v>2657</v>
      </c>
      <c r="G248" s="22">
        <v>44500</v>
      </c>
      <c r="H248" s="22" t="str">
        <f>IF(OR(N248="",P248="",N248=0),"",(N248-P248)/N248)</f>
        <v/>
      </c>
      <c r="M248" s="22">
        <v>12</v>
      </c>
      <c r="O248" s="22">
        <f>_xlfn.CEILING.MATH((G248+G248*M248/100),1)</f>
        <v>49840</v>
      </c>
      <c r="P248" s="22">
        <f>_xlfn.CEILING.MATH((O248+O248*18%),1)</f>
        <v>58812</v>
      </c>
    </row>
    <row r="249" spans="1:16" s="22" customFormat="1">
      <c r="A249" s="22">
        <v>12</v>
      </c>
      <c r="C249" s="22" t="s">
        <v>2522</v>
      </c>
      <c r="H249" s="22">
        <f>IF(OR(N249="",P249="",N249=0),"",(N249-P249)/N249)</f>
        <v>0.50832971171954222</v>
      </c>
      <c r="N249" s="22">
        <f>O249*2.4</f>
        <v>27612</v>
      </c>
      <c r="O249" s="22">
        <f>19.5*590</f>
        <v>11505</v>
      </c>
      <c r="P249" s="22">
        <f>_xlfn.CEILING.MATH((O249+O249*18%),1)</f>
        <v>13576</v>
      </c>
    </row>
    <row r="250" spans="1:16" s="22" customFormat="1">
      <c r="A250" s="22">
        <v>25</v>
      </c>
      <c r="C250" s="22" t="s">
        <v>2600</v>
      </c>
      <c r="E250" s="22" t="s">
        <v>2623</v>
      </c>
      <c r="H250" s="22" t="str">
        <f>IF(OR(N250="",P250="",N250=0),"",(N250-P250)/N250)</f>
        <v/>
      </c>
      <c r="O250" s="22">
        <v>6</v>
      </c>
      <c r="P250" s="22">
        <f>_xlfn.CEILING.MATH((O250+O250*18%),1)</f>
        <v>8</v>
      </c>
    </row>
    <row r="251" spans="1:16" s="22" customFormat="1">
      <c r="C251" s="22" t="s">
        <v>2600</v>
      </c>
      <c r="G251" s="22">
        <v>4.28</v>
      </c>
      <c r="H251" s="22" t="str">
        <f>IF(OR(N251="",P251="",N251=0),"",(N251-P251)/N251)</f>
        <v/>
      </c>
      <c r="M251" s="22">
        <v>18</v>
      </c>
      <c r="O251" s="22">
        <f>_xlfn.CEILING.MATH((G251+G251*M251/100),1)</f>
        <v>6</v>
      </c>
      <c r="P251" s="22">
        <f>_xlfn.CEILING.MATH((O251+O251*18%),1)</f>
        <v>8</v>
      </c>
    </row>
    <row r="252" spans="1:16" s="22" customFormat="1">
      <c r="A252" s="22">
        <v>26</v>
      </c>
      <c r="C252" s="22" t="s">
        <v>2601</v>
      </c>
      <c r="E252" s="22" t="s">
        <v>2623</v>
      </c>
      <c r="H252" s="22" t="str">
        <f>IF(OR(N252="",P252="",N252=0),"",(N252-P252)/N252)</f>
        <v/>
      </c>
      <c r="O252" s="22">
        <v>901</v>
      </c>
      <c r="P252" s="22">
        <f>_xlfn.CEILING.MATH((O252+O252*18%),1)</f>
        <v>1064</v>
      </c>
    </row>
    <row r="253" spans="1:16" s="22" customFormat="1">
      <c r="C253" s="22" t="s">
        <v>2601</v>
      </c>
      <c r="G253" s="22">
        <v>643.5</v>
      </c>
      <c r="H253" s="22" t="str">
        <f>IF(OR(N253="",P253="",N253=0),"",(N253-P253)/N253)</f>
        <v/>
      </c>
      <c r="M253" s="22">
        <v>18</v>
      </c>
      <c r="O253" s="22">
        <f>_xlfn.CEILING.MATH((G253+G253*M253/100),1)</f>
        <v>760</v>
      </c>
      <c r="P253" s="22">
        <f>_xlfn.CEILING.MATH((O253+O253*18%),1)</f>
        <v>897</v>
      </c>
    </row>
    <row r="254" spans="1:16" s="22" customFormat="1">
      <c r="A254" s="22">
        <v>27</v>
      </c>
      <c r="C254" s="22" t="s">
        <v>2602</v>
      </c>
      <c r="E254" s="22" t="s">
        <v>2623</v>
      </c>
      <c r="H254" s="22" t="str">
        <f>IF(OR(N254="",P254="",N254=0),"",(N254-P254)/N254)</f>
        <v/>
      </c>
      <c r="O254" s="22">
        <v>7</v>
      </c>
      <c r="P254" s="22">
        <f>_xlfn.CEILING.MATH((O254+O254*18%),1)</f>
        <v>9</v>
      </c>
    </row>
    <row r="255" spans="1:16" s="22" customFormat="1">
      <c r="C255" s="22" t="s">
        <v>2602</v>
      </c>
      <c r="G255" s="22">
        <v>4.8899999999999997</v>
      </c>
      <c r="H255" s="22" t="str">
        <f>IF(OR(N255="",P255="",N255=0),"",(N255-P255)/N255)</f>
        <v/>
      </c>
      <c r="M255" s="22">
        <v>18</v>
      </c>
      <c r="O255" s="22">
        <f>_xlfn.CEILING.MATH((G255+G255*M255/100),1)</f>
        <v>6</v>
      </c>
      <c r="P255" s="22">
        <f>_xlfn.CEILING.MATH((O255+O255*18%),1)</f>
        <v>8</v>
      </c>
    </row>
    <row r="256" spans="1:16" s="22" customFormat="1">
      <c r="A256" s="22">
        <v>47</v>
      </c>
      <c r="C256" s="22" t="s">
        <v>2557</v>
      </c>
      <c r="H256" s="22" t="str">
        <f>IF(OR(N256="",P256="",N256=0),"",(N256-P256)/N256)</f>
        <v/>
      </c>
      <c r="O256" s="22">
        <v>170</v>
      </c>
      <c r="P256" s="22">
        <f>_xlfn.CEILING.MATH((O256+O256*18%),1)</f>
        <v>201</v>
      </c>
    </row>
    <row r="257" spans="1:16" s="22" customFormat="1">
      <c r="C257" s="22" t="s">
        <v>2666</v>
      </c>
      <c r="G257" s="22">
        <v>146.87</v>
      </c>
      <c r="H257" s="22" t="str">
        <f>IF(OR(N257="",P257="",N257=0),"",(N257-P257)/N257)</f>
        <v/>
      </c>
      <c r="M257" s="22">
        <v>12</v>
      </c>
      <c r="O257" s="22">
        <f>_xlfn.CEILING.MATH((G257+G257*M257/100),1)</f>
        <v>165</v>
      </c>
      <c r="P257" s="22">
        <f>_xlfn.CEILING.MATH((O257+O257*18%),1)</f>
        <v>195</v>
      </c>
    </row>
    <row r="258" spans="1:16" s="22" customFormat="1">
      <c r="A258" s="22">
        <v>41</v>
      </c>
      <c r="C258" s="22" t="s">
        <v>2613</v>
      </c>
      <c r="E258" s="22" t="s">
        <v>2622</v>
      </c>
      <c r="H258" s="22" t="str">
        <f>IF(OR(N258="",P258="",N258=0),"",(N258-P258)/N258)</f>
        <v/>
      </c>
      <c r="O258" s="22">
        <v>101</v>
      </c>
      <c r="P258" s="22">
        <f>_xlfn.CEILING.MATH((O258+O258*18%),1)</f>
        <v>120</v>
      </c>
    </row>
    <row r="259" spans="1:16" s="22" customFormat="1">
      <c r="C259" s="22" t="s">
        <v>2613</v>
      </c>
      <c r="G259" s="22">
        <v>71.5</v>
      </c>
      <c r="H259" s="22" t="str">
        <f>IF(OR(N259="",P259="",N259=0),"",(N259-P259)/N259)</f>
        <v/>
      </c>
      <c r="M259" s="22">
        <v>18</v>
      </c>
      <c r="O259" s="22">
        <f>_xlfn.CEILING.MATH((G259+G259*M259/100),1)</f>
        <v>85</v>
      </c>
      <c r="P259" s="22">
        <f>_xlfn.CEILING.MATH((O259+O259*18%),1)</f>
        <v>101</v>
      </c>
    </row>
    <row r="260" spans="1:16" s="22" customFormat="1">
      <c r="A260" s="22">
        <v>42</v>
      </c>
      <c r="C260" s="22" t="s">
        <v>2614</v>
      </c>
      <c r="E260" s="22" t="s">
        <v>2622</v>
      </c>
      <c r="H260" s="22" t="str">
        <f>IF(OR(N260="",P260="",N260=0),"",(N260-P260)/N260)</f>
        <v/>
      </c>
      <c r="O260" s="22">
        <v>138</v>
      </c>
      <c r="P260" s="22">
        <f>_xlfn.CEILING.MATH((O260+O260*18%),1)</f>
        <v>163</v>
      </c>
    </row>
    <row r="261" spans="1:16" s="22" customFormat="1">
      <c r="C261" s="22" t="s">
        <v>2614</v>
      </c>
      <c r="G261" s="22">
        <v>98.15</v>
      </c>
      <c r="H261" s="22" t="str">
        <f>IF(OR(N261="",P261="",N261=0),"",(N261-P261)/N261)</f>
        <v/>
      </c>
      <c r="M261" s="22">
        <v>18</v>
      </c>
      <c r="O261" s="22">
        <f>_xlfn.CEILING.MATH((G261+G261*M261/100),1)</f>
        <v>116</v>
      </c>
      <c r="P261" s="22">
        <f>_xlfn.CEILING.MATH((O261+O261*18%),1)</f>
        <v>137</v>
      </c>
    </row>
    <row r="262" spans="1:16" s="22" customFormat="1">
      <c r="A262" s="22">
        <v>43</v>
      </c>
      <c r="C262" s="22" t="s">
        <v>2615</v>
      </c>
      <c r="E262" s="22" t="s">
        <v>2622</v>
      </c>
      <c r="H262" s="22" t="str">
        <f>IF(OR(N262="",P262="",N262=0),"",(N262-P262)/N262)</f>
        <v/>
      </c>
      <c r="O262" s="22">
        <v>121</v>
      </c>
      <c r="P262" s="22">
        <f>_xlfn.CEILING.MATH((O262+O262*18%),1)</f>
        <v>143</v>
      </c>
    </row>
    <row r="263" spans="1:16" s="22" customFormat="1">
      <c r="C263" s="22" t="s">
        <v>2615</v>
      </c>
      <c r="G263" s="22">
        <v>85.8</v>
      </c>
      <c r="H263" s="22" t="str">
        <f>IF(OR(N263="",P263="",N263=0),"",(N263-P263)/N263)</f>
        <v/>
      </c>
      <c r="M263" s="22">
        <v>18</v>
      </c>
      <c r="O263" s="22">
        <f>_xlfn.CEILING.MATH((G263+G263*M263/100),1)</f>
        <v>102</v>
      </c>
      <c r="P263" s="22">
        <f>_xlfn.CEILING.MATH((O263+O263*18%),1)</f>
        <v>121</v>
      </c>
    </row>
    <row r="264" spans="1:16" s="22" customFormat="1">
      <c r="A264" s="22">
        <v>44</v>
      </c>
      <c r="C264" s="22" t="s">
        <v>2616</v>
      </c>
      <c r="E264" s="22" t="s">
        <v>2622</v>
      </c>
      <c r="H264" s="22" t="str">
        <f>IF(OR(N264="",P264="",N264=0),"",(N264-P264)/N264)</f>
        <v/>
      </c>
      <c r="O264" s="22">
        <v>163</v>
      </c>
      <c r="P264" s="22">
        <f>_xlfn.CEILING.MATH((O264+O264*18%),1)</f>
        <v>193</v>
      </c>
    </row>
    <row r="265" spans="1:16" s="22" customFormat="1">
      <c r="C265" s="22" t="s">
        <v>2616</v>
      </c>
      <c r="G265" s="22">
        <v>116.35000000000001</v>
      </c>
      <c r="H265" s="22" t="str">
        <f>IF(OR(N265="",P265="",N265=0),"",(N265-P265)/N265)</f>
        <v/>
      </c>
      <c r="M265" s="22">
        <v>18</v>
      </c>
      <c r="O265" s="22">
        <f>_xlfn.CEILING.MATH((G265+G265*M265/100),1)</f>
        <v>138</v>
      </c>
      <c r="P265" s="22">
        <f>_xlfn.CEILING.MATH((O265+O265*18%),1)</f>
        <v>163</v>
      </c>
    </row>
    <row r="266" spans="1:16" s="22" customFormat="1">
      <c r="A266" s="22">
        <v>45</v>
      </c>
      <c r="C266" s="22" t="s">
        <v>2617</v>
      </c>
      <c r="E266" s="22" t="s">
        <v>2622</v>
      </c>
      <c r="H266" s="22" t="str">
        <f>IF(OR(N266="",P266="",N266=0),"",(N266-P266)/N266)</f>
        <v/>
      </c>
      <c r="O266" s="22">
        <v>236</v>
      </c>
      <c r="P266" s="22">
        <f>_xlfn.CEILING.MATH((O266+O266*18%),1)</f>
        <v>279</v>
      </c>
    </row>
    <row r="267" spans="1:16" s="22" customFormat="1">
      <c r="C267" s="22" t="s">
        <v>2617</v>
      </c>
      <c r="G267" s="22">
        <v>168.35</v>
      </c>
      <c r="H267" s="22" t="str">
        <f>IF(OR(N267="",P267="",N267=0),"",(N267-P267)/N267)</f>
        <v/>
      </c>
      <c r="M267" s="22">
        <v>18</v>
      </c>
      <c r="O267" s="22">
        <f>_xlfn.CEILING.MATH((G267+G267*M267/100),1)</f>
        <v>199</v>
      </c>
      <c r="P267" s="22">
        <f>_xlfn.CEILING.MATH((O267+O267*18%),1)</f>
        <v>235</v>
      </c>
    </row>
    <row r="268" spans="1:16" s="22" customFormat="1">
      <c r="A268" s="22">
        <v>46</v>
      </c>
      <c r="C268" s="22" t="s">
        <v>2618</v>
      </c>
      <c r="E268" s="22" t="s">
        <v>2622</v>
      </c>
      <c r="H268" s="22" t="str">
        <f>IF(OR(N268="",P268="",N268=0),"",(N268-P268)/N268)</f>
        <v/>
      </c>
      <c r="O268" s="22">
        <v>315</v>
      </c>
      <c r="P268" s="22">
        <f>_xlfn.CEILING.MATH((O268+O268*18%),1)</f>
        <v>372</v>
      </c>
    </row>
    <row r="269" spans="1:16" s="22" customFormat="1">
      <c r="C269" s="22" t="s">
        <v>2618</v>
      </c>
      <c r="G269" s="22">
        <v>224.9</v>
      </c>
      <c r="H269" s="22" t="str">
        <f>IF(OR(N269="",P269="",N269=0),"",(N269-P269)/N269)</f>
        <v/>
      </c>
      <c r="M269" s="22">
        <v>18</v>
      </c>
      <c r="O269" s="22">
        <f>_xlfn.CEILING.MATH((G269+G269*M269/100),1)</f>
        <v>266</v>
      </c>
      <c r="P269" s="22">
        <f>_xlfn.CEILING.MATH((O269+O269*18%),1)</f>
        <v>314</v>
      </c>
    </row>
    <row r="270" spans="1:16" s="22" customFormat="1">
      <c r="A270" s="22">
        <v>47</v>
      </c>
      <c r="C270" s="22" t="s">
        <v>2619</v>
      </c>
      <c r="E270" s="22" t="s">
        <v>2622</v>
      </c>
      <c r="H270" s="22" t="str">
        <f>IF(OR(N270="",P270="",N270=0),"",(N270-P270)/N270)</f>
        <v/>
      </c>
      <c r="O270" s="22">
        <v>86</v>
      </c>
      <c r="P270" s="22">
        <f>_xlfn.CEILING.MATH((O270+O270*18%),1)</f>
        <v>102</v>
      </c>
    </row>
    <row r="271" spans="1:16" s="22" customFormat="1">
      <c r="C271" s="22" t="s">
        <v>2619</v>
      </c>
      <c r="G271" s="22">
        <v>61.1</v>
      </c>
      <c r="H271" s="22" t="str">
        <f>IF(OR(N271="",P271="",N271=0),"",(N271-P271)/N271)</f>
        <v/>
      </c>
      <c r="M271" s="22">
        <v>18</v>
      </c>
      <c r="O271" s="22">
        <f>_xlfn.CEILING.MATH((G271+G271*M271/100),1)</f>
        <v>73</v>
      </c>
      <c r="P271" s="22">
        <f>_xlfn.CEILING.MATH((O271+O271*18%),1)</f>
        <v>87</v>
      </c>
    </row>
    <row r="272" spans="1:16" s="22" customFormat="1">
      <c r="A272" s="22">
        <v>48</v>
      </c>
      <c r="C272" s="22" t="s">
        <v>2620</v>
      </c>
      <c r="E272" s="22" t="s">
        <v>2622</v>
      </c>
      <c r="H272" s="22" t="str">
        <f>IF(OR(N272="",P272="",N272=0),"",(N272-P272)/N272)</f>
        <v/>
      </c>
      <c r="O272" s="22">
        <v>101</v>
      </c>
      <c r="P272" s="22">
        <f>_xlfn.CEILING.MATH((O272+O272*18%),1)</f>
        <v>120</v>
      </c>
    </row>
    <row r="273" spans="1:16" s="22" customFormat="1">
      <c r="C273" s="22" t="s">
        <v>2620</v>
      </c>
      <c r="G273" s="22">
        <v>71.5</v>
      </c>
      <c r="H273" s="22" t="str">
        <f>IF(OR(N273="",P273="",N273=0),"",(N273-P273)/N273)</f>
        <v/>
      </c>
      <c r="M273" s="22">
        <v>18</v>
      </c>
      <c r="O273" s="22">
        <f>_xlfn.CEILING.MATH((G273+G273*M273/100),1)</f>
        <v>85</v>
      </c>
      <c r="P273" s="22">
        <f>_xlfn.CEILING.MATH((O273+O273*18%),1)</f>
        <v>101</v>
      </c>
    </row>
    <row r="274" spans="1:16" s="22" customFormat="1">
      <c r="A274" s="22">
        <v>49</v>
      </c>
      <c r="C274" s="22" t="s">
        <v>2621</v>
      </c>
      <c r="E274" s="22" t="s">
        <v>2622</v>
      </c>
      <c r="H274" s="22" t="str">
        <f>IF(OR(N274="",P274="",N274=0),"",(N274-P274)/N274)</f>
        <v/>
      </c>
      <c r="O274" s="22">
        <v>132</v>
      </c>
      <c r="P274" s="22">
        <f>_xlfn.CEILING.MATH((O274+O274*18%),1)</f>
        <v>156</v>
      </c>
    </row>
    <row r="275" spans="1:16" s="22" customFormat="1">
      <c r="C275" s="22" t="s">
        <v>2621</v>
      </c>
      <c r="G275" s="22">
        <v>93.600000000000009</v>
      </c>
      <c r="H275" s="22" t="str">
        <f>IF(OR(N275="",P275="",N275=0),"",(N275-P275)/N275)</f>
        <v/>
      </c>
      <c r="M275" s="22">
        <v>18</v>
      </c>
      <c r="O275" s="22">
        <f>_xlfn.CEILING.MATH((G275+G275*M275/100),1)</f>
        <v>111</v>
      </c>
      <c r="P275" s="22">
        <f>_xlfn.CEILING.MATH((O275+O275*18%),1)</f>
        <v>131</v>
      </c>
    </row>
    <row r="276" spans="1:16" s="22" customFormat="1">
      <c r="A276" s="22">
        <v>10</v>
      </c>
      <c r="C276" s="22" t="s">
        <v>2572</v>
      </c>
      <c r="E276" s="22" t="s">
        <v>2575</v>
      </c>
      <c r="H276" s="22" t="str">
        <f>IF(OR(N276="",P276="",N276=0),"",(N276-P276)/N276)</f>
        <v/>
      </c>
      <c r="O276" s="22">
        <v>706</v>
      </c>
      <c r="P276" s="22">
        <f>_xlfn.CEILING.MATH((O276+O276*18%),1)</f>
        <v>834</v>
      </c>
    </row>
    <row r="277" spans="1:16" s="22" customFormat="1">
      <c r="C277" s="22" t="s">
        <v>2572</v>
      </c>
      <c r="E277" s="22" t="s">
        <v>2575</v>
      </c>
      <c r="G277" s="22">
        <v>504</v>
      </c>
      <c r="H277" s="22" t="str">
        <f>IF(OR(N277="",P277="",N277=0),"",(N277-P277)/N277)</f>
        <v/>
      </c>
      <c r="M277" s="22">
        <v>18</v>
      </c>
      <c r="O277" s="22">
        <f>_xlfn.CEILING.MATH((G277+G277*M277/100),1)</f>
        <v>595</v>
      </c>
      <c r="P277" s="22">
        <f>_xlfn.CEILING.MATH((O277+O277*18%),1)</f>
        <v>703</v>
      </c>
    </row>
    <row r="278" spans="1:16" s="22" customFormat="1">
      <c r="A278" s="22">
        <v>11</v>
      </c>
      <c r="C278" s="22" t="s">
        <v>2573</v>
      </c>
      <c r="E278" s="22" t="s">
        <v>2575</v>
      </c>
      <c r="H278" s="22" t="str">
        <f>IF(OR(N278="",P278="",N278=0),"",(N278-P278)/N278)</f>
        <v/>
      </c>
      <c r="O278" s="22">
        <v>1008</v>
      </c>
      <c r="P278" s="22">
        <f>_xlfn.CEILING.MATH((O278+O278*18%),1)</f>
        <v>1190</v>
      </c>
    </row>
    <row r="279" spans="1:16" s="22" customFormat="1">
      <c r="C279" s="22" t="s">
        <v>2573</v>
      </c>
      <c r="E279" s="22" t="s">
        <v>2575</v>
      </c>
      <c r="G279" s="22">
        <v>720</v>
      </c>
      <c r="H279" s="22" t="str">
        <f>IF(OR(N279="",P279="",N279=0),"",(N279-P279)/N279)</f>
        <v/>
      </c>
      <c r="M279" s="22">
        <v>18</v>
      </c>
      <c r="O279" s="22">
        <f>_xlfn.CEILING.MATH((G279+G279*M279/100),1)</f>
        <v>850</v>
      </c>
      <c r="P279" s="22">
        <f>_xlfn.CEILING.MATH((O279+O279*18%),1)</f>
        <v>1003</v>
      </c>
    </row>
    <row r="280" spans="1:16" s="22" customFormat="1">
      <c r="A280" s="22">
        <v>12</v>
      </c>
      <c r="C280" s="22" t="s">
        <v>2574</v>
      </c>
      <c r="E280" s="22" t="s">
        <v>2575</v>
      </c>
      <c r="H280" s="22" t="str">
        <f>IF(OR(N280="",P280="",N280=0),"",(N280-P280)/N280)</f>
        <v/>
      </c>
      <c r="O280" s="22">
        <v>154</v>
      </c>
      <c r="P280" s="22">
        <f>_xlfn.CEILING.MATH((O280+O280*18%),1)</f>
        <v>182</v>
      </c>
    </row>
    <row r="281" spans="1:16" s="22" customFormat="1">
      <c r="C281" s="22" t="s">
        <v>2574</v>
      </c>
      <c r="E281" s="22" t="s">
        <v>2575</v>
      </c>
      <c r="G281" s="22">
        <v>110</v>
      </c>
      <c r="H281" s="22" t="str">
        <f>IF(OR(N281="",P281="",N281=0),"",(N281-P281)/N281)</f>
        <v/>
      </c>
      <c r="M281" s="22">
        <v>18</v>
      </c>
      <c r="O281" s="22">
        <f>_xlfn.CEILING.MATH((G281+G281*M281/100),1)</f>
        <v>130</v>
      </c>
      <c r="P281" s="22">
        <f>_xlfn.CEILING.MATH((O281+O281*18%),1)</f>
        <v>154</v>
      </c>
    </row>
    <row r="282" spans="1:16" s="22" customFormat="1">
      <c r="A282" s="22">
        <v>28</v>
      </c>
      <c r="C282" s="22" t="s">
        <v>2603</v>
      </c>
      <c r="E282" s="22" t="s">
        <v>2623</v>
      </c>
      <c r="H282" s="22" t="str">
        <f>IF(OR(N282="",P282="",N282=0),"",(N282-P282)/N282)</f>
        <v/>
      </c>
      <c r="O282" s="22">
        <v>35</v>
      </c>
      <c r="P282" s="22">
        <f>_xlfn.CEILING.MATH((O282+O282*18%),1)</f>
        <v>42</v>
      </c>
    </row>
    <row r="283" spans="1:16" s="22" customFormat="1">
      <c r="C283" s="22" t="s">
        <v>2603</v>
      </c>
      <c r="G283" s="22">
        <v>24.45</v>
      </c>
      <c r="H283" s="22" t="str">
        <f>IF(OR(N283="",P283="",N283=0),"",(N283-P283)/N283)</f>
        <v/>
      </c>
      <c r="M283" s="22">
        <v>18</v>
      </c>
      <c r="O283" s="22">
        <f>_xlfn.CEILING.MATH((G283+G283*M283/100),1)</f>
        <v>29</v>
      </c>
      <c r="P283" s="22">
        <f>_xlfn.CEILING.MATH((O283+O283*18%),1)</f>
        <v>35</v>
      </c>
    </row>
    <row r="284" spans="1:16" s="22" customFormat="1">
      <c r="A284" s="22">
        <v>13</v>
      </c>
      <c r="C284" s="22" t="s">
        <v>2523</v>
      </c>
      <c r="H284" s="22">
        <f>IF(OR(N284="",P284="",N284=0),"",(N284-P284)/N284)</f>
        <v>0.5083333333333333</v>
      </c>
      <c r="N284" s="22">
        <f>O284*2.4</f>
        <v>3240</v>
      </c>
      <c r="O284" s="22">
        <v>1350</v>
      </c>
      <c r="P284" s="22">
        <f>_xlfn.CEILING.MATH((O284+O284*18%),1)</f>
        <v>1593</v>
      </c>
    </row>
    <row r="285" spans="1:16" s="22" customFormat="1">
      <c r="A285" s="22">
        <v>14</v>
      </c>
      <c r="C285" s="22" t="s">
        <v>2524</v>
      </c>
      <c r="H285" s="22">
        <f>IF(OR(N285="",P285="",N285=0),"",(N285-P285)/N285)</f>
        <v>0.5083333333333333</v>
      </c>
      <c r="N285" s="22">
        <f>O285*2.4</f>
        <v>9000</v>
      </c>
      <c r="O285" s="22">
        <f>5000*0.75</f>
        <v>3750</v>
      </c>
      <c r="P285" s="22">
        <f>_xlfn.CEILING.MATH((O285+O285*18%),1)</f>
        <v>4425</v>
      </c>
    </row>
    <row r="286" spans="1:16" s="22" customFormat="1">
      <c r="A286" s="22">
        <v>15</v>
      </c>
      <c r="C286" s="22" t="s">
        <v>2525</v>
      </c>
      <c r="H286" s="22">
        <f>IF(OR(N286="",P286="",N286=0),"",(N286-P286)/N286)</f>
        <v>0.50825471698113212</v>
      </c>
      <c r="N286" s="22">
        <f>O286*2.4</f>
        <v>10176</v>
      </c>
      <c r="O286" s="22">
        <v>4240</v>
      </c>
      <c r="P286" s="22">
        <f>_xlfn.CEILING.MATH((O286+O286*18%),1)</f>
        <v>5004</v>
      </c>
    </row>
    <row r="287" spans="1:16" s="22" customFormat="1">
      <c r="A287" s="22">
        <v>29</v>
      </c>
      <c r="C287" s="22" t="s">
        <v>2604</v>
      </c>
      <c r="E287" s="22" t="s">
        <v>2623</v>
      </c>
      <c r="H287" s="22" t="str">
        <f>IF(OR(N287="",P287="",N287=0),"",(N287-P287)/N287)</f>
        <v/>
      </c>
      <c r="O287" s="22">
        <v>8</v>
      </c>
      <c r="P287" s="22">
        <f>_xlfn.CEILING.MATH((O287+O287*18%),1)</f>
        <v>10</v>
      </c>
    </row>
    <row r="288" spans="1:16" s="22" customFormat="1">
      <c r="C288" s="22" t="s">
        <v>2604</v>
      </c>
      <c r="G288" s="22">
        <v>5.66</v>
      </c>
      <c r="H288" s="22" t="str">
        <f>IF(OR(N288="",P288="",N288=0),"",(N288-P288)/N288)</f>
        <v/>
      </c>
      <c r="M288" s="22">
        <v>18</v>
      </c>
      <c r="O288" s="22">
        <f>_xlfn.CEILING.MATH((G288+G288*M288/100),1)</f>
        <v>7</v>
      </c>
      <c r="P288" s="22">
        <f>_xlfn.CEILING.MATH((O288+O288*18%),1)</f>
        <v>9</v>
      </c>
    </row>
    <row r="289" spans="1:16" s="22" customFormat="1">
      <c r="A289" s="22">
        <v>30</v>
      </c>
      <c r="C289" s="22" t="s">
        <v>2605</v>
      </c>
      <c r="E289" s="22" t="s">
        <v>2623</v>
      </c>
      <c r="H289" s="22" t="str">
        <f>IF(OR(N289="",P289="",N289=0),"",(N289-P289)/N289)</f>
        <v/>
      </c>
      <c r="O289" s="22">
        <v>29</v>
      </c>
      <c r="P289" s="22">
        <f>_xlfn.CEILING.MATH((O289+O289*18%),1)</f>
        <v>35</v>
      </c>
    </row>
    <row r="290" spans="1:16" s="22" customFormat="1">
      <c r="C290" s="22" t="s">
        <v>2605</v>
      </c>
      <c r="G290" s="22">
        <v>20.59</v>
      </c>
      <c r="H290" s="22" t="str">
        <f>IF(OR(N290="",P290="",N290=0),"",(N290-P290)/N290)</f>
        <v/>
      </c>
      <c r="M290" s="22">
        <v>18</v>
      </c>
      <c r="O290" s="22">
        <f>_xlfn.CEILING.MATH((G290+G290*M290/100),1)</f>
        <v>25</v>
      </c>
      <c r="P290" s="22">
        <f>_xlfn.CEILING.MATH((O290+O290*18%),1)</f>
        <v>30</v>
      </c>
    </row>
    <row r="291" spans="1:16" s="22" customFormat="1">
      <c r="C291" s="22" t="s">
        <v>2651</v>
      </c>
      <c r="G291" s="22">
        <v>6500</v>
      </c>
      <c r="H291" s="22" t="str">
        <f>IF(OR(N291="",P291="",N291=0),"",(N291-P291)/N291)</f>
        <v/>
      </c>
      <c r="M291" s="22">
        <v>18</v>
      </c>
      <c r="O291" s="22">
        <f>_xlfn.CEILING.MATH((G291+G291*M291/100),1)</f>
        <v>7670</v>
      </c>
      <c r="P291" s="22">
        <f>_xlfn.CEILING.MATH((O291+O291*18%),1)</f>
        <v>9051</v>
      </c>
    </row>
    <row r="292" spans="1:16" s="22" customFormat="1">
      <c r="A292" s="22">
        <v>48</v>
      </c>
      <c r="C292" s="22" t="s">
        <v>2558</v>
      </c>
      <c r="H292" s="22" t="str">
        <f>IF(OR(N292="",P292="",N292=0),"",(N292-P292)/N292)</f>
        <v/>
      </c>
      <c r="O292" s="22">
        <v>9315</v>
      </c>
      <c r="P292" s="22">
        <f>_xlfn.CEILING.MATH((O292+O292*18%),1)</f>
        <v>10992</v>
      </c>
    </row>
    <row r="293" spans="1:16" s="22" customFormat="1">
      <c r="A293" s="31">
        <v>1</v>
      </c>
      <c r="C293" s="31" t="s">
        <v>2728</v>
      </c>
      <c r="D293" s="31" t="s">
        <v>2848</v>
      </c>
      <c r="E293" s="31" t="s">
        <v>2716</v>
      </c>
      <c r="F293" s="31" t="s">
        <v>2802</v>
      </c>
      <c r="O293" s="31">
        <v>81</v>
      </c>
      <c r="P293" s="22" t="s">
        <v>2833</v>
      </c>
    </row>
    <row r="294" spans="1:16">
      <c r="A294" s="31">
        <v>2</v>
      </c>
      <c r="C294" s="31" t="s">
        <v>2729</v>
      </c>
      <c r="D294" s="31"/>
      <c r="E294" s="31" t="s">
        <v>2716</v>
      </c>
      <c r="F294" s="31" t="s">
        <v>2803</v>
      </c>
      <c r="O294" s="31">
        <v>126</v>
      </c>
      <c r="P294" t="s">
        <v>2834</v>
      </c>
    </row>
    <row r="295" spans="1:16">
      <c r="A295" s="31">
        <v>3</v>
      </c>
      <c r="C295" s="31" t="s">
        <v>2729</v>
      </c>
      <c r="D295" s="31"/>
      <c r="E295" s="31" t="s">
        <v>2716</v>
      </c>
      <c r="F295" s="31" t="s">
        <v>2802</v>
      </c>
      <c r="O295" s="31">
        <v>81</v>
      </c>
      <c r="P295" t="s">
        <v>2833</v>
      </c>
    </row>
    <row r="296" spans="1:16">
      <c r="A296" s="31">
        <v>4</v>
      </c>
      <c r="C296" s="31" t="s">
        <v>2730</v>
      </c>
      <c r="D296" s="31"/>
      <c r="E296" s="31" t="s">
        <v>2716</v>
      </c>
      <c r="F296" s="31" t="s">
        <v>2802</v>
      </c>
      <c r="O296" s="31">
        <v>81</v>
      </c>
      <c r="P296" t="s">
        <v>2835</v>
      </c>
    </row>
    <row r="297" spans="1:16">
      <c r="A297" s="31">
        <v>5</v>
      </c>
      <c r="C297" s="31" t="s">
        <v>2731</v>
      </c>
      <c r="D297" s="31"/>
      <c r="E297" s="31" t="s">
        <v>2716</v>
      </c>
      <c r="F297" s="31" t="s">
        <v>2803</v>
      </c>
      <c r="O297" s="31">
        <v>90</v>
      </c>
      <c r="P297" t="s">
        <v>2836</v>
      </c>
    </row>
    <row r="298" spans="1:16">
      <c r="A298" s="31">
        <v>6</v>
      </c>
      <c r="C298" s="31" t="s">
        <v>2732</v>
      </c>
      <c r="D298" s="31"/>
      <c r="E298" s="31" t="s">
        <v>2716</v>
      </c>
      <c r="F298" s="31" t="s">
        <v>2802</v>
      </c>
      <c r="O298" s="31">
        <v>81</v>
      </c>
      <c r="P298" t="s">
        <v>2834</v>
      </c>
    </row>
    <row r="299" spans="1:16">
      <c r="A299" s="31">
        <v>7</v>
      </c>
      <c r="C299" s="31" t="s">
        <v>2733</v>
      </c>
      <c r="D299" s="31"/>
      <c r="E299" s="31" t="s">
        <v>2716</v>
      </c>
      <c r="F299" s="31" t="s">
        <v>2803</v>
      </c>
      <c r="O299" s="31">
        <v>108</v>
      </c>
      <c r="P299" t="s">
        <v>2834</v>
      </c>
    </row>
    <row r="300" spans="1:16">
      <c r="A300" s="31">
        <v>8</v>
      </c>
      <c r="C300" s="31" t="s">
        <v>2734</v>
      </c>
      <c r="D300" s="31"/>
      <c r="E300" s="31" t="s">
        <v>2716</v>
      </c>
      <c r="F300" s="31" t="s">
        <v>2802</v>
      </c>
      <c r="O300" s="31">
        <v>90</v>
      </c>
      <c r="P300" t="s">
        <v>2836</v>
      </c>
    </row>
    <row r="301" spans="1:16">
      <c r="A301" s="31">
        <v>9</v>
      </c>
      <c r="C301" s="31" t="s">
        <v>2734</v>
      </c>
      <c r="D301" s="31"/>
      <c r="E301" s="31" t="s">
        <v>2716</v>
      </c>
      <c r="F301" s="31" t="s">
        <v>2803</v>
      </c>
      <c r="O301" s="31">
        <v>135</v>
      </c>
      <c r="P301" t="s">
        <v>2834</v>
      </c>
    </row>
    <row r="302" spans="1:16">
      <c r="A302" s="31">
        <v>10</v>
      </c>
      <c r="C302" s="31" t="s">
        <v>2735</v>
      </c>
      <c r="D302" s="31"/>
      <c r="E302" s="31" t="s">
        <v>2716</v>
      </c>
      <c r="F302" s="31" t="s">
        <v>2803</v>
      </c>
      <c r="O302" s="31">
        <v>108</v>
      </c>
      <c r="P302" t="s">
        <v>2834</v>
      </c>
    </row>
    <row r="303" spans="1:16">
      <c r="A303" s="31">
        <v>11</v>
      </c>
      <c r="C303" s="31" t="s">
        <v>2736</v>
      </c>
      <c r="D303" s="31"/>
      <c r="E303" s="31" t="s">
        <v>2716</v>
      </c>
      <c r="F303" s="31" t="s">
        <v>2803</v>
      </c>
      <c r="O303" s="31">
        <v>126</v>
      </c>
      <c r="P303" t="s">
        <v>2834</v>
      </c>
    </row>
    <row r="304" spans="1:16">
      <c r="A304" s="31">
        <v>12</v>
      </c>
      <c r="C304" s="31" t="s">
        <v>2737</v>
      </c>
      <c r="D304" s="31"/>
      <c r="E304" s="31" t="s">
        <v>2716</v>
      </c>
      <c r="F304" s="31" t="s">
        <v>2802</v>
      </c>
      <c r="O304" s="31">
        <v>117</v>
      </c>
      <c r="P304" t="s">
        <v>2834</v>
      </c>
    </row>
    <row r="305" spans="1:16">
      <c r="A305" s="31">
        <v>13</v>
      </c>
      <c r="C305" s="31" t="s">
        <v>2738</v>
      </c>
      <c r="D305" s="31"/>
      <c r="E305" s="31" t="s">
        <v>2716</v>
      </c>
      <c r="F305" s="31" t="s">
        <v>2803</v>
      </c>
      <c r="O305" s="31">
        <v>135</v>
      </c>
      <c r="P305" t="s">
        <v>2837</v>
      </c>
    </row>
    <row r="306" spans="1:16">
      <c r="A306" s="31">
        <v>14</v>
      </c>
      <c r="C306" s="31" t="s">
        <v>2739</v>
      </c>
      <c r="D306" s="31"/>
      <c r="E306" s="31" t="s">
        <v>2716</v>
      </c>
      <c r="F306" s="31" t="s">
        <v>2803</v>
      </c>
      <c r="O306" s="31">
        <v>450</v>
      </c>
      <c r="P306" t="s">
        <v>2837</v>
      </c>
    </row>
    <row r="307" spans="1:16">
      <c r="A307" s="31">
        <v>15</v>
      </c>
      <c r="C307" s="31" t="s">
        <v>2740</v>
      </c>
      <c r="D307" s="31"/>
      <c r="E307" s="31" t="s">
        <v>2716</v>
      </c>
      <c r="F307" s="31" t="s">
        <v>2804</v>
      </c>
      <c r="O307" s="31" t="s">
        <v>2829</v>
      </c>
      <c r="P307" t="s">
        <v>2838</v>
      </c>
    </row>
    <row r="308" spans="1:16">
      <c r="A308" s="31">
        <v>16</v>
      </c>
      <c r="C308" s="31" t="s">
        <v>2740</v>
      </c>
      <c r="D308" s="31"/>
      <c r="E308" s="31" t="s">
        <v>2716</v>
      </c>
      <c r="F308" s="31" t="s">
        <v>2804</v>
      </c>
      <c r="O308" s="31" t="s">
        <v>2829</v>
      </c>
      <c r="P308" t="s">
        <v>2838</v>
      </c>
    </row>
    <row r="309" spans="1:16">
      <c r="A309" s="31">
        <v>17</v>
      </c>
      <c r="C309" s="31" t="s">
        <v>2741</v>
      </c>
      <c r="D309" s="31"/>
      <c r="E309" s="31" t="s">
        <v>2717</v>
      </c>
      <c r="F309" s="31" t="s">
        <v>2803</v>
      </c>
      <c r="O309" s="31">
        <v>108</v>
      </c>
      <c r="P309" t="s">
        <v>2834</v>
      </c>
    </row>
    <row r="310" spans="1:16">
      <c r="A310" s="31">
        <v>18</v>
      </c>
      <c r="C310" s="31" t="s">
        <v>2742</v>
      </c>
      <c r="D310" s="31"/>
      <c r="E310" s="31" t="s">
        <v>2717</v>
      </c>
      <c r="F310" s="31" t="s">
        <v>2803</v>
      </c>
      <c r="O310" s="31">
        <v>135</v>
      </c>
      <c r="P310" t="s">
        <v>2839</v>
      </c>
    </row>
    <row r="311" spans="1:16">
      <c r="A311" s="31">
        <v>19</v>
      </c>
      <c r="C311" s="31" t="s">
        <v>2743</v>
      </c>
      <c r="D311" s="31"/>
      <c r="E311" s="31" t="s">
        <v>2717</v>
      </c>
      <c r="F311" s="31" t="s">
        <v>2803</v>
      </c>
      <c r="O311" s="31">
        <v>180</v>
      </c>
      <c r="P311" t="s">
        <v>2839</v>
      </c>
    </row>
    <row r="312" spans="1:16">
      <c r="A312" s="31">
        <v>20</v>
      </c>
      <c r="C312" s="31" t="s">
        <v>2744</v>
      </c>
      <c r="D312" s="31"/>
      <c r="E312" s="31" t="s">
        <v>2717</v>
      </c>
      <c r="F312" s="31" t="s">
        <v>2803</v>
      </c>
      <c r="O312" s="31">
        <v>162</v>
      </c>
      <c r="P312" t="s">
        <v>2839</v>
      </c>
    </row>
    <row r="313" spans="1:16">
      <c r="A313" s="31">
        <v>21</v>
      </c>
      <c r="C313" s="31" t="s">
        <v>2745</v>
      </c>
      <c r="D313" s="31"/>
      <c r="E313" s="31" t="s">
        <v>2717</v>
      </c>
      <c r="F313" s="31" t="s">
        <v>2803</v>
      </c>
      <c r="O313" s="31">
        <v>252</v>
      </c>
      <c r="P313" t="s">
        <v>2840</v>
      </c>
    </row>
    <row r="314" spans="1:16">
      <c r="A314" s="31">
        <v>22</v>
      </c>
      <c r="C314" s="31" t="s">
        <v>2746</v>
      </c>
      <c r="D314" s="31"/>
      <c r="E314" s="31" t="s">
        <v>2717</v>
      </c>
      <c r="F314" s="31" t="s">
        <v>2803</v>
      </c>
      <c r="O314" s="31">
        <v>216</v>
      </c>
      <c r="P314" t="s">
        <v>2840</v>
      </c>
    </row>
    <row r="315" spans="1:16">
      <c r="A315" s="31">
        <v>23</v>
      </c>
      <c r="C315" s="31" t="s">
        <v>2746</v>
      </c>
      <c r="D315" s="31"/>
      <c r="E315" s="31" t="s">
        <v>2717</v>
      </c>
      <c r="F315" s="31" t="s">
        <v>2803</v>
      </c>
      <c r="O315" s="31">
        <v>216</v>
      </c>
      <c r="P315" t="s">
        <v>2840</v>
      </c>
    </row>
    <row r="316" spans="1:16">
      <c r="A316" s="31">
        <v>24</v>
      </c>
      <c r="C316" s="31" t="s">
        <v>2746</v>
      </c>
      <c r="D316" s="31"/>
      <c r="E316" s="31" t="s">
        <v>2717</v>
      </c>
      <c r="F316" s="31" t="s">
        <v>2803</v>
      </c>
      <c r="O316" s="31">
        <v>216</v>
      </c>
      <c r="P316" t="s">
        <v>2840</v>
      </c>
    </row>
    <row r="317" spans="1:16">
      <c r="A317" s="31">
        <v>25</v>
      </c>
      <c r="C317" s="31" t="s">
        <v>2746</v>
      </c>
      <c r="D317" s="31"/>
      <c r="E317" s="31" t="s">
        <v>2717</v>
      </c>
      <c r="F317" s="31" t="s">
        <v>2803</v>
      </c>
      <c r="O317" s="31">
        <v>216</v>
      </c>
      <c r="P317" t="s">
        <v>2840</v>
      </c>
    </row>
    <row r="318" spans="1:16">
      <c r="A318" s="31">
        <v>26</v>
      </c>
      <c r="C318" s="31" t="s">
        <v>2746</v>
      </c>
      <c r="D318" s="31"/>
      <c r="E318" s="31" t="s">
        <v>2717</v>
      </c>
      <c r="F318" s="31" t="s">
        <v>2803</v>
      </c>
      <c r="O318" s="31">
        <v>216</v>
      </c>
      <c r="P318" t="s">
        <v>2840</v>
      </c>
    </row>
    <row r="319" spans="1:16">
      <c r="A319" s="31">
        <v>27</v>
      </c>
      <c r="C319" s="31" t="s">
        <v>2747</v>
      </c>
      <c r="D319" s="31"/>
      <c r="E319" s="31" t="s">
        <v>2718</v>
      </c>
      <c r="F319" s="31" t="s">
        <v>2805</v>
      </c>
      <c r="O319" s="31" t="s">
        <v>2830</v>
      </c>
      <c r="P319" t="s">
        <v>2841</v>
      </c>
    </row>
    <row r="320" spans="1:16">
      <c r="A320" s="31">
        <v>28</v>
      </c>
      <c r="C320" s="31" t="s">
        <v>2747</v>
      </c>
      <c r="D320" s="31"/>
      <c r="E320" s="31" t="s">
        <v>2718</v>
      </c>
      <c r="F320" s="31" t="s">
        <v>2805</v>
      </c>
      <c r="O320" s="31" t="s">
        <v>2830</v>
      </c>
      <c r="P320" t="s">
        <v>2841</v>
      </c>
    </row>
    <row r="321" spans="1:16">
      <c r="A321" s="31">
        <v>29</v>
      </c>
      <c r="C321" s="31" t="s">
        <v>2747</v>
      </c>
      <c r="D321" s="31"/>
      <c r="E321" s="31" t="s">
        <v>2718</v>
      </c>
      <c r="F321" s="31" t="s">
        <v>2805</v>
      </c>
      <c r="O321" s="31" t="s">
        <v>2830</v>
      </c>
      <c r="P321" t="s">
        <v>2841</v>
      </c>
    </row>
    <row r="322" spans="1:16">
      <c r="A322" s="31">
        <v>30</v>
      </c>
      <c r="C322" s="31" t="s">
        <v>2747</v>
      </c>
      <c r="D322" s="31"/>
      <c r="E322" s="31" t="s">
        <v>2718</v>
      </c>
      <c r="F322" s="31" t="s">
        <v>2805</v>
      </c>
      <c r="O322" s="31" t="s">
        <v>2830</v>
      </c>
      <c r="P322" t="s">
        <v>2841</v>
      </c>
    </row>
    <row r="323" spans="1:16">
      <c r="A323" s="31">
        <v>31</v>
      </c>
      <c r="C323" s="31" t="s">
        <v>2747</v>
      </c>
      <c r="D323" s="31"/>
      <c r="E323" s="31" t="s">
        <v>2718</v>
      </c>
      <c r="F323" s="31" t="s">
        <v>2805</v>
      </c>
      <c r="O323" s="31" t="s">
        <v>2830</v>
      </c>
      <c r="P323" t="s">
        <v>2841</v>
      </c>
    </row>
    <row r="324" spans="1:16">
      <c r="A324" s="31">
        <v>32</v>
      </c>
      <c r="C324" s="31" t="s">
        <v>2748</v>
      </c>
      <c r="D324" s="31"/>
      <c r="E324" s="31" t="s">
        <v>2718</v>
      </c>
      <c r="F324" s="31" t="s">
        <v>2806</v>
      </c>
      <c r="O324" s="31" t="s">
        <v>2831</v>
      </c>
      <c r="P324" t="s">
        <v>2842</v>
      </c>
    </row>
    <row r="325" spans="1:16">
      <c r="A325" s="31">
        <v>33</v>
      </c>
      <c r="C325" s="31" t="s">
        <v>2748</v>
      </c>
      <c r="D325" s="31"/>
      <c r="E325" s="31" t="s">
        <v>2718</v>
      </c>
      <c r="F325" s="31" t="s">
        <v>2806</v>
      </c>
      <c r="O325" s="31" t="s">
        <v>2831</v>
      </c>
      <c r="P325" t="s">
        <v>2842</v>
      </c>
    </row>
    <row r="326" spans="1:16">
      <c r="A326" s="31">
        <v>34</v>
      </c>
      <c r="C326" s="31" t="s">
        <v>2748</v>
      </c>
      <c r="D326" s="31"/>
      <c r="E326" s="31" t="s">
        <v>2718</v>
      </c>
      <c r="F326" s="31" t="s">
        <v>2806</v>
      </c>
      <c r="O326" s="31" t="s">
        <v>2831</v>
      </c>
      <c r="P326" t="s">
        <v>2842</v>
      </c>
    </row>
    <row r="327" spans="1:16">
      <c r="A327" s="31">
        <v>35</v>
      </c>
      <c r="C327" s="31" t="s">
        <v>2748</v>
      </c>
      <c r="D327" s="31"/>
      <c r="E327" s="31" t="s">
        <v>2718</v>
      </c>
      <c r="F327" s="31" t="s">
        <v>2806</v>
      </c>
      <c r="O327" s="31" t="s">
        <v>2831</v>
      </c>
      <c r="P327" t="s">
        <v>2842</v>
      </c>
    </row>
    <row r="328" spans="1:16">
      <c r="A328" s="31">
        <v>36</v>
      </c>
      <c r="C328" s="31" t="s">
        <v>2749</v>
      </c>
      <c r="D328" s="31"/>
      <c r="E328" s="31" t="s">
        <v>2718</v>
      </c>
      <c r="F328" s="31" t="s">
        <v>2806</v>
      </c>
      <c r="O328" s="31" t="s">
        <v>2832</v>
      </c>
      <c r="P328" t="s">
        <v>2843</v>
      </c>
    </row>
    <row r="329" spans="1:16">
      <c r="A329" s="31">
        <v>37</v>
      </c>
      <c r="C329" s="31" t="s">
        <v>2749</v>
      </c>
      <c r="D329" s="31"/>
      <c r="E329" s="31" t="s">
        <v>2718</v>
      </c>
      <c r="F329" s="31" t="s">
        <v>2806</v>
      </c>
      <c r="O329" s="31" t="s">
        <v>2832</v>
      </c>
      <c r="P329" t="s">
        <v>2843</v>
      </c>
    </row>
    <row r="330" spans="1:16">
      <c r="A330" s="31">
        <v>38</v>
      </c>
      <c r="C330" s="31" t="s">
        <v>2749</v>
      </c>
      <c r="D330" s="31"/>
      <c r="E330" s="31" t="s">
        <v>2718</v>
      </c>
      <c r="F330" s="31" t="s">
        <v>2806</v>
      </c>
      <c r="O330" s="31" t="s">
        <v>2832</v>
      </c>
      <c r="P330" t="s">
        <v>2843</v>
      </c>
    </row>
    <row r="331" spans="1:16">
      <c r="A331" s="31">
        <v>39</v>
      </c>
      <c r="C331" s="31" t="s">
        <v>2750</v>
      </c>
      <c r="D331" s="31"/>
      <c r="E331" s="31" t="s">
        <v>2718</v>
      </c>
      <c r="F331" s="31" t="s">
        <v>2806</v>
      </c>
      <c r="O331" s="31" t="s">
        <v>2832</v>
      </c>
      <c r="P331" t="s">
        <v>2843</v>
      </c>
    </row>
    <row r="332" spans="1:16">
      <c r="A332" s="31">
        <v>40</v>
      </c>
      <c r="C332" s="31" t="s">
        <v>2751</v>
      </c>
      <c r="D332" s="31"/>
      <c r="E332" s="31" t="s">
        <v>2718</v>
      </c>
      <c r="F332" s="31" t="s">
        <v>2802</v>
      </c>
      <c r="O332" s="31">
        <v>396</v>
      </c>
      <c r="P332" t="s">
        <v>2844</v>
      </c>
    </row>
    <row r="333" spans="1:16">
      <c r="A333" s="31">
        <v>41</v>
      </c>
      <c r="C333" s="31" t="s">
        <v>2752</v>
      </c>
      <c r="D333" s="31"/>
      <c r="E333" s="31" t="s">
        <v>2718</v>
      </c>
      <c r="F333" s="31" t="s">
        <v>2802</v>
      </c>
      <c r="O333" s="31">
        <v>630</v>
      </c>
      <c r="P333" t="s">
        <v>2845</v>
      </c>
    </row>
    <row r="334" spans="1:16">
      <c r="A334" s="31">
        <v>42</v>
      </c>
      <c r="C334" s="31" t="s">
        <v>2753</v>
      </c>
      <c r="D334" s="31"/>
      <c r="E334" s="31" t="s">
        <v>2718</v>
      </c>
      <c r="F334" s="31" t="s">
        <v>2802</v>
      </c>
      <c r="O334" s="31">
        <v>216</v>
      </c>
      <c r="P334" t="s">
        <v>2834</v>
      </c>
    </row>
    <row r="335" spans="1:16">
      <c r="A335" s="31">
        <v>43</v>
      </c>
      <c r="C335" s="31" t="s">
        <v>2754</v>
      </c>
      <c r="D335" s="31"/>
      <c r="E335" s="31" t="s">
        <v>2718</v>
      </c>
      <c r="F335" s="31" t="s">
        <v>2802</v>
      </c>
      <c r="O335" s="31">
        <v>162</v>
      </c>
      <c r="P335" t="s">
        <v>2846</v>
      </c>
    </row>
    <row r="336" spans="1:16">
      <c r="A336" s="31">
        <v>44</v>
      </c>
      <c r="C336" s="31" t="s">
        <v>2755</v>
      </c>
      <c r="D336" s="31"/>
      <c r="E336" s="31" t="s">
        <v>2719</v>
      </c>
      <c r="F336" s="31" t="s">
        <v>2802</v>
      </c>
      <c r="O336" s="31">
        <v>162</v>
      </c>
      <c r="P336" t="s">
        <v>2847</v>
      </c>
    </row>
    <row r="337" spans="1:16">
      <c r="A337" s="31">
        <v>45</v>
      </c>
      <c r="C337" s="31" t="s">
        <v>2756</v>
      </c>
      <c r="D337" s="31"/>
      <c r="E337" s="31" t="s">
        <v>2719</v>
      </c>
      <c r="F337" s="31" t="s">
        <v>2802</v>
      </c>
      <c r="O337" s="31">
        <v>162</v>
      </c>
      <c r="P337" t="s">
        <v>2847</v>
      </c>
    </row>
    <row r="338" spans="1:16">
      <c r="A338" s="31">
        <v>46</v>
      </c>
      <c r="C338" s="31" t="s">
        <v>2757</v>
      </c>
      <c r="D338" s="31"/>
      <c r="E338" s="31" t="s">
        <v>2719</v>
      </c>
      <c r="F338" s="31" t="s">
        <v>2802</v>
      </c>
      <c r="O338" s="31">
        <v>162</v>
      </c>
      <c r="P338" t="s">
        <v>2847</v>
      </c>
    </row>
    <row r="339" spans="1:16">
      <c r="A339" s="31">
        <v>47</v>
      </c>
      <c r="C339" s="31" t="s">
        <v>2758</v>
      </c>
      <c r="D339" s="31"/>
      <c r="E339" s="31" t="s">
        <v>2719</v>
      </c>
      <c r="F339" s="31" t="s">
        <v>2802</v>
      </c>
      <c r="O339" s="31">
        <v>162</v>
      </c>
      <c r="P339" t="s">
        <v>2847</v>
      </c>
    </row>
    <row r="340" spans="1:16">
      <c r="A340" s="31">
        <v>48</v>
      </c>
      <c r="C340" s="31" t="s">
        <v>2759</v>
      </c>
      <c r="D340" s="31"/>
      <c r="E340" s="31" t="s">
        <v>2719</v>
      </c>
      <c r="F340" s="31" t="s">
        <v>2802</v>
      </c>
      <c r="O340" s="31">
        <v>162</v>
      </c>
      <c r="P340" t="s">
        <v>2847</v>
      </c>
    </row>
    <row r="341" spans="1:16">
      <c r="A341" s="31">
        <v>49</v>
      </c>
      <c r="C341" s="31" t="s">
        <v>2760</v>
      </c>
      <c r="D341" s="31"/>
      <c r="E341" s="31" t="s">
        <v>2719</v>
      </c>
      <c r="F341" s="31" t="s">
        <v>2802</v>
      </c>
      <c r="O341" s="31">
        <v>162</v>
      </c>
      <c r="P341" t="s">
        <v>2847</v>
      </c>
    </row>
    <row r="342" spans="1:16">
      <c r="A342" s="31">
        <v>50</v>
      </c>
      <c r="C342" s="31" t="s">
        <v>2761</v>
      </c>
      <c r="D342" s="31"/>
      <c r="E342" s="31" t="s">
        <v>2719</v>
      </c>
      <c r="F342" s="31" t="s">
        <v>2802</v>
      </c>
      <c r="O342" s="31">
        <v>162</v>
      </c>
      <c r="P342" t="s">
        <v>2847</v>
      </c>
    </row>
    <row r="343" spans="1:16">
      <c r="A343" s="31">
        <v>51</v>
      </c>
      <c r="C343" s="31" t="s">
        <v>2762</v>
      </c>
      <c r="D343" s="31"/>
      <c r="E343" s="31" t="s">
        <v>2719</v>
      </c>
      <c r="F343" s="31" t="s">
        <v>2802</v>
      </c>
      <c r="O343" s="31">
        <v>162</v>
      </c>
      <c r="P343" t="s">
        <v>2847</v>
      </c>
    </row>
    <row r="344" spans="1:16">
      <c r="A344" s="31">
        <v>52</v>
      </c>
      <c r="C344" s="31" t="s">
        <v>2763</v>
      </c>
      <c r="D344" s="31"/>
      <c r="E344" s="31" t="s">
        <v>2720</v>
      </c>
      <c r="F344" s="31" t="s">
        <v>2807</v>
      </c>
      <c r="O344" s="31">
        <v>180</v>
      </c>
      <c r="P344" t="s">
        <v>2833</v>
      </c>
    </row>
    <row r="345" spans="1:16">
      <c r="A345" s="31">
        <v>53</v>
      </c>
      <c r="C345" s="31" t="s">
        <v>2764</v>
      </c>
      <c r="D345" s="31"/>
      <c r="E345" s="31" t="s">
        <v>2720</v>
      </c>
      <c r="F345" s="31" t="s">
        <v>2807</v>
      </c>
      <c r="O345" s="31">
        <v>180</v>
      </c>
      <c r="P345" t="s">
        <v>2833</v>
      </c>
    </row>
    <row r="346" spans="1:16">
      <c r="A346" s="31">
        <v>54</v>
      </c>
      <c r="C346" s="31" t="s">
        <v>2765</v>
      </c>
      <c r="D346" s="31"/>
      <c r="E346" s="31" t="s">
        <v>2720</v>
      </c>
      <c r="F346" s="31" t="s">
        <v>2807</v>
      </c>
      <c r="O346" s="31">
        <v>180</v>
      </c>
      <c r="P346" t="s">
        <v>2833</v>
      </c>
    </row>
    <row r="347" spans="1:16">
      <c r="A347" s="31">
        <v>55</v>
      </c>
      <c r="C347" s="31" t="s">
        <v>2766</v>
      </c>
      <c r="D347" s="31"/>
      <c r="E347" s="31" t="s">
        <v>2720</v>
      </c>
      <c r="F347" s="31" t="s">
        <v>2807</v>
      </c>
      <c r="O347" s="31">
        <v>180</v>
      </c>
      <c r="P347" t="s">
        <v>2833</v>
      </c>
    </row>
    <row r="348" spans="1:16">
      <c r="A348" s="31">
        <v>56</v>
      </c>
      <c r="C348" s="31" t="s">
        <v>2767</v>
      </c>
      <c r="D348" s="31"/>
      <c r="E348" s="31" t="s">
        <v>2721</v>
      </c>
      <c r="F348" s="31" t="s">
        <v>2808</v>
      </c>
      <c r="O348" s="31">
        <v>144</v>
      </c>
      <c r="P348" t="s">
        <v>2833</v>
      </c>
    </row>
    <row r="349" spans="1:16">
      <c r="A349" s="31">
        <v>57</v>
      </c>
      <c r="C349" s="31" t="s">
        <v>2768</v>
      </c>
      <c r="D349" s="31"/>
      <c r="E349" s="31" t="s">
        <v>2721</v>
      </c>
      <c r="F349" s="31" t="s">
        <v>2808</v>
      </c>
      <c r="O349" s="31">
        <v>144</v>
      </c>
      <c r="P349" t="s">
        <v>2833</v>
      </c>
    </row>
    <row r="350" spans="1:16">
      <c r="A350" s="31">
        <v>58</v>
      </c>
      <c r="C350" s="31" t="s">
        <v>2769</v>
      </c>
      <c r="D350" s="31"/>
      <c r="E350" s="31" t="s">
        <v>2721</v>
      </c>
      <c r="F350" s="31" t="s">
        <v>2808</v>
      </c>
      <c r="O350" s="31">
        <v>144</v>
      </c>
      <c r="P350" t="s">
        <v>2833</v>
      </c>
    </row>
    <row r="351" spans="1:16">
      <c r="A351" s="31">
        <v>59</v>
      </c>
      <c r="C351" s="31" t="s">
        <v>2770</v>
      </c>
      <c r="D351" s="31"/>
      <c r="E351" s="31" t="s">
        <v>2721</v>
      </c>
      <c r="F351" s="31" t="s">
        <v>2808</v>
      </c>
      <c r="O351" s="31">
        <v>144</v>
      </c>
      <c r="P351" t="s">
        <v>2833</v>
      </c>
    </row>
    <row r="352" spans="1:16">
      <c r="A352" s="31">
        <v>60</v>
      </c>
      <c r="C352" s="31" t="s">
        <v>2771</v>
      </c>
      <c r="D352" s="31"/>
      <c r="E352" s="31" t="s">
        <v>2722</v>
      </c>
      <c r="F352" s="31" t="s">
        <v>2803</v>
      </c>
      <c r="O352" s="31">
        <v>162</v>
      </c>
      <c r="P352" t="s">
        <v>2834</v>
      </c>
    </row>
    <row r="353" spans="1:16">
      <c r="A353" s="31">
        <v>61</v>
      </c>
      <c r="C353" s="31" t="s">
        <v>2772</v>
      </c>
      <c r="D353" s="31"/>
      <c r="E353" s="31" t="s">
        <v>2722</v>
      </c>
      <c r="F353" s="31" t="s">
        <v>2803</v>
      </c>
      <c r="O353" s="31">
        <v>162</v>
      </c>
      <c r="P353" t="s">
        <v>2834</v>
      </c>
    </row>
    <row r="354" spans="1:16">
      <c r="A354" s="31">
        <v>62</v>
      </c>
      <c r="C354" s="31" t="s">
        <v>2773</v>
      </c>
      <c r="D354" s="31"/>
      <c r="E354" s="31" t="s">
        <v>2722</v>
      </c>
      <c r="F354" s="31" t="s">
        <v>2803</v>
      </c>
      <c r="O354" s="31">
        <v>198</v>
      </c>
      <c r="P354" t="s">
        <v>2834</v>
      </c>
    </row>
    <row r="355" spans="1:16">
      <c r="A355" s="31">
        <v>63</v>
      </c>
      <c r="C355" s="31" t="s">
        <v>2774</v>
      </c>
      <c r="D355" s="31"/>
      <c r="E355" s="31" t="s">
        <v>2723</v>
      </c>
      <c r="F355" s="31" t="s">
        <v>2803</v>
      </c>
      <c r="O355" s="31">
        <v>135</v>
      </c>
      <c r="P355" t="s">
        <v>2834</v>
      </c>
    </row>
    <row r="356" spans="1:16">
      <c r="A356" s="31">
        <v>64</v>
      </c>
      <c r="C356" s="31" t="s">
        <v>2775</v>
      </c>
      <c r="D356" s="31"/>
      <c r="E356" s="31" t="s">
        <v>2723</v>
      </c>
      <c r="F356" s="31" t="s">
        <v>2803</v>
      </c>
      <c r="O356" s="31">
        <v>90</v>
      </c>
      <c r="P356" t="s">
        <v>2834</v>
      </c>
    </row>
    <row r="357" spans="1:16">
      <c r="A357" s="31">
        <v>65</v>
      </c>
      <c r="C357" s="31" t="s">
        <v>2776</v>
      </c>
      <c r="D357" s="31"/>
      <c r="E357" s="31" t="s">
        <v>2724</v>
      </c>
      <c r="F357" s="31" t="s">
        <v>2803</v>
      </c>
      <c r="O357" s="31">
        <v>270</v>
      </c>
      <c r="P357" t="s">
        <v>2839</v>
      </c>
    </row>
    <row r="358" spans="1:16">
      <c r="A358" s="31">
        <v>66</v>
      </c>
      <c r="C358" s="31" t="s">
        <v>2777</v>
      </c>
      <c r="D358" s="31"/>
      <c r="E358" s="31" t="s">
        <v>2724</v>
      </c>
      <c r="F358" s="31" t="s">
        <v>2809</v>
      </c>
      <c r="O358" s="31">
        <v>324</v>
      </c>
      <c r="P358" t="s">
        <v>2840</v>
      </c>
    </row>
    <row r="359" spans="1:16">
      <c r="A359" s="31">
        <v>67</v>
      </c>
      <c r="C359" s="31" t="s">
        <v>2778</v>
      </c>
      <c r="D359" s="31"/>
      <c r="E359" s="31" t="s">
        <v>2725</v>
      </c>
      <c r="F359" s="31" t="s">
        <v>2810</v>
      </c>
      <c r="O359" s="31">
        <v>7</v>
      </c>
    </row>
    <row r="360" spans="1:16">
      <c r="A360" s="31">
        <v>68</v>
      </c>
      <c r="C360" s="31" t="s">
        <v>2779</v>
      </c>
      <c r="D360" s="31"/>
      <c r="E360" s="31" t="s">
        <v>2725</v>
      </c>
      <c r="F360" s="31" t="s">
        <v>2811</v>
      </c>
      <c r="O360" s="31">
        <v>21</v>
      </c>
    </row>
    <row r="361" spans="1:16">
      <c r="A361" s="31">
        <v>69</v>
      </c>
      <c r="C361" s="31" t="s">
        <v>2780</v>
      </c>
      <c r="D361" s="31"/>
      <c r="E361" s="31" t="s">
        <v>2725</v>
      </c>
      <c r="F361" s="31" t="s">
        <v>2812</v>
      </c>
      <c r="O361" s="31">
        <v>17</v>
      </c>
    </row>
    <row r="362" spans="1:16">
      <c r="A362" s="31">
        <v>70</v>
      </c>
      <c r="C362" s="31" t="s">
        <v>2781</v>
      </c>
      <c r="D362" s="31"/>
      <c r="E362" s="31" t="s">
        <v>2725</v>
      </c>
      <c r="F362" s="31" t="s">
        <v>2813</v>
      </c>
      <c r="O362" s="31">
        <v>63</v>
      </c>
    </row>
    <row r="363" spans="1:16">
      <c r="A363" s="31">
        <v>71</v>
      </c>
      <c r="C363" s="31" t="s">
        <v>2782</v>
      </c>
      <c r="D363" s="31"/>
      <c r="E363" s="31" t="s">
        <v>2725</v>
      </c>
      <c r="F363" s="31" t="s">
        <v>2814</v>
      </c>
      <c r="O363" s="31">
        <v>630</v>
      </c>
    </row>
    <row r="364" spans="1:16">
      <c r="A364" s="31">
        <v>72</v>
      </c>
      <c r="C364" s="31" t="s">
        <v>2783</v>
      </c>
      <c r="D364" s="31"/>
      <c r="E364" s="31" t="s">
        <v>2725</v>
      </c>
      <c r="F364" s="31" t="s">
        <v>2815</v>
      </c>
      <c r="O364" s="31">
        <v>35</v>
      </c>
    </row>
    <row r="365" spans="1:16">
      <c r="A365" s="31">
        <v>73</v>
      </c>
      <c r="C365" s="31" t="s">
        <v>2784</v>
      </c>
      <c r="D365" s="31"/>
      <c r="E365" s="31" t="s">
        <v>2725</v>
      </c>
      <c r="F365" s="31" t="s">
        <v>2816</v>
      </c>
      <c r="O365" s="31">
        <v>280</v>
      </c>
    </row>
    <row r="366" spans="1:16">
      <c r="A366" s="31">
        <v>74</v>
      </c>
      <c r="C366" s="31" t="s">
        <v>2785</v>
      </c>
      <c r="D366" s="31"/>
      <c r="E366" s="31" t="s">
        <v>2725</v>
      </c>
      <c r="F366" s="31" t="s">
        <v>2817</v>
      </c>
      <c r="O366" s="31">
        <v>630</v>
      </c>
    </row>
    <row r="367" spans="1:16">
      <c r="A367" s="31">
        <v>75</v>
      </c>
      <c r="C367" s="31" t="s">
        <v>2786</v>
      </c>
      <c r="D367" s="31"/>
      <c r="E367" s="31" t="s">
        <v>2725</v>
      </c>
      <c r="F367" s="31" t="s">
        <v>2818</v>
      </c>
      <c r="O367" s="31">
        <v>19600</v>
      </c>
    </row>
    <row r="368" spans="1:16">
      <c r="A368" s="31">
        <v>76</v>
      </c>
      <c r="C368" s="31" t="s">
        <v>2787</v>
      </c>
      <c r="D368" s="31"/>
      <c r="E368" s="31" t="s">
        <v>2725</v>
      </c>
      <c r="F368" s="31" t="s">
        <v>2819</v>
      </c>
      <c r="O368" s="31">
        <v>1680</v>
      </c>
    </row>
    <row r="369" spans="1:16">
      <c r="A369" s="31">
        <v>77</v>
      </c>
      <c r="C369" s="31" t="s">
        <v>2788</v>
      </c>
      <c r="D369" s="31"/>
      <c r="E369" s="31" t="s">
        <v>2725</v>
      </c>
      <c r="F369" s="31" t="s">
        <v>2820</v>
      </c>
      <c r="O369" s="31">
        <v>378</v>
      </c>
    </row>
    <row r="370" spans="1:16">
      <c r="A370" s="31">
        <v>78</v>
      </c>
      <c r="C370" s="31" t="s">
        <v>2789</v>
      </c>
      <c r="D370" s="31"/>
      <c r="E370" s="31" t="s">
        <v>2725</v>
      </c>
      <c r="F370" s="31" t="s">
        <v>2821</v>
      </c>
      <c r="O370" s="31">
        <v>630</v>
      </c>
    </row>
    <row r="371" spans="1:16">
      <c r="A371" s="31">
        <v>79</v>
      </c>
      <c r="C371" s="31" t="s">
        <v>2790</v>
      </c>
      <c r="D371" s="31"/>
      <c r="E371" s="31" t="s">
        <v>2725</v>
      </c>
      <c r="F371" s="31" t="s">
        <v>2822</v>
      </c>
      <c r="O371" s="31">
        <v>252</v>
      </c>
    </row>
    <row r="372" spans="1:16">
      <c r="A372" s="31">
        <v>80</v>
      </c>
      <c r="C372" s="31" t="s">
        <v>2791</v>
      </c>
      <c r="D372" s="31"/>
      <c r="E372" s="31" t="s">
        <v>2725</v>
      </c>
      <c r="F372" s="31" t="s">
        <v>2823</v>
      </c>
      <c r="O372" s="31">
        <v>910</v>
      </c>
    </row>
    <row r="373" spans="1:16">
      <c r="A373" s="31">
        <v>81</v>
      </c>
      <c r="C373" s="31" t="s">
        <v>2792</v>
      </c>
      <c r="D373" s="31"/>
      <c r="E373" s="31" t="s">
        <v>2725</v>
      </c>
      <c r="F373" s="31" t="s">
        <v>2824</v>
      </c>
      <c r="O373" s="31">
        <v>1960</v>
      </c>
    </row>
    <row r="374" spans="1:16">
      <c r="A374" s="31">
        <v>82</v>
      </c>
      <c r="C374" s="31" t="s">
        <v>2793</v>
      </c>
      <c r="D374" s="31"/>
      <c r="E374" s="31" t="s">
        <v>2725</v>
      </c>
      <c r="F374" s="31" t="s">
        <v>2825</v>
      </c>
      <c r="O374" s="31">
        <v>630</v>
      </c>
    </row>
    <row r="375" spans="1:16">
      <c r="A375" s="31">
        <v>83</v>
      </c>
      <c r="C375" s="31" t="s">
        <v>2794</v>
      </c>
      <c r="D375" s="31"/>
      <c r="E375" s="31" t="s">
        <v>2725</v>
      </c>
      <c r="F375" s="31" t="s">
        <v>2826</v>
      </c>
      <c r="O375" s="31">
        <v>364</v>
      </c>
    </row>
    <row r="376" spans="1:16">
      <c r="A376" s="31">
        <v>84</v>
      </c>
      <c r="C376" s="31" t="s">
        <v>2795</v>
      </c>
      <c r="D376" s="31"/>
      <c r="E376" s="31" t="s">
        <v>2725</v>
      </c>
      <c r="F376" s="31" t="s">
        <v>2827</v>
      </c>
      <c r="O376" s="31">
        <v>420</v>
      </c>
    </row>
    <row r="377" spans="1:16">
      <c r="A377" s="31">
        <v>85</v>
      </c>
      <c r="C377" s="31" t="s">
        <v>2796</v>
      </c>
      <c r="D377" s="31"/>
      <c r="E377" s="31" t="s">
        <v>2726</v>
      </c>
      <c r="F377" s="31" t="s">
        <v>2828</v>
      </c>
      <c r="O377" s="31">
        <v>216</v>
      </c>
      <c r="P377" t="s">
        <v>2834</v>
      </c>
    </row>
    <row r="378" spans="1:16">
      <c r="A378" s="31">
        <v>86</v>
      </c>
      <c r="C378" s="31" t="s">
        <v>2797</v>
      </c>
      <c r="D378" s="31"/>
      <c r="E378" s="31" t="s">
        <v>2726</v>
      </c>
      <c r="F378" s="31" t="s">
        <v>2828</v>
      </c>
      <c r="O378" s="31">
        <v>270</v>
      </c>
      <c r="P378" t="s">
        <v>2834</v>
      </c>
    </row>
    <row r="379" spans="1:16">
      <c r="A379" s="31">
        <v>87</v>
      </c>
      <c r="C379" s="31" t="s">
        <v>2798</v>
      </c>
      <c r="D379" s="31"/>
      <c r="E379" s="31" t="s">
        <v>2726</v>
      </c>
      <c r="F379" s="31" t="s">
        <v>2828</v>
      </c>
      <c r="O379" s="31">
        <v>198</v>
      </c>
      <c r="P379" t="s">
        <v>2834</v>
      </c>
    </row>
    <row r="380" spans="1:16">
      <c r="A380" s="31">
        <v>88</v>
      </c>
      <c r="C380" s="31" t="s">
        <v>2799</v>
      </c>
      <c r="D380" s="31"/>
      <c r="E380" s="31" t="s">
        <v>2727</v>
      </c>
      <c r="F380" s="31" t="s">
        <v>2828</v>
      </c>
      <c r="O380" s="31">
        <v>630</v>
      </c>
      <c r="P380" t="s">
        <v>2844</v>
      </c>
    </row>
    <row r="381" spans="1:16">
      <c r="A381" s="31">
        <v>89</v>
      </c>
      <c r="C381" s="31" t="s">
        <v>2800</v>
      </c>
      <c r="D381" s="31"/>
      <c r="E381" s="31" t="s">
        <v>2727</v>
      </c>
      <c r="F381" s="31" t="s">
        <v>2828</v>
      </c>
      <c r="O381" s="31">
        <v>630</v>
      </c>
      <c r="P381" t="s">
        <v>2844</v>
      </c>
    </row>
    <row r="382" spans="1:16">
      <c r="A382" s="31">
        <v>90</v>
      </c>
      <c r="C382" s="31" t="s">
        <v>2801</v>
      </c>
      <c r="D382" s="31"/>
      <c r="E382" s="31" t="s">
        <v>2727</v>
      </c>
      <c r="F382" s="31" t="s">
        <v>2828</v>
      </c>
      <c r="O382" s="31">
        <v>630</v>
      </c>
      <c r="P382" t="s">
        <v>2844</v>
      </c>
    </row>
  </sheetData>
  <sortState xmlns:xlrd2="http://schemas.microsoft.com/office/spreadsheetml/2017/richdata2" ref="A2:P292">
    <sortCondition ref="C3:C2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5773-7F09-4F0A-92A6-5A72CE2A6B12}">
  <dimension ref="A1:D91"/>
  <sheetViews>
    <sheetView workbookViewId="0">
      <selection activeCell="B19" sqref="B19"/>
    </sheetView>
  </sheetViews>
  <sheetFormatPr defaultRowHeight="14.4"/>
  <cols>
    <col min="1" max="1" width="33.6640625" style="22" customWidth="1"/>
    <col min="2" max="2" width="24.6640625" style="22" customWidth="1"/>
    <col min="3" max="3" width="16.88671875" style="22" customWidth="1"/>
    <col min="4" max="4" width="48.21875" style="22" customWidth="1"/>
    <col min="5" max="16384" width="8.88671875" style="22"/>
  </cols>
  <sheetData>
    <row r="1" spans="1:4">
      <c r="A1" s="32" t="s">
        <v>2849</v>
      </c>
      <c r="B1" s="32" t="s">
        <v>2850</v>
      </c>
      <c r="C1" s="32" t="s">
        <v>2851</v>
      </c>
      <c r="D1" s="32" t="s">
        <v>2852</v>
      </c>
    </row>
    <row r="2" spans="1:4">
      <c r="A2" s="33" t="s">
        <v>2853</v>
      </c>
      <c r="B2" s="33" t="s">
        <v>2854</v>
      </c>
      <c r="C2" s="33" t="s">
        <v>2855</v>
      </c>
      <c r="D2" s="33" t="s">
        <v>2856</v>
      </c>
    </row>
    <row r="3" spans="1:4">
      <c r="A3" s="33"/>
      <c r="B3" s="33" t="s">
        <v>2854</v>
      </c>
      <c r="C3" s="33" t="s">
        <v>2857</v>
      </c>
      <c r="D3" s="33" t="s">
        <v>2858</v>
      </c>
    </row>
    <row r="5" spans="1:4">
      <c r="A5" s="33" t="s">
        <v>2859</v>
      </c>
      <c r="B5" s="33" t="s">
        <v>2860</v>
      </c>
      <c r="C5" s="33" t="s">
        <v>2861</v>
      </c>
      <c r="D5" s="33" t="s">
        <v>2862</v>
      </c>
    </row>
    <row r="7" spans="1:4">
      <c r="A7" s="33" t="s">
        <v>2863</v>
      </c>
      <c r="B7" s="33" t="s">
        <v>2864</v>
      </c>
      <c r="C7" s="33" t="s">
        <v>2865</v>
      </c>
      <c r="D7" s="33" t="s">
        <v>2866</v>
      </c>
    </row>
    <row r="8" spans="1:4">
      <c r="A8" s="33" t="s">
        <v>2867</v>
      </c>
      <c r="B8" s="33" t="s">
        <v>2868</v>
      </c>
      <c r="C8" s="33" t="s">
        <v>2869</v>
      </c>
      <c r="D8" s="33" t="s">
        <v>2870</v>
      </c>
    </row>
    <row r="9" spans="1:4">
      <c r="A9" s="33"/>
      <c r="B9" s="33" t="s">
        <v>2871</v>
      </c>
      <c r="C9" s="33" t="s">
        <v>2869</v>
      </c>
      <c r="D9" s="33" t="s">
        <v>2872</v>
      </c>
    </row>
    <row r="10" spans="1:4">
      <c r="A10" s="33"/>
      <c r="B10" s="33" t="s">
        <v>2873</v>
      </c>
      <c r="C10" s="33" t="s">
        <v>2874</v>
      </c>
      <c r="D10" s="33" t="s">
        <v>2875</v>
      </c>
    </row>
    <row r="11" spans="1:4">
      <c r="A11" s="33" t="s">
        <v>2876</v>
      </c>
      <c r="B11" s="33" t="s">
        <v>2868</v>
      </c>
      <c r="C11" s="33" t="s">
        <v>2877</v>
      </c>
      <c r="D11" s="33" t="s">
        <v>2870</v>
      </c>
    </row>
    <row r="12" spans="1:4">
      <c r="A12" s="33"/>
      <c r="B12" s="33" t="s">
        <v>2871</v>
      </c>
      <c r="C12" s="33" t="s">
        <v>2869</v>
      </c>
      <c r="D12" s="33" t="s">
        <v>2872</v>
      </c>
    </row>
    <row r="13" spans="1:4">
      <c r="A13" s="33"/>
      <c r="B13" s="33" t="s">
        <v>2873</v>
      </c>
      <c r="C13" s="33" t="s">
        <v>2874</v>
      </c>
      <c r="D13" s="33" t="s">
        <v>2875</v>
      </c>
    </row>
    <row r="15" spans="1:4">
      <c r="A15" s="33" t="s">
        <v>2878</v>
      </c>
      <c r="B15" s="33" t="s">
        <v>2879</v>
      </c>
      <c r="C15" s="33" t="s">
        <v>2880</v>
      </c>
      <c r="D15" s="33" t="s">
        <v>2881</v>
      </c>
    </row>
    <row r="16" spans="1:4">
      <c r="A16" s="33"/>
      <c r="B16" s="33" t="s">
        <v>2882</v>
      </c>
      <c r="C16" s="33" t="s">
        <v>2880</v>
      </c>
      <c r="D16" s="33" t="s">
        <v>2883</v>
      </c>
    </row>
    <row r="17" spans="1:4">
      <c r="A17" s="33"/>
      <c r="B17" s="33" t="s">
        <v>2884</v>
      </c>
      <c r="C17" s="33" t="s">
        <v>2880</v>
      </c>
      <c r="D17" s="33" t="s">
        <v>2885</v>
      </c>
    </row>
    <row r="19" spans="1:4">
      <c r="A19" s="33" t="s">
        <v>2886</v>
      </c>
      <c r="B19" s="33" t="s">
        <v>2887</v>
      </c>
      <c r="C19" s="33" t="s">
        <v>2888</v>
      </c>
      <c r="D19" s="33" t="s">
        <v>2889</v>
      </c>
    </row>
    <row r="21" spans="1:4">
      <c r="A21" s="33" t="s">
        <v>2890</v>
      </c>
      <c r="B21" s="33" t="s">
        <v>2891</v>
      </c>
      <c r="C21" s="33" t="s">
        <v>2877</v>
      </c>
      <c r="D21" s="33" t="s">
        <v>2892</v>
      </c>
    </row>
    <row r="22" spans="1:4">
      <c r="A22" s="33"/>
      <c r="B22" s="33" t="s">
        <v>2893</v>
      </c>
      <c r="C22" s="33" t="s">
        <v>2877</v>
      </c>
      <c r="D22" s="33" t="s">
        <v>2894</v>
      </c>
    </row>
    <row r="24" spans="1:4">
      <c r="A24" s="33" t="s">
        <v>2895</v>
      </c>
      <c r="B24" s="33" t="s">
        <v>2896</v>
      </c>
      <c r="C24" s="33"/>
      <c r="D24" s="33"/>
    </row>
    <row r="25" spans="1:4">
      <c r="A25" s="33" t="s">
        <v>2897</v>
      </c>
      <c r="B25" s="33" t="s">
        <v>2898</v>
      </c>
      <c r="C25" s="33"/>
      <c r="D25" s="33"/>
    </row>
    <row r="26" spans="1:4">
      <c r="A26" s="33" t="s">
        <v>2899</v>
      </c>
      <c r="B26" s="33" t="s">
        <v>2900</v>
      </c>
      <c r="C26" s="33"/>
      <c r="D26" s="33"/>
    </row>
    <row r="27" spans="1:4">
      <c r="A27" s="33" t="s">
        <v>2899</v>
      </c>
      <c r="B27" s="33" t="s">
        <v>2896</v>
      </c>
      <c r="C27" s="33"/>
      <c r="D27" s="33"/>
    </row>
    <row r="28" spans="1:4">
      <c r="A28" s="33" t="s">
        <v>2899</v>
      </c>
      <c r="B28" s="33" t="s">
        <v>2901</v>
      </c>
      <c r="C28" s="33"/>
      <c r="D28" s="33"/>
    </row>
    <row r="29" spans="1:4">
      <c r="A29" s="33" t="s">
        <v>2902</v>
      </c>
      <c r="B29" s="33" t="s">
        <v>2896</v>
      </c>
      <c r="C29" s="33"/>
      <c r="D29" s="33"/>
    </row>
    <row r="30" spans="1:4">
      <c r="A30" s="33" t="s">
        <v>2902</v>
      </c>
      <c r="B30" s="33" t="s">
        <v>2898</v>
      </c>
      <c r="C30" s="33"/>
      <c r="D30" s="33"/>
    </row>
    <row r="32" spans="1:4">
      <c r="A32" s="33" t="s">
        <v>2903</v>
      </c>
      <c r="B32" s="33" t="s">
        <v>2904</v>
      </c>
      <c r="C32" s="33" t="s">
        <v>2905</v>
      </c>
      <c r="D32" s="33" t="s">
        <v>2906</v>
      </c>
    </row>
    <row r="34" spans="1:4">
      <c r="A34" s="33" t="s">
        <v>2907</v>
      </c>
      <c r="B34" s="33">
        <v>100</v>
      </c>
      <c r="C34" s="33" t="s">
        <v>2908</v>
      </c>
      <c r="D34" s="33" t="s">
        <v>2909</v>
      </c>
    </row>
    <row r="35" spans="1:4">
      <c r="A35" s="33" t="s">
        <v>2910</v>
      </c>
      <c r="B35" s="33">
        <v>50</v>
      </c>
      <c r="C35" s="33" t="s">
        <v>2911</v>
      </c>
      <c r="D35" s="34" t="s">
        <v>2912</v>
      </c>
    </row>
    <row r="36" spans="1:4">
      <c r="A36" s="33" t="s">
        <v>2910</v>
      </c>
      <c r="B36" s="33">
        <v>50</v>
      </c>
      <c r="C36" s="33" t="s">
        <v>2913</v>
      </c>
      <c r="D36" s="34" t="s">
        <v>2914</v>
      </c>
    </row>
    <row r="38" spans="1:4">
      <c r="A38" s="33" t="s">
        <v>2915</v>
      </c>
      <c r="B38" s="33" t="s">
        <v>2916</v>
      </c>
      <c r="C38" s="33" t="s">
        <v>2917</v>
      </c>
      <c r="D38" s="34" t="s">
        <v>2918</v>
      </c>
    </row>
    <row r="39" spans="1:4">
      <c r="A39" s="33" t="s">
        <v>2915</v>
      </c>
      <c r="B39" s="33" t="s">
        <v>2919</v>
      </c>
      <c r="C39" s="33" t="s">
        <v>2917</v>
      </c>
      <c r="D39" s="34" t="s">
        <v>2920</v>
      </c>
    </row>
    <row r="40" spans="1:4">
      <c r="A40" s="33" t="s">
        <v>2921</v>
      </c>
      <c r="B40" s="33" t="s">
        <v>2922</v>
      </c>
      <c r="C40" s="33" t="s">
        <v>2923</v>
      </c>
      <c r="D40" s="34" t="s">
        <v>2924</v>
      </c>
    </row>
    <row r="41" spans="1:4">
      <c r="A41" s="33" t="s">
        <v>2570</v>
      </c>
      <c r="B41" s="33" t="s">
        <v>2925</v>
      </c>
      <c r="C41" s="33" t="s">
        <v>2923</v>
      </c>
      <c r="D41" s="34" t="s">
        <v>2926</v>
      </c>
    </row>
    <row r="42" spans="1:4">
      <c r="A42" s="33" t="s">
        <v>2570</v>
      </c>
      <c r="B42" s="33" t="s">
        <v>2922</v>
      </c>
      <c r="C42" s="33" t="s">
        <v>2927</v>
      </c>
      <c r="D42" s="34" t="s">
        <v>2928</v>
      </c>
    </row>
    <row r="43" spans="1:4">
      <c r="A43" s="33"/>
      <c r="B43" s="33"/>
      <c r="C43" s="33"/>
      <c r="D43" s="33"/>
    </row>
    <row r="44" spans="1:4">
      <c r="A44" s="33" t="s">
        <v>2929</v>
      </c>
      <c r="B44" s="33" t="s">
        <v>2930</v>
      </c>
      <c r="C44" s="33"/>
      <c r="D44" s="33"/>
    </row>
    <row r="45" spans="1:4">
      <c r="A45" s="33"/>
      <c r="B45" s="33" t="s">
        <v>2931</v>
      </c>
      <c r="C45" s="33"/>
      <c r="D45" s="33"/>
    </row>
    <row r="46" spans="1:4">
      <c r="A46" s="33"/>
      <c r="B46" s="33" t="s">
        <v>2932</v>
      </c>
      <c r="C46" s="33"/>
      <c r="D46" s="33"/>
    </row>
    <row r="48" spans="1:4" ht="28.8">
      <c r="A48" s="35" t="s">
        <v>2933</v>
      </c>
      <c r="B48" s="33" t="s">
        <v>2934</v>
      </c>
      <c r="C48" s="33" t="s">
        <v>2935</v>
      </c>
      <c r="D48" s="33" t="s">
        <v>2936</v>
      </c>
    </row>
    <row r="49" spans="1:4" ht="28.8">
      <c r="A49" s="35" t="s">
        <v>2937</v>
      </c>
      <c r="B49" s="33" t="s">
        <v>2938</v>
      </c>
      <c r="C49" s="33" t="s">
        <v>2939</v>
      </c>
      <c r="D49" s="33" t="s">
        <v>2940</v>
      </c>
    </row>
    <row r="52" spans="1:4">
      <c r="A52" s="33" t="s">
        <v>2941</v>
      </c>
      <c r="B52" s="33">
        <v>130</v>
      </c>
      <c r="C52" s="33"/>
      <c r="D52" s="34" t="s">
        <v>2942</v>
      </c>
    </row>
    <row r="53" spans="1:4">
      <c r="A53" s="33" t="s">
        <v>2943</v>
      </c>
      <c r="B53" s="33"/>
      <c r="C53" s="33"/>
      <c r="D53" s="33"/>
    </row>
    <row r="54" spans="1:4" ht="43.2">
      <c r="A54" s="36" t="s">
        <v>2944</v>
      </c>
      <c r="B54" s="33" t="s">
        <v>2945</v>
      </c>
      <c r="C54" s="33" t="s">
        <v>2946</v>
      </c>
      <c r="D54" s="33" t="s">
        <v>2947</v>
      </c>
    </row>
    <row r="55" spans="1:4">
      <c r="A55" s="33"/>
      <c r="B55" s="33" t="s">
        <v>2948</v>
      </c>
      <c r="C55" s="33" t="s">
        <v>2949</v>
      </c>
      <c r="D55" s="33" t="s">
        <v>2950</v>
      </c>
    </row>
    <row r="56" spans="1:4">
      <c r="A56" s="33"/>
      <c r="B56" s="33" t="s">
        <v>2951</v>
      </c>
      <c r="C56" s="33" t="s">
        <v>2952</v>
      </c>
      <c r="D56" s="33" t="s">
        <v>2953</v>
      </c>
    </row>
    <row r="57" spans="1:4">
      <c r="A57" s="35" t="s">
        <v>2954</v>
      </c>
      <c r="B57" s="33" t="s">
        <v>2873</v>
      </c>
      <c r="C57" s="33" t="s">
        <v>2955</v>
      </c>
      <c r="D57" s="33" t="s">
        <v>2956</v>
      </c>
    </row>
    <row r="58" spans="1:4">
      <c r="A58" s="33"/>
      <c r="B58" s="33" t="s">
        <v>2949</v>
      </c>
      <c r="C58" s="33" t="s">
        <v>2955</v>
      </c>
      <c r="D58" s="33" t="s">
        <v>2957</v>
      </c>
    </row>
    <row r="59" spans="1:4">
      <c r="A59" s="33"/>
      <c r="B59" s="33" t="s">
        <v>2952</v>
      </c>
      <c r="C59" s="33" t="s">
        <v>2955</v>
      </c>
      <c r="D59" s="33" t="s">
        <v>2958</v>
      </c>
    </row>
    <row r="60" spans="1:4">
      <c r="A60" s="33"/>
      <c r="B60" s="33" t="s">
        <v>2959</v>
      </c>
      <c r="C60" s="33" t="s">
        <v>2917</v>
      </c>
      <c r="D60" s="33" t="s">
        <v>2960</v>
      </c>
    </row>
    <row r="61" spans="1:4">
      <c r="A61" s="33"/>
      <c r="B61" s="33" t="s">
        <v>2961</v>
      </c>
      <c r="C61" s="33" t="s">
        <v>2917</v>
      </c>
      <c r="D61" s="33" t="s">
        <v>2962</v>
      </c>
    </row>
    <row r="63" spans="1:4">
      <c r="A63" s="33" t="s">
        <v>2963</v>
      </c>
      <c r="B63" s="33" t="s">
        <v>2871</v>
      </c>
      <c r="C63" s="33" t="s">
        <v>2955</v>
      </c>
      <c r="D63" s="33" t="s">
        <v>2947</v>
      </c>
    </row>
    <row r="65" spans="1:4">
      <c r="A65" s="33" t="s">
        <v>2964</v>
      </c>
      <c r="B65" s="33" t="s">
        <v>2965</v>
      </c>
      <c r="C65" s="33" t="s">
        <v>2966</v>
      </c>
      <c r="D65" s="33" t="s">
        <v>2967</v>
      </c>
    </row>
    <row r="66" spans="1:4">
      <c r="A66" s="33"/>
      <c r="B66" s="33" t="s">
        <v>2968</v>
      </c>
      <c r="C66" s="33" t="s">
        <v>2966</v>
      </c>
      <c r="D66" s="33" t="s">
        <v>2967</v>
      </c>
    </row>
    <row r="67" spans="1:4">
      <c r="A67" s="33"/>
      <c r="B67" s="33" t="s">
        <v>2969</v>
      </c>
      <c r="C67" s="33" t="s">
        <v>2966</v>
      </c>
      <c r="D67" s="33" t="s">
        <v>2967</v>
      </c>
    </row>
    <row r="68" spans="1:4">
      <c r="A68" s="33"/>
      <c r="B68" s="33" t="s">
        <v>2970</v>
      </c>
      <c r="C68" s="33" t="s">
        <v>2966</v>
      </c>
      <c r="D68" s="33" t="s">
        <v>2967</v>
      </c>
    </row>
    <row r="69" spans="1:4">
      <c r="A69" s="33" t="s">
        <v>2971</v>
      </c>
      <c r="B69" s="33" t="s">
        <v>2930</v>
      </c>
      <c r="C69" s="33" t="s">
        <v>2966</v>
      </c>
      <c r="D69" s="33" t="s">
        <v>2972</v>
      </c>
    </row>
    <row r="70" spans="1:4">
      <c r="A70" s="33"/>
      <c r="B70" s="33" t="s">
        <v>2973</v>
      </c>
      <c r="C70" s="33" t="s">
        <v>2966</v>
      </c>
      <c r="D70" s="33" t="s">
        <v>2974</v>
      </c>
    </row>
    <row r="72" spans="1:4">
      <c r="A72" s="33" t="s">
        <v>2975</v>
      </c>
      <c r="B72" s="33" t="s">
        <v>2976</v>
      </c>
      <c r="C72" s="33" t="s">
        <v>2857</v>
      </c>
      <c r="D72" s="33" t="s">
        <v>2977</v>
      </c>
    </row>
    <row r="73" spans="1:4">
      <c r="A73" s="33"/>
      <c r="B73" s="33" t="s">
        <v>2978</v>
      </c>
      <c r="C73" s="33" t="s">
        <v>2857</v>
      </c>
      <c r="D73" s="33" t="s">
        <v>2979</v>
      </c>
    </row>
    <row r="75" spans="1:4">
      <c r="A75" s="33" t="s">
        <v>2980</v>
      </c>
      <c r="B75" s="33" t="s">
        <v>2981</v>
      </c>
      <c r="C75" s="33" t="s">
        <v>2982</v>
      </c>
      <c r="D75" s="33" t="s">
        <v>2983</v>
      </c>
    </row>
    <row r="78" spans="1:4">
      <c r="A78" s="33" t="s">
        <v>2984</v>
      </c>
      <c r="B78" s="33"/>
      <c r="C78" s="33" t="s">
        <v>2985</v>
      </c>
      <c r="D78" s="33" t="s">
        <v>2986</v>
      </c>
    </row>
    <row r="84" spans="1:4">
      <c r="A84" s="36" t="s">
        <v>2987</v>
      </c>
      <c r="B84" s="33" t="s">
        <v>2988</v>
      </c>
      <c r="C84" s="33"/>
      <c r="D84" s="34" t="s">
        <v>2989</v>
      </c>
    </row>
    <row r="85" spans="1:4">
      <c r="A85" s="33"/>
      <c r="B85" s="33" t="s">
        <v>2990</v>
      </c>
      <c r="C85" s="33"/>
      <c r="D85" s="34" t="s">
        <v>2991</v>
      </c>
    </row>
    <row r="86" spans="1:4" ht="43.2">
      <c r="A86" s="33"/>
      <c r="B86" s="35" t="s">
        <v>2992</v>
      </c>
      <c r="C86" s="33"/>
      <c r="D86" s="34" t="s">
        <v>2993</v>
      </c>
    </row>
    <row r="87" spans="1:4" ht="28.8">
      <c r="A87" s="35" t="s">
        <v>2994</v>
      </c>
      <c r="B87" s="33"/>
      <c r="C87" s="33"/>
      <c r="D87" s="34" t="s">
        <v>2995</v>
      </c>
    </row>
    <row r="88" spans="1:4">
      <c r="A88" s="33" t="s">
        <v>2996</v>
      </c>
      <c r="B88" s="33"/>
      <c r="C88" s="33"/>
      <c r="D88" s="34" t="s">
        <v>2997</v>
      </c>
    </row>
    <row r="90" spans="1:4">
      <c r="A90" s="33" t="s">
        <v>2998</v>
      </c>
      <c r="B90" s="33" t="s">
        <v>2871</v>
      </c>
      <c r="C90" s="33"/>
      <c r="D90" s="33" t="s">
        <v>2999</v>
      </c>
    </row>
    <row r="91" spans="1:4">
      <c r="A91" s="33"/>
      <c r="B91" s="33" t="s">
        <v>2873</v>
      </c>
      <c r="C91" s="33"/>
      <c r="D91" s="33" t="s">
        <v>3000</v>
      </c>
    </row>
  </sheetData>
  <hyperlinks>
    <hyperlink ref="D39" r:id="rId1" xr:uid="{70D57680-3D58-4FC1-90E1-70249B05A2A1}"/>
    <hyperlink ref="D38" r:id="rId2" xr:uid="{EF1BB414-7EB2-458D-A91D-AECB3EFB35A8}"/>
    <hyperlink ref="D52" r:id="rId3" xr:uid="{DCCD0F2F-D1DE-476E-B151-CB358C8E422E}"/>
    <hyperlink ref="D35" r:id="rId4" xr:uid="{79B8B9DB-1605-4312-8BD6-574FF090024F}"/>
    <hyperlink ref="D36" r:id="rId5" xr:uid="{83392336-3E07-4190-AB1F-3C17321D1344}"/>
    <hyperlink ref="D41" r:id="rId6" xr:uid="{5E7D5424-B59D-438A-93D0-355B87EEC0FD}"/>
    <hyperlink ref="D40" r:id="rId7" xr:uid="{1B548C75-EEB5-42D8-BB64-751B1D9CF254}"/>
    <hyperlink ref="D42" r:id="rId8" xr:uid="{B1EDCCAA-3BBE-4705-A416-0D6C24983DC9}"/>
    <hyperlink ref="D88" r:id="rId9" xr:uid="{47402A32-03A6-4426-A85D-23E77A4C4534}"/>
    <hyperlink ref="D84" r:id="rId10" xr:uid="{D5E18355-65CA-48A4-9C69-772C5999313B}"/>
    <hyperlink ref="D85" r:id="rId11" xr:uid="{E5B10BB8-99A6-4487-8941-3A7B54F6A7CC}"/>
    <hyperlink ref="D86" r:id="rId12" xr:uid="{97C2A9AA-B9AA-4A6F-A892-7EB3C8AD1FB6}"/>
    <hyperlink ref="D87" r:id="rId13" xr:uid="{B4410CDD-283B-4F1E-BCAF-D6EE36F329B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C010-4E86-4D4F-8328-90AB7F0E82E7}">
  <dimension ref="A1"/>
  <sheetViews>
    <sheetView tabSelected="1"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Eastman</vt:lpstr>
      <vt:lpstr>mix</vt:lpstr>
      <vt:lpstr>Tapes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</dc:creator>
  <cp:lastModifiedBy>Gala</cp:lastModifiedBy>
  <dcterms:created xsi:type="dcterms:W3CDTF">2026-07-22T09:31:25Z</dcterms:created>
  <dcterms:modified xsi:type="dcterms:W3CDTF">2026-07-25T13:59:02Z</dcterms:modified>
</cp:coreProperties>
</file>